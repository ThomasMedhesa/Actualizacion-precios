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LopezMate\Desktop\"/>
    </mc:Choice>
  </mc:AlternateContent>
  <xr:revisionPtr revIDLastSave="0" documentId="13_ncr:1_{5B5D24CF-1F78-4C2A-91F2-7B8F8AE4138B}" xr6:coauthVersionLast="47" xr6:coauthVersionMax="47" xr10:uidLastSave="{00000000-0000-0000-0000-000000000000}"/>
  <bookViews>
    <workbookView xWindow="-28920" yWindow="-120" windowWidth="29040" windowHeight="15720" tabRatio="598" xr2:uid="{7DA32FB2-0FC8-4513-90C5-74A90C1E6006}"/>
  </bookViews>
  <sheets>
    <sheet name="PETICION OFERTAS" sheetId="1" r:id="rId1"/>
    <sheet name="Hoja1" sheetId="2" r:id="rId2"/>
  </sheets>
  <definedNames>
    <definedName name="_xlnm._FilterDatabase" localSheetId="1" hidden="1">Hoja1!$A$1:$F$39</definedName>
    <definedName name="_xlnm._FilterDatabase" localSheetId="0" hidden="1">'PETICION OFERTAS'!$B$1:$B$4562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339" i="1" l="1"/>
  <c r="X4326" i="1"/>
  <c r="X4300" i="1"/>
  <c r="X4313" i="1"/>
  <c r="X4260" i="1"/>
  <c r="X4246" i="1"/>
  <c r="X4158" i="1"/>
  <c r="X4126" i="1"/>
  <c r="X4140" i="1"/>
  <c r="X4149" i="1"/>
  <c r="X4098" i="1"/>
  <c r="X3950" i="1"/>
  <c r="X3964" i="1"/>
  <c r="X4550" i="1"/>
  <c r="X4453" i="1"/>
  <c r="X4447" i="1"/>
  <c r="X4432" i="1"/>
  <c r="X4419" i="1"/>
  <c r="X4404" i="1"/>
  <c r="X4391" i="1"/>
  <c r="X4378" i="1"/>
  <c r="X4365" i="1"/>
  <c r="X4352" i="1"/>
  <c r="X4286" i="1"/>
  <c r="X4273" i="1"/>
  <c r="X4233" i="1"/>
  <c r="X4207" i="1"/>
  <c r="X4193" i="1"/>
  <c r="X4180" i="1"/>
  <c r="X4167" i="1"/>
  <c r="X4112" i="1"/>
  <c r="X4084" i="1"/>
  <c r="X4070" i="1"/>
  <c r="X4054" i="1"/>
  <c r="X4040" i="1"/>
  <c r="X4017" i="1"/>
  <c r="X4003" i="1"/>
  <c r="X3992" i="1"/>
  <c r="X3978" i="1"/>
  <c r="X3936" i="1"/>
  <c r="X3923" i="1"/>
  <c r="X3911" i="1"/>
  <c r="X3897" i="1"/>
  <c r="X3884" i="1"/>
  <c r="X3870" i="1"/>
  <c r="X3858" i="1"/>
  <c r="X3845" i="1"/>
  <c r="X3832" i="1"/>
  <c r="X3819" i="1"/>
  <c r="X3806" i="1"/>
  <c r="X3793" i="1"/>
  <c r="X3779" i="1"/>
  <c r="X3766" i="1"/>
  <c r="X3752" i="1"/>
  <c r="X3740" i="1"/>
  <c r="X4535" i="1"/>
  <c r="X4522" i="1"/>
  <c r="X4509" i="1"/>
  <c r="X4498" i="1"/>
  <c r="X4490" i="1"/>
  <c r="X4477" i="1"/>
  <c r="X4463" i="1"/>
  <c r="X3725" i="1"/>
  <c r="X3711" i="1"/>
  <c r="X3698" i="1"/>
  <c r="X3684" i="1"/>
  <c r="X3671" i="1"/>
  <c r="X3657" i="1"/>
  <c r="X3647" i="1"/>
  <c r="X3498" i="1"/>
  <c r="X3511" i="1"/>
  <c r="X3525" i="1"/>
  <c r="X3538" i="1"/>
  <c r="X3551" i="1"/>
  <c r="X3566" i="1"/>
  <c r="X3580" i="1"/>
  <c r="X3595" i="1"/>
  <c r="X3609" i="1"/>
  <c r="X3622" i="1"/>
  <c r="X3635" i="1"/>
  <c r="X3485" i="1"/>
  <c r="X3433" i="1"/>
  <c r="X3394" i="1"/>
  <c r="X3407" i="1"/>
  <c r="X3420" i="1"/>
  <c r="X3368" i="1"/>
  <c r="X3355" i="1"/>
  <c r="X4025" i="1"/>
  <c r="X3347" i="1"/>
  <c r="X3319" i="1"/>
  <c r="X3293" i="1"/>
  <c r="X3280" i="1"/>
  <c r="X3267" i="1"/>
  <c r="X3248" i="1"/>
  <c r="X3332" i="1"/>
  <c r="X3253" i="1"/>
  <c r="X3234" i="1"/>
  <c r="X3218" i="1"/>
  <c r="X3121" i="1"/>
  <c r="X3131" i="1"/>
  <c r="X3142" i="1"/>
  <c r="X3057" i="1"/>
  <c r="X3072" i="1"/>
  <c r="X2990" i="1"/>
  <c r="X3004" i="1"/>
  <c r="X3018" i="1"/>
  <c r="X2977" i="1"/>
  <c r="X2949" i="1"/>
  <c r="X2963" i="1"/>
  <c r="X2935" i="1"/>
  <c r="X2921" i="1"/>
  <c r="X2891" i="1"/>
  <c r="X2907" i="1"/>
  <c r="X2848" i="1"/>
  <c r="X2833" i="1"/>
  <c r="X2804" i="1"/>
  <c r="X2819" i="1"/>
  <c r="X2760" i="1"/>
  <c r="X2774" i="1"/>
  <c r="X2746" i="1"/>
  <c r="X2730" i="1"/>
  <c r="X2699" i="1"/>
  <c r="X2714" i="1"/>
  <c r="X2657" i="1"/>
  <c r="X2671" i="1"/>
  <c r="X2685" i="1"/>
  <c r="X2563" i="1"/>
  <c r="X2550" i="1"/>
  <c r="X2537" i="1"/>
  <c r="X2497" i="1"/>
  <c r="X2483" i="1"/>
  <c r="X2271" i="1"/>
  <c r="X3472" i="1"/>
  <c r="X3459" i="1"/>
  <c r="X3446" i="1"/>
  <c r="X3381" i="1"/>
  <c r="X3306" i="1"/>
  <c r="X3225" i="1"/>
  <c r="X3204" i="1"/>
  <c r="X3190" i="1"/>
  <c r="X3176" i="1"/>
  <c r="X3162" i="1"/>
  <c r="X3151" i="1"/>
  <c r="X3110" i="1"/>
  <c r="X3099" i="1"/>
  <c r="X3085" i="1"/>
  <c r="X3050" i="1"/>
  <c r="X3045" i="1"/>
  <c r="X3032" i="1"/>
  <c r="X2877" i="1"/>
  <c r="X2863" i="1"/>
  <c r="X2790" i="1"/>
  <c r="X2643" i="1"/>
  <c r="X2629" i="1"/>
  <c r="X2615" i="1"/>
  <c r="X2601" i="1"/>
  <c r="X2587" i="1"/>
  <c r="X2573" i="1"/>
  <c r="X2524" i="1"/>
  <c r="X2511" i="1"/>
  <c r="X2470" i="1"/>
  <c r="X2456" i="1"/>
  <c r="X2443" i="1"/>
  <c r="X2430" i="1"/>
  <c r="X2417" i="1"/>
  <c r="X2403" i="1"/>
  <c r="X2389" i="1"/>
  <c r="X2376" i="1"/>
  <c r="X2363" i="1"/>
  <c r="X2350" i="1"/>
  <c r="X2336" i="1"/>
  <c r="X2323" i="1"/>
  <c r="X2310" i="1"/>
  <c r="X2297" i="1"/>
  <c r="X2284" i="1"/>
  <c r="X2258" i="1"/>
  <c r="X2245" i="1"/>
  <c r="X2233" i="1"/>
  <c r="X2220" i="1"/>
  <c r="X2207" i="1"/>
  <c r="X2194" i="1"/>
  <c r="X2180" i="1"/>
  <c r="X2167" i="1"/>
  <c r="X2154" i="1"/>
  <c r="X2140" i="1"/>
  <c r="X2127" i="1"/>
  <c r="X2112" i="1"/>
  <c r="X2098" i="1"/>
  <c r="X2084" i="1"/>
  <c r="X2070" i="1"/>
  <c r="X2056" i="1"/>
  <c r="X2044" i="1"/>
  <c r="X2030" i="1"/>
  <c r="X2016" i="1"/>
  <c r="X1997" i="1"/>
  <c r="X1938" i="1"/>
  <c r="X2002" i="1"/>
  <c r="X1982" i="1"/>
  <c r="X1967" i="1"/>
  <c r="X1953" i="1"/>
  <c r="X1924" i="1"/>
  <c r="X1909" i="1"/>
  <c r="X1894" i="1"/>
  <c r="X1880" i="1"/>
  <c r="X1866" i="1"/>
  <c r="X1853" i="1"/>
  <c r="X1839" i="1"/>
  <c r="X1826" i="1"/>
  <c r="X1798" i="1"/>
  <c r="X1812" i="1"/>
  <c r="X1770" i="1"/>
  <c r="X1784" i="1"/>
  <c r="X1699" i="1"/>
  <c r="X1713" i="1"/>
  <c r="X1727" i="1"/>
  <c r="X1743" i="1"/>
  <c r="X1756" i="1"/>
  <c r="X1657" i="1"/>
  <c r="X1670" i="1"/>
  <c r="X1684" i="1"/>
  <c r="X1628" i="1"/>
  <c r="X1643" i="1"/>
  <c r="X1614" i="1"/>
  <c r="X1600" i="1"/>
  <c r="X1449" i="1"/>
  <c r="X1463" i="1"/>
  <c r="X1477" i="1"/>
  <c r="X1491" i="1"/>
  <c r="X1505" i="1"/>
  <c r="X1519" i="1"/>
  <c r="X1533" i="1"/>
  <c r="X1547" i="1"/>
  <c r="X1561" i="1"/>
  <c r="X1574" i="1"/>
  <c r="X1589" i="1"/>
  <c r="X1435" i="1"/>
  <c r="X1392" i="1"/>
  <c r="X1407" i="1"/>
  <c r="X1421" i="1"/>
  <c r="X1378" i="1"/>
  <c r="X1336" i="1"/>
  <c r="X1364" i="1"/>
  <c r="X1350" i="1"/>
  <c r="X1322" i="1"/>
  <c r="X1308" i="1"/>
  <c r="X1293" i="1"/>
  <c r="X1278" i="1"/>
  <c r="X1264" i="1"/>
  <c r="X1249" i="1"/>
  <c r="X1235" i="1"/>
  <c r="X1220" i="1"/>
  <c r="X1206" i="1"/>
  <c r="X1192" i="1"/>
  <c r="X1178" i="1"/>
  <c r="X1164" i="1"/>
  <c r="X1149" i="1"/>
  <c r="X1135" i="1"/>
  <c r="X1121" i="1"/>
  <c r="X1107" i="1"/>
  <c r="X1093" i="1"/>
  <c r="X1078" i="1"/>
  <c r="X1064" i="1"/>
  <c r="X1051" i="1"/>
  <c r="X1038" i="1"/>
  <c r="X1023" i="1"/>
  <c r="X1009" i="1"/>
  <c r="X994" i="1"/>
  <c r="X980" i="1"/>
  <c r="X966" i="1"/>
  <c r="X952" i="1"/>
  <c r="X938" i="1"/>
  <c r="X924" i="1"/>
  <c r="X910" i="1"/>
  <c r="X895" i="1"/>
  <c r="X866" i="1"/>
  <c r="X881" i="1"/>
  <c r="X852" i="1"/>
  <c r="X838" i="1"/>
  <c r="X824" i="1"/>
  <c r="X809" i="1"/>
  <c r="X795" i="1"/>
  <c r="X781" i="1"/>
  <c r="X767" i="1"/>
  <c r="X753" i="1"/>
  <c r="X739" i="1"/>
  <c r="X725" i="1"/>
  <c r="X711" i="1"/>
  <c r="X697" i="1"/>
  <c r="X683" i="1"/>
  <c r="X668" i="1"/>
  <c r="X608" i="1"/>
  <c r="X593" i="1"/>
  <c r="X578" i="1"/>
  <c r="X563" i="1"/>
  <c r="X548" i="1"/>
  <c r="X533" i="1"/>
  <c r="X518" i="1"/>
  <c r="X503" i="1"/>
  <c r="X488" i="1"/>
  <c r="X473" i="1"/>
  <c r="X653" i="1"/>
  <c r="X638" i="1"/>
  <c r="X623" i="1"/>
  <c r="X457" i="1"/>
  <c r="X442" i="1"/>
  <c r="X427" i="1"/>
  <c r="X412" i="1"/>
  <c r="X397" i="1"/>
  <c r="X382" i="1"/>
  <c r="X367" i="1"/>
  <c r="X352" i="1"/>
  <c r="X337" i="1"/>
  <c r="X322" i="1"/>
  <c r="X307" i="1"/>
  <c r="X292" i="1"/>
  <c r="X277" i="1"/>
  <c r="X262" i="1"/>
  <c r="X247" i="1"/>
  <c r="X232" i="1"/>
  <c r="X217" i="1"/>
  <c r="X202" i="1"/>
  <c r="X187" i="1"/>
  <c r="X172" i="1"/>
  <c r="X157" i="1" l="1"/>
  <c r="X142" i="1"/>
  <c r="X127" i="1"/>
  <c r="X82" i="1"/>
  <c r="X97" i="1"/>
  <c r="X112" i="1"/>
  <c r="X67" i="1"/>
  <c r="X8" i="1"/>
  <c r="X22" i="1"/>
  <c r="X52" i="1"/>
  <c r="X37" i="1"/>
  <c r="W456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d244ec75-e0cc-4f88-b0b6-a7f5a2384627 Model" type="5" refreshedVersion="8" background="1">
    <dbPr connection="Provider=MSOLAP.8;Integrated Security=ClaimsToken;Persist Security Info=True;Initial Catalog=sobe_wowvirtualserver-d244ec75-e0cc-4f88-b0b6-a7f5a238462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<sst xmlns="http://schemas.openxmlformats.org/spreadsheetml/2006/main" count="7300" uniqueCount="2210">
  <si>
    <t xml:space="preserve">Cliente       </t>
  </si>
  <si>
    <t>C.I.F.</t>
  </si>
  <si>
    <t>Código</t>
  </si>
  <si>
    <t>Dirección</t>
  </si>
  <si>
    <t>C.P.</t>
  </si>
  <si>
    <t>Población</t>
  </si>
  <si>
    <t>Provincia</t>
  </si>
  <si>
    <t xml:space="preserve"> C.U.P.S.  </t>
  </si>
  <si>
    <t>Tarifa</t>
  </si>
  <si>
    <t>Potencia Contratada (kW)</t>
  </si>
  <si>
    <t>P1</t>
  </si>
  <si>
    <t>P2</t>
  </si>
  <si>
    <t>P3</t>
  </si>
  <si>
    <t>P4</t>
  </si>
  <si>
    <t>P5</t>
  </si>
  <si>
    <t>P6</t>
  </si>
  <si>
    <t>Consumo Total (kWh/año)</t>
  </si>
  <si>
    <t>Periodo</t>
  </si>
  <si>
    <t>E1</t>
  </si>
  <si>
    <t>E2</t>
  </si>
  <si>
    <t>E3</t>
  </si>
  <si>
    <t>E4</t>
  </si>
  <si>
    <t>E5</t>
  </si>
  <si>
    <t>E6</t>
  </si>
  <si>
    <t>Consumo Energía Activa (kWh)</t>
  </si>
  <si>
    <t>TOTAL</t>
  </si>
  <si>
    <t>Inicio contrato</t>
  </si>
  <si>
    <t>Término Energía sin incluir el impuesto eléctrico (€/kWh)</t>
  </si>
  <si>
    <t>Precio neto ofertado</t>
  </si>
  <si>
    <t>FEE</t>
  </si>
  <si>
    <t>Desvíos</t>
  </si>
  <si>
    <t xml:space="preserve">Coste Operativo (€/MWh)        
 (FEE+ desvíos)       </t>
  </si>
  <si>
    <t>28023</t>
  </si>
  <si>
    <t>MADRID</t>
  </si>
  <si>
    <t>6.1TD</t>
  </si>
  <si>
    <t>31/12/24  -31/01/25</t>
  </si>
  <si>
    <t>31/01/25  -28/02/25</t>
  </si>
  <si>
    <t>28/02/25  -31/03/25</t>
  </si>
  <si>
    <t>31/03/25  -30/04/25</t>
  </si>
  <si>
    <t>30/04/25  -31/05/25</t>
  </si>
  <si>
    <t>31/05/25  -30/06/25</t>
  </si>
  <si>
    <t>30/06/25  -31/07/25</t>
  </si>
  <si>
    <t>31/07/25  -31/08/25</t>
  </si>
  <si>
    <t>31/08/25  -30/09/25</t>
  </si>
  <si>
    <t>30/09/25  -31/10/25</t>
  </si>
  <si>
    <t>31/10/25  -30/11/25</t>
  </si>
  <si>
    <t>30/11/25  -31/12/25</t>
  </si>
  <si>
    <t>VALENCIA</t>
  </si>
  <si>
    <t>23/03/25  -22/04/25</t>
  </si>
  <si>
    <t>22/04/25  -22/05/25</t>
  </si>
  <si>
    <t>22/05/25  -22/06/25</t>
  </si>
  <si>
    <t>22/06/25  -24/07/25</t>
  </si>
  <si>
    <t>LEON</t>
  </si>
  <si>
    <t>28/01/25  -25/02/25</t>
  </si>
  <si>
    <t>25/02/25  -25/03/25</t>
  </si>
  <si>
    <t>VALLADOLID</t>
  </si>
  <si>
    <t>2.0TD</t>
  </si>
  <si>
    <t>09/09/25  -12/10/25</t>
  </si>
  <si>
    <t>MURCIA</t>
  </si>
  <si>
    <t>05/02/25  -04/03/25</t>
  </si>
  <si>
    <t>03/07/25  -04/08/25</t>
  </si>
  <si>
    <t>04/08/25  -03/09/25</t>
  </si>
  <si>
    <t>03/09/25  -06/10/25</t>
  </si>
  <si>
    <t>06/10/25  -05/11/25</t>
  </si>
  <si>
    <t>31007</t>
  </si>
  <si>
    <t>PAMPLONA</t>
  </si>
  <si>
    <t>NAVARRA</t>
  </si>
  <si>
    <t>14/01/25  -17/02/25</t>
  </si>
  <si>
    <t>17/02/25  -12/03/25</t>
  </si>
  <si>
    <t>13/10/25  -12/11/25</t>
  </si>
  <si>
    <t>12/11/25  -11/12/25</t>
  </si>
  <si>
    <t>SEVILLA</t>
  </si>
  <si>
    <t>TOLEDO</t>
  </si>
  <si>
    <t>20/10/25  -20/11/25</t>
  </si>
  <si>
    <t>10001</t>
  </si>
  <si>
    <t>CACERES</t>
  </si>
  <si>
    <t>10/03/25  -08/04/25</t>
  </si>
  <si>
    <t>08/04/25  -11/05/25</t>
  </si>
  <si>
    <t>13/08/25  -08/09/25</t>
  </si>
  <si>
    <t>10/11/25  -09/12/25</t>
  </si>
  <si>
    <t>13001</t>
  </si>
  <si>
    <t>CIUDAD REAL</t>
  </si>
  <si>
    <t>15/05/25  -15/06/25</t>
  </si>
  <si>
    <t>15/06/25  -15/07/25</t>
  </si>
  <si>
    <t>15/07/25  -13/08/25</t>
  </si>
  <si>
    <t>14/09/25  -15/10/25</t>
  </si>
  <si>
    <t>ZARAGOZA</t>
  </si>
  <si>
    <t>3.0TD</t>
  </si>
  <si>
    <t>28320</t>
  </si>
  <si>
    <t>PINTO</t>
  </si>
  <si>
    <t>BADAJOZ</t>
  </si>
  <si>
    <t>28021</t>
  </si>
  <si>
    <t>GETAFE</t>
  </si>
  <si>
    <t>COMUNIDAD DE PROPIETARIOS</t>
  </si>
  <si>
    <t>18/11/25  -16/12/25</t>
  </si>
  <si>
    <t>BURGOS</t>
  </si>
  <si>
    <t/>
  </si>
  <si>
    <t>08/10/25  -09/11/25</t>
  </si>
  <si>
    <t>JEREZ DE LA FRONTERA</t>
  </si>
  <si>
    <t>CADIZ</t>
  </si>
  <si>
    <t>31/10/25  -18/11/25</t>
  </si>
  <si>
    <t>17/08/25  -12/09/25</t>
  </si>
  <si>
    <t>COSLADA</t>
  </si>
  <si>
    <t>03/01/25  -03/02/25</t>
  </si>
  <si>
    <t>06/05/25  -04/06/25</t>
  </si>
  <si>
    <t>04/09/25  -03/10/25</t>
  </si>
  <si>
    <t>VALDEMORO</t>
  </si>
  <si>
    <t>PARETS DEL VALLES</t>
  </si>
  <si>
    <t>BARCELONA</t>
  </si>
  <si>
    <t>ABULA GOLF &amp; RESORT, S.L.</t>
  </si>
  <si>
    <t>B73369746</t>
  </si>
  <si>
    <t>6101/001</t>
  </si>
  <si>
    <t>Infante de Orleans, (p.p. torre r, s/n)</t>
  </si>
  <si>
    <t>30710</t>
  </si>
  <si>
    <t>LOS ALCAZARES</t>
  </si>
  <si>
    <t>ES0021000013267211CA</t>
  </si>
  <si>
    <t>6101/002</t>
  </si>
  <si>
    <t>Avd Principe Felipe, 30, Bajo</t>
  </si>
  <si>
    <t>ES0021000015943896VV</t>
  </si>
  <si>
    <t>6101/003</t>
  </si>
  <si>
    <t>Avd Principe Felipe, 30 1º</t>
  </si>
  <si>
    <t>ES0021000015943900VK</t>
  </si>
  <si>
    <t>ADLANTIA, S.L.</t>
  </si>
  <si>
    <t>B83169557</t>
  </si>
  <si>
    <t>6462/001</t>
  </si>
  <si>
    <t>Mastelero, 12 LC 2</t>
  </si>
  <si>
    <t>28033</t>
  </si>
  <si>
    <t>ES0022000007599423EA1P</t>
  </si>
  <si>
    <t>AGROPECUARIA NAVALOSHACES, S.L</t>
  </si>
  <si>
    <t>B13050562</t>
  </si>
  <si>
    <t>5684/004</t>
  </si>
  <si>
    <t>Extremuros, 48</t>
  </si>
  <si>
    <t>13190</t>
  </si>
  <si>
    <t>CORRAL DE CALATRAVA</t>
  </si>
  <si>
    <t>ES0022000005044948WT1P</t>
  </si>
  <si>
    <t>31/08/25  -01/09/25</t>
  </si>
  <si>
    <t>01/09/25  -30/09/25</t>
  </si>
  <si>
    <t>E13255690</t>
  </si>
  <si>
    <t>5684/001</t>
  </si>
  <si>
    <t>Finca Chaparral, 13</t>
  </si>
  <si>
    <t>13191</t>
  </si>
  <si>
    <t>LOS POZUELOS DE CALATRAVA</t>
  </si>
  <si>
    <t>ES0022000005045276QY1P</t>
  </si>
  <si>
    <t>02/09/25  -30/09/25</t>
  </si>
  <si>
    <t>5684/002</t>
  </si>
  <si>
    <t>Finca Chaparral, 91 Riegos</t>
  </si>
  <si>
    <t>ES0022000005429818ZB1P</t>
  </si>
  <si>
    <t>5684/003</t>
  </si>
  <si>
    <t>Fnca. Chaparral, 13 PG. 81</t>
  </si>
  <si>
    <t>ES0022000005045277QF1P</t>
  </si>
  <si>
    <t>ALCALA 534, S.L.</t>
  </si>
  <si>
    <t>B81684334</t>
  </si>
  <si>
    <t>6078/001</t>
  </si>
  <si>
    <t>Av. Jose Garate, 5-3, Bajo</t>
  </si>
  <si>
    <t>28822</t>
  </si>
  <si>
    <t>ES0021000004202419AV</t>
  </si>
  <si>
    <t>31/05/25  -09/06/25</t>
  </si>
  <si>
    <t>09/06/25  -30/06/25</t>
  </si>
  <si>
    <t>6078/002</t>
  </si>
  <si>
    <t>Av. José Gárate 5-3, Sótano 1</t>
  </si>
  <si>
    <t>ES0021000004202417AS</t>
  </si>
  <si>
    <t>6078/003</t>
  </si>
  <si>
    <t>Virgen del Puig, 1-C, Garaje</t>
  </si>
  <si>
    <t>28027</t>
  </si>
  <si>
    <t>ES0022000006334612TP1P</t>
  </si>
  <si>
    <t>02/01/25  -27/01/25</t>
  </si>
  <si>
    <t>27/01/25  -03/03/25</t>
  </si>
  <si>
    <t>03/03/25  -31/03/25</t>
  </si>
  <si>
    <t>31/03/25  -25/04/25</t>
  </si>
  <si>
    <t>25/04/25  -30/05/25</t>
  </si>
  <si>
    <t>30/05/25  -09/06/25</t>
  </si>
  <si>
    <t>09/06/25  -24/06/25</t>
  </si>
  <si>
    <t>24/06/25  -29/07/25</t>
  </si>
  <si>
    <t>29/07/25  -28/08/25</t>
  </si>
  <si>
    <t>28/08/25  -30/09/25</t>
  </si>
  <si>
    <t>30/09/25  -23/10/25</t>
  </si>
  <si>
    <t>23/10/25  -30/11/25</t>
  </si>
  <si>
    <t>6078/004</t>
  </si>
  <si>
    <t>Torrejón 13, Bajo</t>
  </si>
  <si>
    <t>28850</t>
  </si>
  <si>
    <t>TORREJON DE ARDOZ</t>
  </si>
  <si>
    <t>ES0021000005660629QG</t>
  </si>
  <si>
    <t>24/03/25  -31/03/25</t>
  </si>
  <si>
    <t>ALTURAN, S.L.</t>
  </si>
  <si>
    <t>B92051705</t>
  </si>
  <si>
    <t>7569/001</t>
  </si>
  <si>
    <t>Patriste s/n (Camping Los Gazules)</t>
  </si>
  <si>
    <t>11180</t>
  </si>
  <si>
    <t>ALCALA DE LOS GAZULES</t>
  </si>
  <si>
    <t>ES0252000000240125CS0F</t>
  </si>
  <si>
    <t>B66904970</t>
  </si>
  <si>
    <t>7600/001</t>
  </si>
  <si>
    <t>Granados, 24, Bajo 1</t>
  </si>
  <si>
    <t>ES0021000005679757LL</t>
  </si>
  <si>
    <t>7600/002</t>
  </si>
  <si>
    <t>Oca, 76, Bajo Derecha</t>
  </si>
  <si>
    <t>28025</t>
  </si>
  <si>
    <t>ES0021000004613022PR</t>
  </si>
  <si>
    <t>24/12/24  -10/01/25</t>
  </si>
  <si>
    <t>10/01/25  -28/01/25</t>
  </si>
  <si>
    <t>25/02/25  -26/03/25</t>
  </si>
  <si>
    <t>26/03/25  -29/04/25</t>
  </si>
  <si>
    <t>29/04/25  -29/05/25</t>
  </si>
  <si>
    <t>29/05/25  -26/06/25</t>
  </si>
  <si>
    <t>26/06/25  -24/07/25</t>
  </si>
  <si>
    <t>24/07/25  -26/08/25</t>
  </si>
  <si>
    <t>26/08/25  -24/09/25</t>
  </si>
  <si>
    <t>24/09/25  -26/10/25</t>
  </si>
  <si>
    <t>26/10/25  -24/11/25</t>
  </si>
  <si>
    <t>24/11/25  -22/12/25</t>
  </si>
  <si>
    <t>7600/003</t>
  </si>
  <si>
    <t>Pº Dolores Soria, 1, Bajo 3</t>
  </si>
  <si>
    <t>ES0021000005494393XN</t>
  </si>
  <si>
    <t>02/01/25  -03/02/25</t>
  </si>
  <si>
    <t>03/02/25  -03/03/25</t>
  </si>
  <si>
    <t>03/03/25  -01/04/25</t>
  </si>
  <si>
    <t>01/04/25  -26/04/25</t>
  </si>
  <si>
    <t>26/04/25  -04/05/25</t>
  </si>
  <si>
    <t>04/05/25  -02/06/25</t>
  </si>
  <si>
    <t>02/06/25  -01/07/25</t>
  </si>
  <si>
    <t>01/07/25  -03/08/25</t>
  </si>
  <si>
    <t>03/08/25  -01/09/25</t>
  </si>
  <si>
    <t>01/09/25  -01/10/25</t>
  </si>
  <si>
    <t>01/10/25  -03/11/25</t>
  </si>
  <si>
    <t>03/11/25  -01/12/25</t>
  </si>
  <si>
    <t>02/12/25  -05/01/26</t>
  </si>
  <si>
    <t>7600/006</t>
  </si>
  <si>
    <t>Pz. Escuelas Pias, 7, Bajo-2</t>
  </si>
  <si>
    <t>28901</t>
  </si>
  <si>
    <t>ES0021000004343086RQ</t>
  </si>
  <si>
    <t>28/02/25  -06/03/25</t>
  </si>
  <si>
    <t>06/03/25  -19/03/25</t>
  </si>
  <si>
    <t>19/03/25  -31/03/25</t>
  </si>
  <si>
    <t>7600/007</t>
  </si>
  <si>
    <t>Murcia, 1 Bajo Izqda.</t>
  </si>
  <si>
    <t>28945</t>
  </si>
  <si>
    <t>FUENLABRADA</t>
  </si>
  <si>
    <t>ES0021000004263524SB</t>
  </si>
  <si>
    <t>31/05/25  -10/06/25</t>
  </si>
  <si>
    <t>10/06/25  -30/06/25</t>
  </si>
  <si>
    <t>CAMPING BALIERA S.L.</t>
  </si>
  <si>
    <t>B44657161</t>
  </si>
  <si>
    <t>7630/001</t>
  </si>
  <si>
    <t>Camping Baliera, Ctra. N-260, Km. 355,5</t>
  </si>
  <si>
    <t>22486</t>
  </si>
  <si>
    <t>BONANSA</t>
  </si>
  <si>
    <t>HUESCA</t>
  </si>
  <si>
    <t>ES0170000000002500LH</t>
  </si>
  <si>
    <t>B83835496</t>
  </si>
  <si>
    <t>6301/001</t>
  </si>
  <si>
    <t>Jose Espronceda 20. Orihuela Costa.</t>
  </si>
  <si>
    <t>03189</t>
  </si>
  <si>
    <t>ORIHUELA</t>
  </si>
  <si>
    <t>ALICANTE</t>
  </si>
  <si>
    <t>ES0021000016643379RR</t>
  </si>
  <si>
    <t>30/04/25  -01/05/25</t>
  </si>
  <si>
    <t>01/05/25  -31/05/25</t>
  </si>
  <si>
    <t>6301/002</t>
  </si>
  <si>
    <t>Avda. Las Colinas, 40, Bajo 16</t>
  </si>
  <si>
    <t>ES0021000022131984BR</t>
  </si>
  <si>
    <t>13/01/25  -17/02/25</t>
  </si>
  <si>
    <t>17/02/25  -16/03/25</t>
  </si>
  <si>
    <t>16/03/25  -15/04/25</t>
  </si>
  <si>
    <t>15/04/25  -18/05/25</t>
  </si>
  <si>
    <t>18/05/25  -17/06/25</t>
  </si>
  <si>
    <t>17/06/25  -15/07/25</t>
  </si>
  <si>
    <t>15/07/25  -18/08/25</t>
  </si>
  <si>
    <t>18/08/25  -14/09/25</t>
  </si>
  <si>
    <t>15/10/25  -11/11/25</t>
  </si>
  <si>
    <t>11/11/25  -10/12/25</t>
  </si>
  <si>
    <t>10/12/25  -14/01/26</t>
  </si>
  <si>
    <t>6301/004</t>
  </si>
  <si>
    <t>Avda. Las Colinas, 8 esc. AB, 1º B</t>
  </si>
  <si>
    <t>ES0021000016628720FQ</t>
  </si>
  <si>
    <t>15/01/25  -16/02/25</t>
  </si>
  <si>
    <t>16/02/25  -16/03/25</t>
  </si>
  <si>
    <t>15/04/25  -05/05/25</t>
  </si>
  <si>
    <t>05/05/25  -15/07/25</t>
  </si>
  <si>
    <t>15/07/25  -11/09/25</t>
  </si>
  <si>
    <t>11/09/25  -11/11/25</t>
  </si>
  <si>
    <t>11/11/25  -13/01/26</t>
  </si>
  <si>
    <t>6301/005</t>
  </si>
  <si>
    <t>Avda. Las Colinas 8, esc. CD, 2º</t>
  </si>
  <si>
    <t>ES0021000016628731PG</t>
  </si>
  <si>
    <t>6301/007</t>
  </si>
  <si>
    <t>Avda. Las Colinas, 10-A, Bajo 1</t>
  </si>
  <si>
    <t>ES0021000016779741HL</t>
  </si>
  <si>
    <t>15/04/25  -12/05/25</t>
  </si>
  <si>
    <t>12/05/25  -18/05/25</t>
  </si>
  <si>
    <t>18/05/25  -16/06/25</t>
  </si>
  <si>
    <t>16/06/25  -15/07/25</t>
  </si>
  <si>
    <t>15/07/25  -17/08/25</t>
  </si>
  <si>
    <t>17/08/25  -11/09/25</t>
  </si>
  <si>
    <t>11/09/25  -15/10/25</t>
  </si>
  <si>
    <t>10/12/25  -13/01/26</t>
  </si>
  <si>
    <t>6301/008</t>
  </si>
  <si>
    <t>Avda. Las Colinas, 10-A, Bajo 12</t>
  </si>
  <si>
    <t>ES0021000016779756LB</t>
  </si>
  <si>
    <t>6301/009</t>
  </si>
  <si>
    <t>Avda. Las Colinas, 10-B, esc. AB 1º A</t>
  </si>
  <si>
    <t>ES0021000016651003XN</t>
  </si>
  <si>
    <t>6301/010</t>
  </si>
  <si>
    <t>Avda. Las Colinas, 10-B, esc. AB 2º A</t>
  </si>
  <si>
    <t>ES0021000016651004XJ</t>
  </si>
  <si>
    <t>6301/011</t>
  </si>
  <si>
    <t>Avda. Las Colinas, 10-B, esc. AB, 2º B</t>
  </si>
  <si>
    <t>ES0021000016651007XQ</t>
  </si>
  <si>
    <t>6301/012</t>
  </si>
  <si>
    <t>Avda. Las Colinas, 10-B, esc. AB 3º A</t>
  </si>
  <si>
    <t>ES0021000016651005XZ</t>
  </si>
  <si>
    <t>6301/016</t>
  </si>
  <si>
    <t>Avda. Las Colinas, 10-B, esc. HI, 2º H</t>
  </si>
  <si>
    <t>ES0021000016651406MR</t>
  </si>
  <si>
    <t>6301/018</t>
  </si>
  <si>
    <t>Avda. Las Colinas, 10-B esc. HI, 3º I</t>
  </si>
  <si>
    <t>ES0021000016651410MM</t>
  </si>
  <si>
    <t>CECOSA</t>
  </si>
  <si>
    <t>A47411749</t>
  </si>
  <si>
    <t>4078/001</t>
  </si>
  <si>
    <t>Ctra. de Rueda, s/n Bajo 1</t>
  </si>
  <si>
    <t>47500</t>
  </si>
  <si>
    <t>NAVA DEL REY</t>
  </si>
  <si>
    <t>ES0021000009136255CP1P</t>
  </si>
  <si>
    <t>CHAPMAN TAYLOR, S.L.</t>
  </si>
  <si>
    <t>B82586207</t>
  </si>
  <si>
    <t>6840/001</t>
  </si>
  <si>
    <t>Pº Recoletos, 16, 6º 1</t>
  </si>
  <si>
    <t>28001</t>
  </si>
  <si>
    <t>ES0021000004903825RS</t>
  </si>
  <si>
    <t>31/07/25  -22/08/25</t>
  </si>
  <si>
    <t>06/11/25  -30/11/25</t>
  </si>
  <si>
    <t>COLEGIO VALDESERRA, S.A.</t>
  </si>
  <si>
    <t>A84495126</t>
  </si>
  <si>
    <t>7693/001</t>
  </si>
  <si>
    <t>Av. Alhambra, 2</t>
  </si>
  <si>
    <t>04621</t>
  </si>
  <si>
    <t>MEDIA LEGUA (VERA)</t>
  </si>
  <si>
    <t>ALMERIA</t>
  </si>
  <si>
    <t>ES0031104653779001WK0F</t>
  </si>
  <si>
    <t>31/05/25  -29/06/25</t>
  </si>
  <si>
    <t>29/06/25  -31/07/25</t>
  </si>
  <si>
    <t>B83995142</t>
  </si>
  <si>
    <t>6297/004</t>
  </si>
  <si>
    <t>Urb. Las Colinas (Sector P.A.U.) Km 0,7</t>
  </si>
  <si>
    <t>ES0021000016305805CK</t>
  </si>
  <si>
    <t>30/04/25  -05/05/25</t>
  </si>
  <si>
    <t>05/05/25  -31/05/25</t>
  </si>
  <si>
    <t>6297/006</t>
  </si>
  <si>
    <t>Bonalba, 1</t>
  </si>
  <si>
    <t>ES0021000016779052BC</t>
  </si>
  <si>
    <t>30/04/25  -12/05/25</t>
  </si>
  <si>
    <t>12/05/25  -31/05/25</t>
  </si>
  <si>
    <t>31/10/25  -17/11/25</t>
  </si>
  <si>
    <t>17/11/25  -30/11/25</t>
  </si>
  <si>
    <t>6297/007</t>
  </si>
  <si>
    <t>Urb. Las Colinas (Sector P.A.U.) Km 4,7 Depuradora</t>
  </si>
  <si>
    <t>ES0021000015843068AK</t>
  </si>
  <si>
    <t>B83977868</t>
  </si>
  <si>
    <t>6298/001</t>
  </si>
  <si>
    <t>Bonalba Km 5,0</t>
  </si>
  <si>
    <t>ES0021000016837558WZ</t>
  </si>
  <si>
    <t>6298/002</t>
  </si>
  <si>
    <t>Urb. Las Colinas (Sector P, 1-bis 5, Bajo</t>
  </si>
  <si>
    <t>ES0021000016175565QF</t>
  </si>
  <si>
    <t>30/10/25  -30/11/25</t>
  </si>
  <si>
    <t>6298/003</t>
  </si>
  <si>
    <t>Urb. Las Colinas (Sector P, 1-bis 4 Bajo</t>
  </si>
  <si>
    <t>ES0021000016066608VR</t>
  </si>
  <si>
    <t>6298/004</t>
  </si>
  <si>
    <t>Pedrazas Prox. 3</t>
  </si>
  <si>
    <t>ES0021000037160892BL</t>
  </si>
  <si>
    <t>6298/005</t>
  </si>
  <si>
    <t>Bonalba, Km 5</t>
  </si>
  <si>
    <t>ES0021000016837466KZ</t>
  </si>
  <si>
    <t>16/02/25  -19/03/25</t>
  </si>
  <si>
    <t>19/03/25  -15/04/25</t>
  </si>
  <si>
    <t>6298/006</t>
  </si>
  <si>
    <t>ES0021000016837476ER</t>
  </si>
  <si>
    <t>12/09/25  -15/10/25</t>
  </si>
  <si>
    <t>6298/007</t>
  </si>
  <si>
    <t>Avda. Las Colinas, Km 27</t>
  </si>
  <si>
    <t>ES0021000016837668FD</t>
  </si>
  <si>
    <t>H85359586</t>
  </si>
  <si>
    <t>7024/001</t>
  </si>
  <si>
    <t>Virgilio, 2</t>
  </si>
  <si>
    <t>28223</t>
  </si>
  <si>
    <t>POZUELO DE ALARCON</t>
  </si>
  <si>
    <t>ES0021000005538311BT</t>
  </si>
  <si>
    <t>COMUNIDAD DE PROPIETARIOS EUROCIS</t>
  </si>
  <si>
    <t>H78330917</t>
  </si>
  <si>
    <t>4717/001</t>
  </si>
  <si>
    <t>Nuñez de Balboa, 116 - Bajo, 10</t>
  </si>
  <si>
    <t>28006</t>
  </si>
  <si>
    <t>ES0021000005022345WQ</t>
  </si>
  <si>
    <t>30/06/25  -20/07/25</t>
  </si>
  <si>
    <t>25/07/25  -31/07/25</t>
  </si>
  <si>
    <t>4717/002</t>
  </si>
  <si>
    <t>Nuñez de Balboa, 116 - Bajo, 14</t>
  </si>
  <si>
    <t>ES0021000005022346WV</t>
  </si>
  <si>
    <t>12/03/25  -08/04/25</t>
  </si>
  <si>
    <t>08/04/25  -13/05/25</t>
  </si>
  <si>
    <t>13/05/25  -11/06/25</t>
  </si>
  <si>
    <t>11/06/25  -10/07/25</t>
  </si>
  <si>
    <t>10/07/25  -20/07/25</t>
  </si>
  <si>
    <t>25/07/25  -18/08/25</t>
  </si>
  <si>
    <t>18/08/25  -10/09/25</t>
  </si>
  <si>
    <t>10/09/25  -10/10/25</t>
  </si>
  <si>
    <t>10/10/25  -12/11/25</t>
  </si>
  <si>
    <t>12/11/25  -10/12/25</t>
  </si>
  <si>
    <t>4717/003</t>
  </si>
  <si>
    <t>Nuñez de Balboa, 116 - Bajo, 4</t>
  </si>
  <si>
    <t>ES0021000005022347WH</t>
  </si>
  <si>
    <t>4717/004</t>
  </si>
  <si>
    <t>Maria De Molina, 50 - 1, Bajo</t>
  </si>
  <si>
    <t>ES0021000004925105YC</t>
  </si>
  <si>
    <t>4717/005</t>
  </si>
  <si>
    <t>Nuñez de Balboa, 114-1, Bajo</t>
  </si>
  <si>
    <t>ES0021000005022169HR</t>
  </si>
  <si>
    <t>4717/006</t>
  </si>
  <si>
    <t>Nuñez de Balboa, 116 - 1, Bajo</t>
  </si>
  <si>
    <t>ES0021000005022344WS</t>
  </si>
  <si>
    <t>4717/007</t>
  </si>
  <si>
    <t>Castello, 115 - 1, Bajo</t>
  </si>
  <si>
    <t>ES0021000004935239XB</t>
  </si>
  <si>
    <t>4717/008</t>
  </si>
  <si>
    <t>Castello, 117 - 1, Bajo</t>
  </si>
  <si>
    <t>ES0021000004935331ZB</t>
  </si>
  <si>
    <t>4717/009</t>
  </si>
  <si>
    <t>Nuñez de Balboa, 114 - Bajo</t>
  </si>
  <si>
    <t>ES0021000005022045NS</t>
  </si>
  <si>
    <t>B19236728</t>
  </si>
  <si>
    <t>4192/003</t>
  </si>
  <si>
    <t>Plgo. Sector I-3, Parcela 2-D, Bajo C2 M.T</t>
  </si>
  <si>
    <t>19208</t>
  </si>
  <si>
    <t>ALOVERA</t>
  </si>
  <si>
    <t>GUADALAJARA</t>
  </si>
  <si>
    <t>ES0021000013678811KH</t>
  </si>
  <si>
    <t>28/02/25  -03/03/25</t>
  </si>
  <si>
    <t>30/06/25  -11/07/25</t>
  </si>
  <si>
    <t>11/07/25  -31/07/25</t>
  </si>
  <si>
    <t>B04028734</t>
  </si>
  <si>
    <t>7821/010</t>
  </si>
  <si>
    <t>Cieza, 19</t>
  </si>
  <si>
    <t>30500</t>
  </si>
  <si>
    <t>MOLINA DE SEGURA</t>
  </si>
  <si>
    <t>ES0021000011324778EN</t>
  </si>
  <si>
    <t>30/06/25  -12/07/25</t>
  </si>
  <si>
    <t>12/07/25  -31/07/25</t>
  </si>
  <si>
    <t>7821/011</t>
  </si>
  <si>
    <t>Manuel de Falla, 14, Bajo 1</t>
  </si>
  <si>
    <t>03203</t>
  </si>
  <si>
    <t>ELCHE</t>
  </si>
  <si>
    <t>ES0021000015936706GA</t>
  </si>
  <si>
    <t>7821/012</t>
  </si>
  <si>
    <t>Velluters 2.123 esquina con Av. Corregers, 35</t>
  </si>
  <si>
    <t>46394</t>
  </si>
  <si>
    <t>RIBA ROJA DEL TURIA</t>
  </si>
  <si>
    <t>ES0026000010157327YZ0F</t>
  </si>
  <si>
    <t>B04177739</t>
  </si>
  <si>
    <t>7821/016</t>
  </si>
  <si>
    <t>POLI. INDUSTRIAL JUAIDA S/N</t>
  </si>
  <si>
    <t>04240</t>
  </si>
  <si>
    <t>VIATOR</t>
  </si>
  <si>
    <t>ES0031103653370001HX</t>
  </si>
  <si>
    <t>06/03/25  -31/03/25</t>
  </si>
  <si>
    <t>B11050176</t>
  </si>
  <si>
    <t>7821/013</t>
  </si>
  <si>
    <t>POLI. GUADALHORCE, PARCELA 14</t>
  </si>
  <si>
    <t>29004</t>
  </si>
  <si>
    <t>MALAGA</t>
  </si>
  <si>
    <t>ES0031102866475002ZD</t>
  </si>
  <si>
    <t>7821/014</t>
  </si>
  <si>
    <t>Av. De La Agricultura, Parcela 10-D</t>
  </si>
  <si>
    <t>11400</t>
  </si>
  <si>
    <t>ES0031104053032001NA</t>
  </si>
  <si>
    <t>30/09/25  -30/10/25</t>
  </si>
  <si>
    <t>30/10/25  -31/10/25</t>
  </si>
  <si>
    <t>7821/015</t>
  </si>
  <si>
    <t>Pg. Asegra Av. Asegra S/N</t>
  </si>
  <si>
    <t>18210</t>
  </si>
  <si>
    <t>PELIGROS</t>
  </si>
  <si>
    <t>GRANADA</t>
  </si>
  <si>
    <t>ES0031103269283001DS</t>
  </si>
  <si>
    <t>B13216684</t>
  </si>
  <si>
    <t>7821/003</t>
  </si>
  <si>
    <t>Socuellamos, 29</t>
  </si>
  <si>
    <t>13005</t>
  </si>
  <si>
    <t>ES0022000007365722GM</t>
  </si>
  <si>
    <t>B45269164</t>
  </si>
  <si>
    <t>7821/009</t>
  </si>
  <si>
    <t>Rio Jarama, 140 B, Puerta B5</t>
  </si>
  <si>
    <t>45007</t>
  </si>
  <si>
    <t>ES0021000015727067CD</t>
  </si>
  <si>
    <t>B78135944</t>
  </si>
  <si>
    <t>7821/004</t>
  </si>
  <si>
    <t>Pol. De Tabaza II, S/N - Nave Prensa, 0</t>
  </si>
  <si>
    <t>33438</t>
  </si>
  <si>
    <t>CARREÑO</t>
  </si>
  <si>
    <t>ASTURIAS</t>
  </si>
  <si>
    <t>ES0026000010206150JP0F</t>
  </si>
  <si>
    <t>30/06/25  -10/07/25</t>
  </si>
  <si>
    <t>10/07/25  -31/07/25</t>
  </si>
  <si>
    <t>7821/005</t>
  </si>
  <si>
    <t>Alamo, Parcela 24, Bajo</t>
  </si>
  <si>
    <t>47162</t>
  </si>
  <si>
    <t>ALDEAMAYOR DE SAN MARTIN</t>
  </si>
  <si>
    <t>ES0021000013749317MY</t>
  </si>
  <si>
    <t>7821/006</t>
  </si>
  <si>
    <t>Paris, 6 Bajo 1</t>
  </si>
  <si>
    <t>37184</t>
  </si>
  <si>
    <t>VILLARES DE LA REINA</t>
  </si>
  <si>
    <t>SALAMANCA</t>
  </si>
  <si>
    <t>ES0021000007226170AG</t>
  </si>
  <si>
    <t>B79232096</t>
  </si>
  <si>
    <t>7821/007</t>
  </si>
  <si>
    <t>Alcalde Ramon Añon. 18, Nave</t>
  </si>
  <si>
    <t>15189</t>
  </si>
  <si>
    <t>CULLEREDO</t>
  </si>
  <si>
    <t>LA CORUÑA</t>
  </si>
  <si>
    <t>ES0022000008637738VY1P</t>
  </si>
  <si>
    <t>30/06/25  -16/07/25</t>
  </si>
  <si>
    <t>16/07/25  -31/07/25</t>
  </si>
  <si>
    <t>18/11/25  -31/12/25</t>
  </si>
  <si>
    <t>7821/008</t>
  </si>
  <si>
    <t>Ctra. Zamora, Km 100, 8 Bajo</t>
  </si>
  <si>
    <t>24231</t>
  </si>
  <si>
    <t>ONZONILLA</t>
  </si>
  <si>
    <t>ES0021000003648588MA</t>
  </si>
  <si>
    <t>B85032514</t>
  </si>
  <si>
    <t>7821/002</t>
  </si>
  <si>
    <t>Avda. Del Sol, 17, Bajo</t>
  </si>
  <si>
    <t>ES0021000005678563JK</t>
  </si>
  <si>
    <t>DOUGLAS SPAIN, S.A.U.</t>
  </si>
  <si>
    <t>A28848836</t>
  </si>
  <si>
    <t>1616/010</t>
  </si>
  <si>
    <t>Avenida de la Constitución, 39</t>
  </si>
  <si>
    <t>28100</t>
  </si>
  <si>
    <t>ALCOBENDAS</t>
  </si>
  <si>
    <t>ES0021000003971740WM0F</t>
  </si>
  <si>
    <t>31/10/25  -25/11/25</t>
  </si>
  <si>
    <t>25/11/25  -30/11/25</t>
  </si>
  <si>
    <t>1616/011</t>
  </si>
  <si>
    <t>Av. Ejercito, 1</t>
  </si>
  <si>
    <t>28500</t>
  </si>
  <si>
    <t>ARGANDA DEL REY</t>
  </si>
  <si>
    <t>ES0022000007493630EX1P</t>
  </si>
  <si>
    <t>31/12/24  -29/01/25</t>
  </si>
  <si>
    <t>29/01/25  -28/02/25</t>
  </si>
  <si>
    <t>31/03/25  -01/05/25</t>
  </si>
  <si>
    <t>01/05/25  -15/05/25</t>
  </si>
  <si>
    <t>15/05/25  -30/06/25</t>
  </si>
  <si>
    <t>31/07/25  -04/08/25</t>
  </si>
  <si>
    <t>04/08/25  -31/08/25</t>
  </si>
  <si>
    <t>31/08/25  -31/10/25</t>
  </si>
  <si>
    <t>31/10/25  -24/11/25</t>
  </si>
  <si>
    <t>24/11/25  -31/12/25</t>
  </si>
  <si>
    <t>1616/014</t>
  </si>
  <si>
    <t>Avenida España 8</t>
  </si>
  <si>
    <t>ES0021000002285452DP0F</t>
  </si>
  <si>
    <t>1616/016</t>
  </si>
  <si>
    <t>Alfonso X El Sabio, 1</t>
  </si>
  <si>
    <t>ES0022000007620913JB1P</t>
  </si>
  <si>
    <t>31/10/25  -26/11/25</t>
  </si>
  <si>
    <t>26/11/25  -30/11/25</t>
  </si>
  <si>
    <t>1616/018</t>
  </si>
  <si>
    <t>Petra Sanchez, 2</t>
  </si>
  <si>
    <t>28820</t>
  </si>
  <si>
    <t>ES0022000006393114JK1P</t>
  </si>
  <si>
    <t>30/06/25  -02/08/25</t>
  </si>
  <si>
    <t>02/08/25  -03/08/25</t>
  </si>
  <si>
    <t>31/08/25  -01/10/25</t>
  </si>
  <si>
    <t>01/10/25  -31/10/25</t>
  </si>
  <si>
    <t>1616/072</t>
  </si>
  <si>
    <t>Gran Vía, 28</t>
  </si>
  <si>
    <t>28220</t>
  </si>
  <si>
    <t>MAJADAHONDA</t>
  </si>
  <si>
    <t>ES0021000005306706SM0F</t>
  </si>
  <si>
    <t>1616/080</t>
  </si>
  <si>
    <t>Antonio María Concha, 28</t>
  </si>
  <si>
    <t>10300</t>
  </si>
  <si>
    <t>NAVALMORAL DE LA MATA</t>
  </si>
  <si>
    <t>ES0021000002399247BE0F</t>
  </si>
  <si>
    <t>1616/083</t>
  </si>
  <si>
    <t>Del Sol, 54</t>
  </si>
  <si>
    <t>10600</t>
  </si>
  <si>
    <t>PLASENCIA</t>
  </si>
  <si>
    <t>ES0021000002429768GE0F</t>
  </si>
  <si>
    <t>1616/104</t>
  </si>
  <si>
    <t>Don Victor Peñasco, 57</t>
  </si>
  <si>
    <t>13700</t>
  </si>
  <si>
    <t>TOMELLOSO</t>
  </si>
  <si>
    <t>ES0022000007585970NM1P</t>
  </si>
  <si>
    <t>31/07/25  -02/08/25</t>
  </si>
  <si>
    <t>02/08/25  -04/08/25</t>
  </si>
  <si>
    <t>1616/121</t>
  </si>
  <si>
    <t>Av. Fernández Ladreda, 11</t>
  </si>
  <si>
    <t>40001</t>
  </si>
  <si>
    <t>SEGOVIA</t>
  </si>
  <si>
    <t>ES0022000005206008NZ1P</t>
  </si>
  <si>
    <t>1616/123</t>
  </si>
  <si>
    <t>Colombia, 4</t>
  </si>
  <si>
    <t>28016</t>
  </si>
  <si>
    <t>ES0022000006111116NA1P</t>
  </si>
  <si>
    <t>1616/150</t>
  </si>
  <si>
    <t>General Gallarza, 9</t>
  </si>
  <si>
    <t>26500</t>
  </si>
  <si>
    <t>CALAHORRA</t>
  </si>
  <si>
    <t>LA RIOJA</t>
  </si>
  <si>
    <t>ES0021000003761898DS</t>
  </si>
  <si>
    <t>1616/154</t>
  </si>
  <si>
    <t>Diego de León, 69, Bajo G</t>
  </si>
  <si>
    <t>ES0021000005131199CB0F</t>
  </si>
  <si>
    <t>1616/175</t>
  </si>
  <si>
    <t>Av. Labradores, 9, Bajo 2</t>
  </si>
  <si>
    <t>28760</t>
  </si>
  <si>
    <t>TRES CANTOS</t>
  </si>
  <si>
    <t>ES0021000011345619PS</t>
  </si>
  <si>
    <t>1616/181</t>
  </si>
  <si>
    <t>Goya, 51</t>
  </si>
  <si>
    <t>ES0022000006058529WV1P</t>
  </si>
  <si>
    <t>1616/203</t>
  </si>
  <si>
    <t>Comercial Madrid 2, 1 esc.B, Bajo 47</t>
  </si>
  <si>
    <t>28029</t>
  </si>
  <si>
    <t>ES0021000004879377LQ</t>
  </si>
  <si>
    <t>1616/210</t>
  </si>
  <si>
    <t>Laurel, 2, Bajo 1</t>
  </si>
  <si>
    <t>28005</t>
  </si>
  <si>
    <t>ES0021000004939434PC</t>
  </si>
  <si>
    <t>1616/214</t>
  </si>
  <si>
    <t>Caleruega, 116</t>
  </si>
  <si>
    <t>ES0022000007992068GS1P</t>
  </si>
  <si>
    <t>31/01/25  -04/03/25</t>
  </si>
  <si>
    <t>04/03/25  -31/03/25</t>
  </si>
  <si>
    <t>04/08/25  -01/09/25</t>
  </si>
  <si>
    <t>31/10/25  -29/11/25</t>
  </si>
  <si>
    <t>29/11/25  -03/12/25</t>
  </si>
  <si>
    <t>03/12/25  -31/12/25</t>
  </si>
  <si>
    <t>1616/271</t>
  </si>
  <si>
    <t>Angel 17 Bajo</t>
  </si>
  <si>
    <t>08012</t>
  </si>
  <si>
    <t>ES0031405991791001LJ0F</t>
  </si>
  <si>
    <t>24/11/25  -30/11/25</t>
  </si>
  <si>
    <t>1616/272</t>
  </si>
  <si>
    <t>Cerrajeros 4</t>
  </si>
  <si>
    <t>06300</t>
  </si>
  <si>
    <t>ZAFRA</t>
  </si>
  <si>
    <t>ES0031101573179002SN0F</t>
  </si>
  <si>
    <t>1616/275</t>
  </si>
  <si>
    <t>Isilla 17, Bajo 1</t>
  </si>
  <si>
    <t>09400</t>
  </si>
  <si>
    <t>ARANDA DE DUERO</t>
  </si>
  <si>
    <t>ES0021000001961133FN</t>
  </si>
  <si>
    <t>1616/282</t>
  </si>
  <si>
    <t>Ana de Viya, 13 PROVISIONAL</t>
  </si>
  <si>
    <t>11012</t>
  </si>
  <si>
    <t>ES0034111000072665YW0F</t>
  </si>
  <si>
    <t>31/07/25  -11/08/25</t>
  </si>
  <si>
    <t>11/08/25  -31/08/25</t>
  </si>
  <si>
    <t>1616/305</t>
  </si>
  <si>
    <t>Javier Echevarria 6, Bajo 3</t>
  </si>
  <si>
    <t>39700</t>
  </si>
  <si>
    <t>CASTRO-URDIALES</t>
  </si>
  <si>
    <t>CANTABRIA</t>
  </si>
  <si>
    <t>ES0021000007242382HR</t>
  </si>
  <si>
    <t>1616/309</t>
  </si>
  <si>
    <t>Mariano Cardedera, 2, Local Perfumería</t>
  </si>
  <si>
    <t>50015</t>
  </si>
  <si>
    <t>ES0031300014218071MD0F</t>
  </si>
  <si>
    <t>1616/318</t>
  </si>
  <si>
    <t>Pinto 0, CC Ferial LOC 21-24</t>
  </si>
  <si>
    <t>28980</t>
  </si>
  <si>
    <t>PARLA</t>
  </si>
  <si>
    <t>ES0021000005473313ZT0F</t>
  </si>
  <si>
    <t>1616/406</t>
  </si>
  <si>
    <t xml:space="preserve"> Valentín de Berriotxoa 4 Bajo 3</t>
  </si>
  <si>
    <t>48970</t>
  </si>
  <si>
    <t>BASAURI</t>
  </si>
  <si>
    <t>VIZCAYA</t>
  </si>
  <si>
    <t>ES0021000009481608QQ</t>
  </si>
  <si>
    <t>1616/407</t>
  </si>
  <si>
    <t>Barria Plaza 2 Bajo 1</t>
  </si>
  <si>
    <t>20600</t>
  </si>
  <si>
    <t>EIBAR</t>
  </si>
  <si>
    <t>GUIPUZCOA</t>
  </si>
  <si>
    <t>ES0021000003179028JB</t>
  </si>
  <si>
    <t>1616/408</t>
  </si>
  <si>
    <t>Avenida Diagonal 557 C.C. L'Illa Local 347</t>
  </si>
  <si>
    <t>08029</t>
  </si>
  <si>
    <t>ES0031405995807001NY0F</t>
  </si>
  <si>
    <t>1616/409</t>
  </si>
  <si>
    <t>Avenida Venezuela 10,</t>
  </si>
  <si>
    <t>38768</t>
  </si>
  <si>
    <t>LOS LLANOS DE ARIDANE</t>
  </si>
  <si>
    <t>TENERIFE</t>
  </si>
  <si>
    <t>ES0031601299973045DX0F</t>
  </si>
  <si>
    <t>1616/410</t>
  </si>
  <si>
    <t>Polígono Centro Comercial La Morera 1 B 07</t>
  </si>
  <si>
    <t>31191</t>
  </si>
  <si>
    <t>CORDOVILLA</t>
  </si>
  <si>
    <t>ES0021000011150301AJ</t>
  </si>
  <si>
    <t>1616/411</t>
  </si>
  <si>
    <t>Ercilla 28 Bajo 5</t>
  </si>
  <si>
    <t>48011</t>
  </si>
  <si>
    <t>BILBAO</t>
  </si>
  <si>
    <t>BIZKAIA</t>
  </si>
  <si>
    <t>ES0021000009553537QR</t>
  </si>
  <si>
    <t>1616/412</t>
  </si>
  <si>
    <t>San Andrés 1 Bajo</t>
  </si>
  <si>
    <t>31200</t>
  </si>
  <si>
    <t>ESTELLA</t>
  </si>
  <si>
    <t>ES0021000013288124DD</t>
  </si>
  <si>
    <t>1616/418</t>
  </si>
  <si>
    <t>Avenida Zaragoza 25 Bajo 1</t>
  </si>
  <si>
    <t>31500</t>
  </si>
  <si>
    <t>TUDELA</t>
  </si>
  <si>
    <t>ES0021000006811861KV</t>
  </si>
  <si>
    <t>1616/420</t>
  </si>
  <si>
    <t>Uria 7 Bajo 1 Droguería</t>
  </si>
  <si>
    <t>33202</t>
  </si>
  <si>
    <t>GIJÓN</t>
  </si>
  <si>
    <t>ES0026000000818957DN0F</t>
  </si>
  <si>
    <t>1616/421</t>
  </si>
  <si>
    <t xml:space="preserve"> Iturribide 2 Bajo 2</t>
  </si>
  <si>
    <t>48100</t>
  </si>
  <si>
    <t>MUNGIA</t>
  </si>
  <si>
    <t>ES0021000009878552WA</t>
  </si>
  <si>
    <t>1616/422</t>
  </si>
  <si>
    <t>Boulevard Peruri 33-2 Bajo L27</t>
  </si>
  <si>
    <t>48940</t>
  </si>
  <si>
    <t>LEIOA</t>
  </si>
  <si>
    <t>ES0021000009849000MY</t>
  </si>
  <si>
    <t>1616/423</t>
  </si>
  <si>
    <t>Ferrerías Kalea 26 Bajo 2</t>
  </si>
  <si>
    <t>20500</t>
  </si>
  <si>
    <t>ARRASATE O MONDRAGON</t>
  </si>
  <si>
    <t>ES0021000010901035KK</t>
  </si>
  <si>
    <t>1616/424</t>
  </si>
  <si>
    <t>Mayor 54</t>
  </si>
  <si>
    <t>14400</t>
  </si>
  <si>
    <t>POZOBLANCO</t>
  </si>
  <si>
    <t>CORDOBA</t>
  </si>
  <si>
    <t>ES0405000000025808HT0F</t>
  </si>
  <si>
    <t>30/08/25  -01/10/25</t>
  </si>
  <si>
    <t>29/09/25  -01/11/25</t>
  </si>
  <si>
    <t>30/10/25  -01/12/25</t>
  </si>
  <si>
    <t>29/11/25  -01/01/26</t>
  </si>
  <si>
    <t>1616/425</t>
  </si>
  <si>
    <t>Mayor 29</t>
  </si>
  <si>
    <t>22700</t>
  </si>
  <si>
    <t>JACA</t>
  </si>
  <si>
    <t>ES0031300572829001NA0F</t>
  </si>
  <si>
    <t>30/09/25  -09/10/25</t>
  </si>
  <si>
    <t>09/10/25  -31/10/25</t>
  </si>
  <si>
    <t>26/11/25  -31/12/25</t>
  </si>
  <si>
    <t>1616/426</t>
  </si>
  <si>
    <t>Calvo Sotelo 14 Bajo 02</t>
  </si>
  <si>
    <t>39002</t>
  </si>
  <si>
    <t>SANTANDER</t>
  </si>
  <si>
    <t>ES0027700034450002GA0F</t>
  </si>
  <si>
    <t>31/12/24  -03/01/25</t>
  </si>
  <si>
    <t>03/03/25  -03/04/25</t>
  </si>
  <si>
    <t>03/04/25  -03/05/25</t>
  </si>
  <si>
    <t>03/05/25  -03/06/25</t>
  </si>
  <si>
    <t>04/08/25  -03/10/25</t>
  </si>
  <si>
    <t>03/10/25  -03/11/25</t>
  </si>
  <si>
    <t>03/11/25  -03/12/25</t>
  </si>
  <si>
    <t>03/12/25  -03/01/26</t>
  </si>
  <si>
    <t>1616/427</t>
  </si>
  <si>
    <t>Sancho el Mayor 4 Bajo 5</t>
  </si>
  <si>
    <t>31002</t>
  </si>
  <si>
    <t>ES0021000006739562YF</t>
  </si>
  <si>
    <t>1616/428</t>
  </si>
  <si>
    <t>Mayor 28 Bajo 5</t>
  </si>
  <si>
    <t>48930</t>
  </si>
  <si>
    <t>LAS ARENAS (GETXO)</t>
  </si>
  <si>
    <t>ES0021000015789882ZB</t>
  </si>
  <si>
    <t>1616/429</t>
  </si>
  <si>
    <t>Madrid Hiribidea 12 Bajo 3</t>
  </si>
  <si>
    <t>20011</t>
  </si>
  <si>
    <t>DONOSTIA-SAN SEBASTIAN</t>
  </si>
  <si>
    <t>ES0021000003403623AB</t>
  </si>
  <si>
    <t>1616/430</t>
  </si>
  <si>
    <t>Parque Cañada - Ampl, 186-187 C. 22 Local</t>
  </si>
  <si>
    <t>29600</t>
  </si>
  <si>
    <t>MARBELLA</t>
  </si>
  <si>
    <t>ES0031104207912001PG0F</t>
  </si>
  <si>
    <t>1616/431</t>
  </si>
  <si>
    <t>Barrio Ventas 80 Local 25</t>
  </si>
  <si>
    <t>20305</t>
  </si>
  <si>
    <t>IRUN</t>
  </si>
  <si>
    <t>ES0021000003244906WV</t>
  </si>
  <si>
    <t>14/02/25  -28/02/25</t>
  </si>
  <si>
    <t>28/02/25  -10/03/25</t>
  </si>
  <si>
    <t>10/03/25  -31/03/25</t>
  </si>
  <si>
    <t>1616/432</t>
  </si>
  <si>
    <t>C.C. Agandara Calle Castelao P91-94</t>
  </si>
  <si>
    <t>15578</t>
  </si>
  <si>
    <t>NARON</t>
  </si>
  <si>
    <t>ES0022000008167029KS1P</t>
  </si>
  <si>
    <t>1616/433</t>
  </si>
  <si>
    <t>Avenida Diagonal 561-AG 5032397 SEM-2</t>
  </si>
  <si>
    <t>ES0031405996012005RB0F</t>
  </si>
  <si>
    <t>31/12/24  -01/02/25</t>
  </si>
  <si>
    <t>01/02/25  -02/03/25</t>
  </si>
  <si>
    <t>02/03/25  -31/03/25</t>
  </si>
  <si>
    <t>31/03/25  -02/05/25</t>
  </si>
  <si>
    <t>02/05/25  -01/06/25</t>
  </si>
  <si>
    <t>01/06/25  -29/06/25</t>
  </si>
  <si>
    <t>31/07/25  -01/08/25</t>
  </si>
  <si>
    <t>01/08/25  -04/08/25</t>
  </si>
  <si>
    <t>04/08/25  -02/09/25</t>
  </si>
  <si>
    <t>02/09/25  -03/10/25</t>
  </si>
  <si>
    <t>03/11/25  -02/12/25</t>
  </si>
  <si>
    <t>02/12/25  -06/01/26</t>
  </si>
  <si>
    <t>1616/434</t>
  </si>
  <si>
    <t>Calle Esquiroz 31 Bajo 4,</t>
  </si>
  <si>
    <t>ES0021000006683327EF</t>
  </si>
  <si>
    <t>1616/435</t>
  </si>
  <si>
    <t>Francisco Gourie 107-Dunas Bajo 4</t>
  </si>
  <si>
    <t>35002</t>
  </si>
  <si>
    <t>LAS PALMAS DE GRAN CANARIA</t>
  </si>
  <si>
    <t>LAS PALMAS</t>
  </si>
  <si>
    <t>ES0031601110495069EJ0F</t>
  </si>
  <si>
    <t>1616/436</t>
  </si>
  <si>
    <t>Paseo del Muro 24-26,</t>
  </si>
  <si>
    <t>50600</t>
  </si>
  <si>
    <t>EJEA DE LOS CABALLEROS</t>
  </si>
  <si>
    <t>ES0031300169968011NK0F</t>
  </si>
  <si>
    <t>31/08/25  -08/09/25</t>
  </si>
  <si>
    <t>08/09/25  -30/09/25</t>
  </si>
  <si>
    <t>30/11/25  -01/12/25</t>
  </si>
  <si>
    <t>01/12/25  -31/12/25</t>
  </si>
  <si>
    <t>1616/438</t>
  </si>
  <si>
    <t>Aurea Díaz Flores s/n (Planta Alta Local 14)</t>
  </si>
  <si>
    <t>38005</t>
  </si>
  <si>
    <t>SANTA CRUZ DE TENERIFE</t>
  </si>
  <si>
    <t>ES0031601102169024VZ</t>
  </si>
  <si>
    <t>31/01/25  -24/02/25</t>
  </si>
  <si>
    <t>24/02/25  -29/03/25</t>
  </si>
  <si>
    <t>29/03/25  -30/04/25</t>
  </si>
  <si>
    <t>1616/439</t>
  </si>
  <si>
    <t>Bernart Etxepare 10 Bajo 4</t>
  </si>
  <si>
    <t>48960</t>
  </si>
  <si>
    <t>GALDAKAO</t>
  </si>
  <si>
    <t>ES0021000009753539VH</t>
  </si>
  <si>
    <t>1616/440</t>
  </si>
  <si>
    <t>Gipuzkoa Kalea 14 Bajo 1</t>
  </si>
  <si>
    <t>20800</t>
  </si>
  <si>
    <t>ZARAUTZ</t>
  </si>
  <si>
    <t>ES0021000003494822NS</t>
  </si>
  <si>
    <t>1616/441</t>
  </si>
  <si>
    <t>Telletxe 1-E Bajo 5</t>
  </si>
  <si>
    <t>48990</t>
  </si>
  <si>
    <t>ALGORTA-GEITXO</t>
  </si>
  <si>
    <t>ES0021000009800912FB</t>
  </si>
  <si>
    <t>1616/442</t>
  </si>
  <si>
    <t>Aduana Vieja 1 Bajo 1</t>
  </si>
  <si>
    <t>42002</t>
  </si>
  <si>
    <t>SORIA</t>
  </si>
  <si>
    <t>ES0021000007294972GJ</t>
  </si>
  <si>
    <t>1616/443</t>
  </si>
  <si>
    <t>Sekundino Esnaola Kalea 36 Bajo 2</t>
  </si>
  <si>
    <t>20700</t>
  </si>
  <si>
    <t>ZUMARRAGA</t>
  </si>
  <si>
    <t>ES0021000003510754SP</t>
  </si>
  <si>
    <t>1616/444</t>
  </si>
  <si>
    <t>Nafarroa Etorbidea 11 B</t>
  </si>
  <si>
    <t>20400</t>
  </si>
  <si>
    <t>TOLOSA</t>
  </si>
  <si>
    <t>ES0411000000007018QX0F</t>
  </si>
  <si>
    <t>1616/445</t>
  </si>
  <si>
    <t>Sector 201 Industrial 1 Bajo 10</t>
  </si>
  <si>
    <t>20212</t>
  </si>
  <si>
    <t>OLABERRIA</t>
  </si>
  <si>
    <t>ES0021000003296732WR</t>
  </si>
  <si>
    <t>1616/446</t>
  </si>
  <si>
    <t>Gran Vía Juan Carlos I 18 Bajo 1</t>
  </si>
  <si>
    <t>26002</t>
  </si>
  <si>
    <t>LOGROÑO</t>
  </si>
  <si>
    <t>ES0021000003841031TM</t>
  </si>
  <si>
    <t>1616/447</t>
  </si>
  <si>
    <t>Ermodo 27 Bajo 4</t>
  </si>
  <si>
    <t>48200</t>
  </si>
  <si>
    <t>DURANGO</t>
  </si>
  <si>
    <t>ES0021000009723936HQ</t>
  </si>
  <si>
    <t>1616/448</t>
  </si>
  <si>
    <t>Matia Kalea 19 Bajo 1</t>
  </si>
  <si>
    <t>20008</t>
  </si>
  <si>
    <t>ES0021000003393545WF</t>
  </si>
  <si>
    <t>1616/449</t>
  </si>
  <si>
    <t>Avenida Gasteiz 26 Bajo 3</t>
  </si>
  <si>
    <t>01008</t>
  </si>
  <si>
    <t>ALAVA</t>
  </si>
  <si>
    <t>ES0021000000089691ZB</t>
  </si>
  <si>
    <t>1616/450</t>
  </si>
  <si>
    <t>Calle Juan de Garay 6 Bajo 5</t>
  </si>
  <si>
    <t>48901</t>
  </si>
  <si>
    <t>BARAKALDO</t>
  </si>
  <si>
    <t>ES0021000009437001DY</t>
  </si>
  <si>
    <t>1616/451</t>
  </si>
  <si>
    <t>Avenida Cristóbal Murrieta 2 Bajo 8</t>
  </si>
  <si>
    <t>48980</t>
  </si>
  <si>
    <t>SANTURTZI</t>
  </si>
  <si>
    <t>ES0021000009942472KY</t>
  </si>
  <si>
    <t>1616/452</t>
  </si>
  <si>
    <t>Hondarribia Kalea 6 Bajo 1</t>
  </si>
  <si>
    <t>20005</t>
  </si>
  <si>
    <t>ES0021000003385329JW</t>
  </si>
  <si>
    <t>1616/453</t>
  </si>
  <si>
    <t>Rua de Dato 10 Local</t>
  </si>
  <si>
    <t>50300</t>
  </si>
  <si>
    <t>CALATAYUD</t>
  </si>
  <si>
    <t>ES0031300153549008VM0F</t>
  </si>
  <si>
    <t>1616/454</t>
  </si>
  <si>
    <t>Calle Santa Clara 4 Bajo 3</t>
  </si>
  <si>
    <t>48006</t>
  </si>
  <si>
    <t>ES0021000009674529DJ</t>
  </si>
  <si>
    <t>1616/456</t>
  </si>
  <si>
    <t>Pablo Picasso 13 Bajo 5</t>
  </si>
  <si>
    <t>48300</t>
  </si>
  <si>
    <t>GERNIKA-LUMO</t>
  </si>
  <si>
    <t>ES0021000009832454KC</t>
  </si>
  <si>
    <t>1616/457</t>
  </si>
  <si>
    <t>Alfonso XI Aren Kalea 10, Bajo L04B</t>
  </si>
  <si>
    <t>20100</t>
  </si>
  <si>
    <t>ERRENTERIA</t>
  </si>
  <si>
    <t>ES0021000012427932FV</t>
  </si>
  <si>
    <t>12/09/25  -30/09/25</t>
  </si>
  <si>
    <t>B86772225</t>
  </si>
  <si>
    <t>1616/346</t>
  </si>
  <si>
    <t>Juan Carlos 1 15-C.C Biosfera 1-8 Perfumeria</t>
  </si>
  <si>
    <t>35510</t>
  </si>
  <si>
    <t>PUERTO DEL CARMEN</t>
  </si>
  <si>
    <t>ES0031601074492008YW0F</t>
  </si>
  <si>
    <t>1616/347</t>
  </si>
  <si>
    <t>Av. Principal de Añaza - CC Sta. Cruz 2-11</t>
  </si>
  <si>
    <t>38111</t>
  </si>
  <si>
    <t>AÑAZA</t>
  </si>
  <si>
    <t>ES0031601017152002RP0F</t>
  </si>
  <si>
    <t>1616/348</t>
  </si>
  <si>
    <t>Castillo 19 Perfumeria</t>
  </si>
  <si>
    <t>38002</t>
  </si>
  <si>
    <t>ES0031607272589001VR0F</t>
  </si>
  <si>
    <t>1616/355</t>
  </si>
  <si>
    <t>Almerimar Pcl - Copo.Tiendas Loc - 125 B Perfumeria</t>
  </si>
  <si>
    <t>04700</t>
  </si>
  <si>
    <t>EL EJIDO</t>
  </si>
  <si>
    <t>ES0031103535902047GW0F</t>
  </si>
  <si>
    <t>1616/375</t>
  </si>
  <si>
    <t>Pg San Jerónimo Mdo-CC Alcampo Loc 54</t>
  </si>
  <si>
    <t>38300</t>
  </si>
  <si>
    <t>LA OROTAVA</t>
  </si>
  <si>
    <t>ES0031601079576066EW0F</t>
  </si>
  <si>
    <t>B87046157</t>
  </si>
  <si>
    <t>6964/001</t>
  </si>
  <si>
    <t>Castellana, 77 AT Crista</t>
  </si>
  <si>
    <t>28032</t>
  </si>
  <si>
    <t>ES0022000005731789XS1P</t>
  </si>
  <si>
    <t>B86500725</t>
  </si>
  <si>
    <t>6323/001</t>
  </si>
  <si>
    <t>Hermosilla 11, Bajo</t>
  </si>
  <si>
    <t>ES0021000004889455CC</t>
  </si>
  <si>
    <t>6323/002</t>
  </si>
  <si>
    <t>Hermosilla, 11, 6º derecha</t>
  </si>
  <si>
    <t>ES0021000004889472KZ</t>
  </si>
  <si>
    <t>B78588456</t>
  </si>
  <si>
    <t>6937/001</t>
  </si>
  <si>
    <t>Titán, 8</t>
  </si>
  <si>
    <t>28045</t>
  </si>
  <si>
    <t>ES0021000012788580WW</t>
  </si>
  <si>
    <t>31/12/24  -10/01/25</t>
  </si>
  <si>
    <t>10/01/25  -31/01/25</t>
  </si>
  <si>
    <t>30/06/25  -02/07/25</t>
  </si>
  <si>
    <t>02/07/25  -31/07/25</t>
  </si>
  <si>
    <t>FINANCIERA PRONOVIAS, S.A.</t>
  </si>
  <si>
    <t>A08378663</t>
  </si>
  <si>
    <t>4584/005</t>
  </si>
  <si>
    <t>D. Jaime I, 16 Loc-Dch</t>
  </si>
  <si>
    <t>50001</t>
  </si>
  <si>
    <t>ES0031300042011019CX0F</t>
  </si>
  <si>
    <t>4584/008</t>
  </si>
  <si>
    <t>Pz. Mayor, 9</t>
  </si>
  <si>
    <t>07002</t>
  </si>
  <si>
    <t>PALMA DE MALLORCA</t>
  </si>
  <si>
    <t>BALEARES</t>
  </si>
  <si>
    <t>ES0031500119764002JL0F</t>
  </si>
  <si>
    <t>31/10/25  -11/11/25</t>
  </si>
  <si>
    <t>11/11/25  -30/11/25</t>
  </si>
  <si>
    <t>4584/010</t>
  </si>
  <si>
    <t>Ignacio Figueroa, 2 Bajo</t>
  </si>
  <si>
    <t>23001</t>
  </si>
  <si>
    <t>JAEN</t>
  </si>
  <si>
    <t>ES0031101636254016WX0F</t>
  </si>
  <si>
    <t>4584/011</t>
  </si>
  <si>
    <t>Berdigon, 20</t>
  </si>
  <si>
    <t>21003</t>
  </si>
  <si>
    <t>HUELVA</t>
  </si>
  <si>
    <t>ES0031102685626008RS0F</t>
  </si>
  <si>
    <t>31/10/25  -27/11/25</t>
  </si>
  <si>
    <t>27/11/25  -31/12/25</t>
  </si>
  <si>
    <t>4584/017</t>
  </si>
  <si>
    <t>Pz Lugo, 22</t>
  </si>
  <si>
    <t>15004</t>
  </si>
  <si>
    <t>ES0022000004095058XX1P</t>
  </si>
  <si>
    <t>13/01/25  -12/02/25</t>
  </si>
  <si>
    <t>12/02/25  -14/03/25</t>
  </si>
  <si>
    <t>14/03/25  -31/03/25</t>
  </si>
  <si>
    <t>31/03/25  -14/04/25</t>
  </si>
  <si>
    <t>14/04/25  -13/05/25</t>
  </si>
  <si>
    <t>13/05/25  -12/06/25</t>
  </si>
  <si>
    <t>12/06/25  -14/07/25</t>
  </si>
  <si>
    <t>14/07/25  -11/08/25</t>
  </si>
  <si>
    <t>11/08/25  -15/09/25</t>
  </si>
  <si>
    <t>15/09/25  -15/10/25</t>
  </si>
  <si>
    <t>15/10/25  -12/11/25</t>
  </si>
  <si>
    <t>12/11/25  -12/12/25</t>
  </si>
  <si>
    <t>12/12/25  -14/01/26</t>
  </si>
  <si>
    <t>4584/019</t>
  </si>
  <si>
    <t>Mayor, 6</t>
  </si>
  <si>
    <t>28013</t>
  </si>
  <si>
    <t>ES0022000006227415PZ1P</t>
  </si>
  <si>
    <t>31/12/24  -04/02/25</t>
  </si>
  <si>
    <t>04/02/25  -28/02/25</t>
  </si>
  <si>
    <t>4584/020</t>
  </si>
  <si>
    <t>Serrano, 31</t>
  </si>
  <si>
    <t>ES0022000006066272VD1P</t>
  </si>
  <si>
    <t>08/01/25  -10/02/25</t>
  </si>
  <si>
    <t>10/02/25  -10/03/25</t>
  </si>
  <si>
    <t>31/03/25  -06/05/25</t>
  </si>
  <si>
    <t>06/05/25  -03/06/25</t>
  </si>
  <si>
    <t>03/06/25  -08/07/25</t>
  </si>
  <si>
    <t>08/07/25  -06/08/25</t>
  </si>
  <si>
    <t>06/08/25  -04/09/25</t>
  </si>
  <si>
    <t>04/09/25  -06/10/25</t>
  </si>
  <si>
    <t>06/10/25  -11/11/25</t>
  </si>
  <si>
    <t>11/11/25  -09/12/25</t>
  </si>
  <si>
    <t>09/12/25  -07/01/26</t>
  </si>
  <si>
    <t>4584/021</t>
  </si>
  <si>
    <t>Nueve de Mayo, 3, Bajo 2</t>
  </si>
  <si>
    <t>33002</t>
  </si>
  <si>
    <t>OVIEDO</t>
  </si>
  <si>
    <t>ES0026000000458685PN0F</t>
  </si>
  <si>
    <t>4584/026</t>
  </si>
  <si>
    <t>Cesar Elguezabal, 5, A</t>
  </si>
  <si>
    <t>03001</t>
  </si>
  <si>
    <t>ES0021000000642510SW</t>
  </si>
  <si>
    <t>4584/027</t>
  </si>
  <si>
    <t>Navarra, 10, Bajo 3</t>
  </si>
  <si>
    <t>48001</t>
  </si>
  <si>
    <t>ES0021000009633579TA</t>
  </si>
  <si>
    <t>4584/028</t>
  </si>
  <si>
    <t>Pº Zorrilla, 32, Bajo 5</t>
  </si>
  <si>
    <t>47006</t>
  </si>
  <si>
    <t>ES0021000009352738WS</t>
  </si>
  <si>
    <t>4584/037</t>
  </si>
  <si>
    <t>San Martin Kalea, 27, Bajo 1</t>
  </si>
  <si>
    <t>ES0021000003426915GG</t>
  </si>
  <si>
    <t>4584/041</t>
  </si>
  <si>
    <t>ES0031500119764003JC0F</t>
  </si>
  <si>
    <t>30/09/25  -28/10/25</t>
  </si>
  <si>
    <t>28/10/25  -30/11/25</t>
  </si>
  <si>
    <t>4584/042</t>
  </si>
  <si>
    <t>Columela, 27 Tejidos</t>
  </si>
  <si>
    <t>11004</t>
  </si>
  <si>
    <t>ES0034111307583002MV0F</t>
  </si>
  <si>
    <t>4584/049</t>
  </si>
  <si>
    <t>Oropesa, 6</t>
  </si>
  <si>
    <t>41004</t>
  </si>
  <si>
    <t>ES0031104873496001AE0F</t>
  </si>
  <si>
    <t>4584/050</t>
  </si>
  <si>
    <t>Prado, 2, Cosmet</t>
  </si>
  <si>
    <t>ES0022000007663149DL1P</t>
  </si>
  <si>
    <t>4584/051</t>
  </si>
  <si>
    <t>Xátiva, 1-B, Puerta C</t>
  </si>
  <si>
    <t>46002</t>
  </si>
  <si>
    <t>ES0021000008705611HQ</t>
  </si>
  <si>
    <t>30/09/25  -15/10/25</t>
  </si>
  <si>
    <t>15/10/25  -31/10/25</t>
  </si>
  <si>
    <t>4584/053</t>
  </si>
  <si>
    <t>San Bartolomé, 9</t>
  </si>
  <si>
    <t>30004</t>
  </si>
  <si>
    <t>ES0021000013140386AT</t>
  </si>
  <si>
    <t>4584/054</t>
  </si>
  <si>
    <t>RB Catalunya 129, Corsega 2090, Loc. Local</t>
  </si>
  <si>
    <t>08007</t>
  </si>
  <si>
    <t>ES0031408413683002JH0F</t>
  </si>
  <si>
    <t>4584/055</t>
  </si>
  <si>
    <t>Nueva, 28 Local</t>
  </si>
  <si>
    <t>29005</t>
  </si>
  <si>
    <t>ES0031102875570024BA</t>
  </si>
  <si>
    <t>4584/056</t>
  </si>
  <si>
    <t>Valentin Sanz, 23 Edf. Esc. 1, Loc-Bajo 1, Local</t>
  </si>
  <si>
    <t>ES0031601178491002QB0F</t>
  </si>
  <si>
    <t>30/09/25  -21/10/25</t>
  </si>
  <si>
    <t>21/10/25  -31/10/25</t>
  </si>
  <si>
    <t>4584/057</t>
  </si>
  <si>
    <t>Cerrajería, 2 - Local 2</t>
  </si>
  <si>
    <t>ES0031102242447001JG</t>
  </si>
  <si>
    <t>30/11/25  -15/12/25</t>
  </si>
  <si>
    <t>15/12/25  -31/12/25</t>
  </si>
  <si>
    <t>4584/059</t>
  </si>
  <si>
    <t>Jesús Cruz Conde, 1</t>
  </si>
  <si>
    <t>14008</t>
  </si>
  <si>
    <t>ES0031101317161002QA0F</t>
  </si>
  <si>
    <t>4584/061</t>
  </si>
  <si>
    <t>San Agustin. 3, BAJO A</t>
  </si>
  <si>
    <t>ES0021000008705610HS</t>
  </si>
  <si>
    <t>13/01/25  -16/02/25</t>
  </si>
  <si>
    <t>16/02/25  -11/03/25</t>
  </si>
  <si>
    <t>11/03/25  -09/04/25</t>
  </si>
  <si>
    <t>09/04/25  -12/05/25</t>
  </si>
  <si>
    <t>12/05/25  -10/06/25</t>
  </si>
  <si>
    <t>10/06/25  -13/07/25</t>
  </si>
  <si>
    <t>13/07/25  -17/08/25</t>
  </si>
  <si>
    <t>17/08/25  -10/09/25</t>
  </si>
  <si>
    <t>10/09/25  -13/10/25</t>
  </si>
  <si>
    <t>11/12/25  -14/01/26</t>
  </si>
  <si>
    <t>4584/063</t>
  </si>
  <si>
    <t>General Vives, 18, Loc-B</t>
  </si>
  <si>
    <t>35007</t>
  </si>
  <si>
    <t>ES0031607497460005QM</t>
  </si>
  <si>
    <t>4584/064</t>
  </si>
  <si>
    <t>Velazquez, 29, Local 1</t>
  </si>
  <si>
    <t>ES0022000009078014TQ</t>
  </si>
  <si>
    <t>4584/069</t>
  </si>
  <si>
    <t>Arenal 7, 1º G</t>
  </si>
  <si>
    <t>ES0021000012482983DY</t>
  </si>
  <si>
    <t>09/01/25  -13/02/25</t>
  </si>
  <si>
    <t>13/02/25  -09/03/25</t>
  </si>
  <si>
    <t>09/03/25  -07/04/25</t>
  </si>
  <si>
    <t>07/04/25  -08/05/25</t>
  </si>
  <si>
    <t>08/05/25  -08/06/25</t>
  </si>
  <si>
    <t>08/06/25  -08/07/25</t>
  </si>
  <si>
    <t>08/07/25  -12/08/25</t>
  </si>
  <si>
    <t>12/08/25  -08/09/25</t>
  </si>
  <si>
    <t>08/09/25  -08/10/25</t>
  </si>
  <si>
    <t>09/11/25  -09/12/25</t>
  </si>
  <si>
    <t>09/12/25  -11/01/26</t>
  </si>
  <si>
    <t>4584/070</t>
  </si>
  <si>
    <t>Menacho, 38, Loc Comercial</t>
  </si>
  <si>
    <t>06001</t>
  </si>
  <si>
    <t>ES0031101527279020MA0F</t>
  </si>
  <si>
    <t>30/09/25  -16/10/25</t>
  </si>
  <si>
    <t>16/10/25  -31/10/25</t>
  </si>
  <si>
    <t>4584/073</t>
  </si>
  <si>
    <t>Navarra, 6 3º A</t>
  </si>
  <si>
    <t>ES0021000009633519CN1P</t>
  </si>
  <si>
    <t>07/01/25  -04/02/25</t>
  </si>
  <si>
    <t>04/02/25  -05/03/25</t>
  </si>
  <si>
    <t>05/03/25  -31/03/25</t>
  </si>
  <si>
    <t>31/03/25  -03/04/25</t>
  </si>
  <si>
    <t>03/04/25  -06/05/25</t>
  </si>
  <si>
    <t>04/06/25  -03/07/25</t>
  </si>
  <si>
    <t>05/11/25  -03/12/25</t>
  </si>
  <si>
    <t>03/12/25  -07/01/26</t>
  </si>
  <si>
    <t>4584/074</t>
  </si>
  <si>
    <t>ES0021000009352736WJ</t>
  </si>
  <si>
    <t>10/06/25  -10/07/25</t>
  </si>
  <si>
    <t>10/07/25  -17/08/25</t>
  </si>
  <si>
    <t>17/08/25  -09/09/25</t>
  </si>
  <si>
    <t>12/10/25  -12/11/25</t>
  </si>
  <si>
    <t>B35679786</t>
  </si>
  <si>
    <t>4584/062</t>
  </si>
  <si>
    <t>General Vives, 18, Loc-A</t>
  </si>
  <si>
    <t>35011</t>
  </si>
  <si>
    <t>ES0031607497460004QG</t>
  </si>
  <si>
    <t>29/12/24  -31/01/25</t>
  </si>
  <si>
    <t>28/02/25  -29/03/25</t>
  </si>
  <si>
    <t>29/03/25  -29/04/25</t>
  </si>
  <si>
    <t>29/04/25  -30/05/25</t>
  </si>
  <si>
    <t>30/05/25  -29/06/25</t>
  </si>
  <si>
    <t>29/06/25  -28/07/25</t>
  </si>
  <si>
    <t>28/07/25  -29/08/25</t>
  </si>
  <si>
    <t>29/08/25  -28/09/25</t>
  </si>
  <si>
    <t>28/09/25  -28/10/25</t>
  </si>
  <si>
    <t>28/10/25  -28/11/25</t>
  </si>
  <si>
    <t>28/11/25  -30/12/25</t>
  </si>
  <si>
    <t>FRUCTUOSO AREVALO HERRERO, S.L.</t>
  </si>
  <si>
    <t>B47277405</t>
  </si>
  <si>
    <t>7576/001</t>
  </si>
  <si>
    <t>Industrial Cantimpalos 30</t>
  </si>
  <si>
    <t>40360</t>
  </si>
  <si>
    <t>CANTIMPALOS</t>
  </si>
  <si>
    <t>ES0022000008527776CF1P</t>
  </si>
  <si>
    <t>FUNDACION UNIVERSITARIA G.J. CHAMINADE</t>
  </si>
  <si>
    <t>G82674730</t>
  </si>
  <si>
    <t>6663/001</t>
  </si>
  <si>
    <t>Paseo Juan XXIII, 9 esc 1 Bajo</t>
  </si>
  <si>
    <t>28040</t>
  </si>
  <si>
    <t>ES0021000005102011QX</t>
  </si>
  <si>
    <t>GALA GARCIA, S.C.</t>
  </si>
  <si>
    <t>J40211930</t>
  </si>
  <si>
    <t>7539/001</t>
  </si>
  <si>
    <t>Acebras, 17 Nave</t>
  </si>
  <si>
    <t>40350</t>
  </si>
  <si>
    <t>ESCALONA DEL PRADO</t>
  </si>
  <si>
    <t>ES0022000009063105LB</t>
  </si>
  <si>
    <t>30/06/25  -01/07/25</t>
  </si>
  <si>
    <t>A28396042</t>
  </si>
  <si>
    <t>7548/001</t>
  </si>
  <si>
    <t>Yerma, 11, Puerta Soco1</t>
  </si>
  <si>
    <t>ES0022000008034445FA1P</t>
  </si>
  <si>
    <t>3.0TD SOS</t>
  </si>
  <si>
    <t>7548/002</t>
  </si>
  <si>
    <t>Serrano Galvache, 50 - Socor1</t>
  </si>
  <si>
    <t>ES0022000008034514XA1P</t>
  </si>
  <si>
    <t>20/12/24  -20/02/25</t>
  </si>
  <si>
    <t>20/02/25  -18/03/25</t>
  </si>
  <si>
    <t>18/03/25  -31/03/25</t>
  </si>
  <si>
    <t>31/03/25  -22/04/25</t>
  </si>
  <si>
    <t>22/04/25  -12/05/25</t>
  </si>
  <si>
    <t>12/05/25  -20/05/25</t>
  </si>
  <si>
    <t>20/05/25  -20/06/25</t>
  </si>
  <si>
    <t>20/06/25  -17/07/25</t>
  </si>
  <si>
    <t>17/07/25  -14/08/25</t>
  </si>
  <si>
    <t>14/08/25  -30/09/25</t>
  </si>
  <si>
    <t>30/09/25  -20/10/25</t>
  </si>
  <si>
    <t>20/10/25  -30/11/25</t>
  </si>
  <si>
    <t>20/11/25  -23/12/25</t>
  </si>
  <si>
    <t>7548/003</t>
  </si>
  <si>
    <t>Serrano Galvache, 56 - Socor1</t>
  </si>
  <si>
    <t>ES0022000008034486PK1P</t>
  </si>
  <si>
    <t>7548/004</t>
  </si>
  <si>
    <t>Serrano Galvache, 46 Puerta - Socorr</t>
  </si>
  <si>
    <t>ES0022000008561323YC1P</t>
  </si>
  <si>
    <t>7548/005</t>
  </si>
  <si>
    <t>Yerma, 7 - Socor1</t>
  </si>
  <si>
    <t>ES0022000008034427YP1P</t>
  </si>
  <si>
    <t>7548/006</t>
  </si>
  <si>
    <t>Yerma, 11 - Socor3</t>
  </si>
  <si>
    <t>ES0022000008034449FF1P</t>
  </si>
  <si>
    <t>7548/007</t>
  </si>
  <si>
    <t>Yerma, 11 - Socor2</t>
  </si>
  <si>
    <t>ES0022000008034447FM1P</t>
  </si>
  <si>
    <t>7548/008</t>
  </si>
  <si>
    <t>Yerma, 1 - Socor1</t>
  </si>
  <si>
    <t>ES0022000008034404MP1P</t>
  </si>
  <si>
    <t>6137/002</t>
  </si>
  <si>
    <t>Génova 27, Banco</t>
  </si>
  <si>
    <t>28010</t>
  </si>
  <si>
    <t>ES0022000005731520KE1P</t>
  </si>
  <si>
    <t>6137/005</t>
  </si>
  <si>
    <t>Orense, 34, Finca</t>
  </si>
  <si>
    <t>28020</t>
  </si>
  <si>
    <t>ES0022000005731771DC1P</t>
  </si>
  <si>
    <t>31/05/25  -24/06/25</t>
  </si>
  <si>
    <t>24/06/25  -30/06/25</t>
  </si>
  <si>
    <t>6137/006</t>
  </si>
  <si>
    <t>Pedro Teixeira 8, Finca</t>
  </si>
  <si>
    <t>ES0022000005731783XD1P</t>
  </si>
  <si>
    <t>31/07/25  -24/08/25</t>
  </si>
  <si>
    <t>24/08/25  -31/08/25</t>
  </si>
  <si>
    <t>6137/007</t>
  </si>
  <si>
    <t>Luchana 23, 7ª</t>
  </si>
  <si>
    <t>ES0021000005151508YB1P</t>
  </si>
  <si>
    <t>6137/008</t>
  </si>
  <si>
    <t>Luchana 23, 7ª-1</t>
  </si>
  <si>
    <t>ES0021000005151500YA1P</t>
  </si>
  <si>
    <t>6137/009</t>
  </si>
  <si>
    <t>Luchana 23, Bajo 5</t>
  </si>
  <si>
    <t>ES0021000005151479MM1P</t>
  </si>
  <si>
    <t>6137/012</t>
  </si>
  <si>
    <t>Yerma 1</t>
  </si>
  <si>
    <t>ES0022000008034403MF1P</t>
  </si>
  <si>
    <t>6137/013</t>
  </si>
  <si>
    <t>Yerma 7</t>
  </si>
  <si>
    <t>ES0022000008034426YF1P</t>
  </si>
  <si>
    <t>30/04/25  -06/05/25</t>
  </si>
  <si>
    <t>06/05/25  -31/05/25</t>
  </si>
  <si>
    <t>6137/014</t>
  </si>
  <si>
    <t>Yerma 11, Garaje</t>
  </si>
  <si>
    <t>ES0022000008034448FY1P</t>
  </si>
  <si>
    <t>20/12/24  -21/01/25</t>
  </si>
  <si>
    <t>21/01/25  -20/02/25</t>
  </si>
  <si>
    <t>22/04/25  -20/05/25</t>
  </si>
  <si>
    <t>20/05/25  -02/06/25</t>
  </si>
  <si>
    <t>02/06/25  -20/06/25</t>
  </si>
  <si>
    <t>14/08/25  -23/09/25</t>
  </si>
  <si>
    <t>23/09/25  -20/10/25</t>
  </si>
  <si>
    <t>6137/015</t>
  </si>
  <si>
    <t>Yerma 11, Urbani</t>
  </si>
  <si>
    <t>ES0022000008034451FD1P</t>
  </si>
  <si>
    <t>31/05/25  -03/06/25</t>
  </si>
  <si>
    <t>03/06/25  -30/06/25</t>
  </si>
  <si>
    <t>30/06/25  -24/07/25</t>
  </si>
  <si>
    <t>24/07/25  -31/07/25</t>
  </si>
  <si>
    <t>6137/016</t>
  </si>
  <si>
    <t>Serrano Galvache 56</t>
  </si>
  <si>
    <t>ES0022000008034485PC1P</t>
  </si>
  <si>
    <t>6137/017</t>
  </si>
  <si>
    <t>Serrano Galvache 50</t>
  </si>
  <si>
    <t>ES0022000008034513XW1P</t>
  </si>
  <si>
    <t>6137/018</t>
  </si>
  <si>
    <t>Serrano Galvache 50, CONFER</t>
  </si>
  <si>
    <t>ES0022000008034515XG1P</t>
  </si>
  <si>
    <t>20/02/25  -31/03/25</t>
  </si>
  <si>
    <t>6137/019</t>
  </si>
  <si>
    <t>Serrano Galvache, 46</t>
  </si>
  <si>
    <t>ES0022000008071771CT1P</t>
  </si>
  <si>
    <t>6137/024</t>
  </si>
  <si>
    <t>Yerma, 11, Puerta Finca</t>
  </si>
  <si>
    <t>ES0022000008034444FW1P</t>
  </si>
  <si>
    <t>6137/025</t>
  </si>
  <si>
    <t>Yerma, 11, Riti</t>
  </si>
  <si>
    <t>ES0022000008034454FN1P</t>
  </si>
  <si>
    <t>16/02/25  -15/03/25</t>
  </si>
  <si>
    <t>15/03/25  -15/04/25</t>
  </si>
  <si>
    <t>12/05/25  -15/05/25</t>
  </si>
  <si>
    <t>15/07/25  -14/08/25</t>
  </si>
  <si>
    <t>14/08/25  -15/09/25</t>
  </si>
  <si>
    <t>15/10/25  -16/11/25</t>
  </si>
  <si>
    <t>16/11/25  -09/12/25</t>
  </si>
  <si>
    <t>09/12/25  -15/01/26</t>
  </si>
  <si>
    <t>6137/026</t>
  </si>
  <si>
    <t>Castellana, 81, Bajo</t>
  </si>
  <si>
    <t>28046</t>
  </si>
  <si>
    <t>ES0022000005731777XA1P</t>
  </si>
  <si>
    <t>6137/030</t>
  </si>
  <si>
    <t>Quintanadueñas 2-1, Bajo - Edificio OXXEO</t>
  </si>
  <si>
    <t>28050</t>
  </si>
  <si>
    <t>ES0021000020965096ZH</t>
  </si>
  <si>
    <t>6137/040</t>
  </si>
  <si>
    <t>Manuel Silvela, 15 3º</t>
  </si>
  <si>
    <t>ES0022000006175048PH1P</t>
  </si>
  <si>
    <t>17/12/24  -23/01/25</t>
  </si>
  <si>
    <t>23/01/25  -24/02/25</t>
  </si>
  <si>
    <t>24/02/25  -24/03/25</t>
  </si>
  <si>
    <t>24/03/25  -24/04/25</t>
  </si>
  <si>
    <t>24/04/25  -12/05/25</t>
  </si>
  <si>
    <t>12/05/25  -25/05/25</t>
  </si>
  <si>
    <t>25/05/25  -24/06/25</t>
  </si>
  <si>
    <t>24/06/25  -23/07/25</t>
  </si>
  <si>
    <t>23/07/25  -24/08/25</t>
  </si>
  <si>
    <t>24/08/25  -24/09/25</t>
  </si>
  <si>
    <t>24/09/25  -23/10/25</t>
  </si>
  <si>
    <t>23/10/25  -24/11/25</t>
  </si>
  <si>
    <t>24/11/25  -15/12/25</t>
  </si>
  <si>
    <t>6137/043</t>
  </si>
  <si>
    <t>Cmno. Quintanadueñas, 6-SG</t>
  </si>
  <si>
    <t>ES0021000022339458SS</t>
  </si>
  <si>
    <t>6137/044</t>
  </si>
  <si>
    <t>Manuel Cortina, 2, Bajo 4</t>
  </si>
  <si>
    <t>ES0022000006175056DA</t>
  </si>
  <si>
    <t>6137/045</t>
  </si>
  <si>
    <t>Luchana, 23 Piso 4 Pta. 2</t>
  </si>
  <si>
    <t>ES0021000005151507YX</t>
  </si>
  <si>
    <t>6137/046</t>
  </si>
  <si>
    <t>Hermosilla, 3</t>
  </si>
  <si>
    <t>ES0021000042513150GQ</t>
  </si>
  <si>
    <t>6137/047</t>
  </si>
  <si>
    <t>Yerma 1, Bajo</t>
  </si>
  <si>
    <t>ES0022000008034407MB1P</t>
  </si>
  <si>
    <t>12/01/25  -11/02/25</t>
  </si>
  <si>
    <t>11/02/25  -13/03/25</t>
  </si>
  <si>
    <t>13/03/25  -10/04/25</t>
  </si>
  <si>
    <t>10/04/25  -06/05/25</t>
  </si>
  <si>
    <t>06/05/25  -11/05/25</t>
  </si>
  <si>
    <t>11/05/25  -11/06/25</t>
  </si>
  <si>
    <t>10/07/25  -11/08/25</t>
  </si>
  <si>
    <t>11/08/25  -11/09/25</t>
  </si>
  <si>
    <t>11/09/25  -12/10/25</t>
  </si>
  <si>
    <t>12/10/25  -11/11/25</t>
  </si>
  <si>
    <t>11/11/25  -08/12/25</t>
  </si>
  <si>
    <t>08/12/25  -11/01/26</t>
  </si>
  <si>
    <t>6137/048</t>
  </si>
  <si>
    <t>Serrano Galvache 50, RI-TI</t>
  </si>
  <si>
    <t>ES0022000008034497DD1P</t>
  </si>
  <si>
    <t>07/01/25  -06/02/25</t>
  </si>
  <si>
    <t>06/02/25  -10/03/25</t>
  </si>
  <si>
    <t>10/03/25  -07/04/25</t>
  </si>
  <si>
    <t>07/04/25  -07/05/25</t>
  </si>
  <si>
    <t>07/05/25  -12/05/25</t>
  </si>
  <si>
    <t>12/05/25  -08/06/25</t>
  </si>
  <si>
    <t>08/06/25  -07/07/25</t>
  </si>
  <si>
    <t>07/07/25  -07/08/25</t>
  </si>
  <si>
    <t>07/08/25  -07/09/25</t>
  </si>
  <si>
    <t>07/09/25  -07/10/25</t>
  </si>
  <si>
    <t>07/10/25  -15/10/25</t>
  </si>
  <si>
    <t>15/10/25  -28/01/26</t>
  </si>
  <si>
    <t>6137/049</t>
  </si>
  <si>
    <t>Serrano Galvache 56, Bajo</t>
  </si>
  <si>
    <t>ES0022000008034490DW1P</t>
  </si>
  <si>
    <t>14/01/25  -06/03/25</t>
  </si>
  <si>
    <t>06/03/25  -12/05/25</t>
  </si>
  <si>
    <t>12/05/25  -11/07/25</t>
  </si>
  <si>
    <t>11/07/25  -12/09/25</t>
  </si>
  <si>
    <t>6137/050</t>
  </si>
  <si>
    <t>Yerma 7 Bajo</t>
  </si>
  <si>
    <t>ES0022000008034428YD</t>
  </si>
  <si>
    <t>06/03/25  -06/05/25</t>
  </si>
  <si>
    <t>06/05/25  -14/05/25</t>
  </si>
  <si>
    <t>14/05/25  -11/07/25</t>
  </si>
  <si>
    <t>11/07/25  -05/11/25</t>
  </si>
  <si>
    <t>05/11/25  -12/01/26</t>
  </si>
  <si>
    <t>GRUPO PLANETA AZUL, S.A.</t>
  </si>
  <si>
    <t>A08557209</t>
  </si>
  <si>
    <t>68/002</t>
  </si>
  <si>
    <t>Ctra. de Guadarrama, Km. 14,800</t>
  </si>
  <si>
    <t>28280</t>
  </si>
  <si>
    <t>EL ESCORIAL</t>
  </si>
  <si>
    <t>ES0021000004215470LG0F</t>
  </si>
  <si>
    <t>31/01/25  -13/02/25</t>
  </si>
  <si>
    <t>13/02/25  -28/02/25</t>
  </si>
  <si>
    <t>28/02/25  -14/03/25</t>
  </si>
  <si>
    <t>03063208E</t>
  </si>
  <si>
    <t>7377/002</t>
  </si>
  <si>
    <t>Prado 44, Esc. EX Piso 5 Puerta DR</t>
  </si>
  <si>
    <t>28014</t>
  </si>
  <si>
    <t>ES0022000006267059FY1P</t>
  </si>
  <si>
    <t>16/12/24  -23/01/25</t>
  </si>
  <si>
    <t>23/01/25  -23/02/25</t>
  </si>
  <si>
    <t>23/02/25  -23/03/25</t>
  </si>
  <si>
    <t>23/03/25  -23/04/25</t>
  </si>
  <si>
    <t>23/04/25  -22/05/25</t>
  </si>
  <si>
    <t>22/05/25  -23/06/25</t>
  </si>
  <si>
    <t>23/06/25  -22/07/25</t>
  </si>
  <si>
    <t>22/07/25  -24/08/25</t>
  </si>
  <si>
    <t>24/08/25  -23/09/25</t>
  </si>
  <si>
    <t>23/09/25  -23/10/25</t>
  </si>
  <si>
    <t>23/10/25  -23/11/25</t>
  </si>
  <si>
    <t>23/11/25  -16/12/25</t>
  </si>
  <si>
    <t>B86722022</t>
  </si>
  <si>
    <t>7377/001</t>
  </si>
  <si>
    <t>Dublín, 70</t>
  </si>
  <si>
    <t>28670</t>
  </si>
  <si>
    <t>VILLAVICIOSA DE ODON</t>
  </si>
  <si>
    <t>ES0021000043755147TJ</t>
  </si>
  <si>
    <t>03/02/25  -14/02/25</t>
  </si>
  <si>
    <t>14/02/25  -10/03/25</t>
  </si>
  <si>
    <t>11/05/25  -19/05/25</t>
  </si>
  <si>
    <t>19/05/25  -09/06/25</t>
  </si>
  <si>
    <t>09/06/25  -06/07/25</t>
  </si>
  <si>
    <t>06/07/25  -13/08/25</t>
  </si>
  <si>
    <t>08/09/25  -07/10/25</t>
  </si>
  <si>
    <t>07/10/25  -10/11/25</t>
  </si>
  <si>
    <t>09/12/25  -12/01/26</t>
  </si>
  <si>
    <t>INGENIERIA DE ENCOFRADOS Y SERVICIOS, S.L.</t>
  </si>
  <si>
    <t>B61211926</t>
  </si>
  <si>
    <t>6446/001</t>
  </si>
  <si>
    <t>Gobelas, 21, Bajo</t>
  </si>
  <si>
    <t>ES0021000005151161ZD0F</t>
  </si>
  <si>
    <t>31/03/25  -08/04/25</t>
  </si>
  <si>
    <t>08/04/25  -30/04/25</t>
  </si>
  <si>
    <t>6446/003</t>
  </si>
  <si>
    <t>St. Adjutori (Urb. C. Del Golf) 2-Unifamiliar</t>
  </si>
  <si>
    <t>08174</t>
  </si>
  <si>
    <t>SANT CUGAT</t>
  </si>
  <si>
    <t>ES0031408279083001ML0F</t>
  </si>
  <si>
    <t>6446/004</t>
  </si>
  <si>
    <t>Balmes, 49 Servicios Generales</t>
  </si>
  <si>
    <t>ES0031408494206003EL0F</t>
  </si>
  <si>
    <t>6446/005</t>
  </si>
  <si>
    <t>Balmes 49, Reserva</t>
  </si>
  <si>
    <t>ES0031408494222001MD0F</t>
  </si>
  <si>
    <t>6446/007</t>
  </si>
  <si>
    <t>Vic, 6</t>
  </si>
  <si>
    <t>08130</t>
  </si>
  <si>
    <t>STA.PERPETUA MOGODA</t>
  </si>
  <si>
    <t>ES0031408579015001XJ0F</t>
  </si>
  <si>
    <t>6446/008</t>
  </si>
  <si>
    <t>Extremadura, 5</t>
  </si>
  <si>
    <t>08830</t>
  </si>
  <si>
    <t>SANT BOI LLOBREGAT</t>
  </si>
  <si>
    <t>ES0031408566390001SN0F</t>
  </si>
  <si>
    <t>31/05/25  -17/06/25</t>
  </si>
  <si>
    <t>17/06/25  -30/06/25</t>
  </si>
  <si>
    <t>B85911543</t>
  </si>
  <si>
    <t>7861/001</t>
  </si>
  <si>
    <t>Avda. Rey Juan Carlos I, nº 17 bajo 2</t>
  </si>
  <si>
    <t>28915</t>
  </si>
  <si>
    <t>LEGANES</t>
  </si>
  <si>
    <t>ES0021000004467459GM</t>
  </si>
  <si>
    <t>10/01/25  -22/01/25</t>
  </si>
  <si>
    <t>22/01/25  -23/02/25</t>
  </si>
  <si>
    <t>24/07/25  -24/08/25</t>
  </si>
  <si>
    <t>24/08/25  -15/09/25</t>
  </si>
  <si>
    <t>15/09/25  -30/09/25</t>
  </si>
  <si>
    <t>B44579175</t>
  </si>
  <si>
    <t>7733/001</t>
  </si>
  <si>
    <t>José de Cadalso, 80 Bajo Puerta 4</t>
  </si>
  <si>
    <t>28044</t>
  </si>
  <si>
    <t>ES0021000004585788LE</t>
  </si>
  <si>
    <t>7733/003</t>
  </si>
  <si>
    <t>Monegros, 2, bajo LC03</t>
  </si>
  <si>
    <t>ES0021000004454404BZ</t>
  </si>
  <si>
    <t>7733/004</t>
  </si>
  <si>
    <t>Puerto de Maspalomas 1, Bajo D</t>
  </si>
  <si>
    <t>ES0021000010489323SD</t>
  </si>
  <si>
    <t>7733/005</t>
  </si>
  <si>
    <t>Plza. Sierra Ayllón 1, Bajo</t>
  </si>
  <si>
    <t>28031</t>
  </si>
  <si>
    <t>ES0022000006571755YK</t>
  </si>
  <si>
    <t>13/05/25  -17/06/25</t>
  </si>
  <si>
    <t>13/08/25  -11/09/25</t>
  </si>
  <si>
    <t>11/09/25  -10/10/25</t>
  </si>
  <si>
    <t>7733/007</t>
  </si>
  <si>
    <t>Vía Complutense 35</t>
  </si>
  <si>
    <t>28805</t>
  </si>
  <si>
    <t>ALCALA DE HENARES</t>
  </si>
  <si>
    <t>ES0022000007594546VW</t>
  </si>
  <si>
    <t>18/12/24  -27/01/25</t>
  </si>
  <si>
    <t>27/01/25  -27/02/25</t>
  </si>
  <si>
    <t>27/02/25  -27/03/25</t>
  </si>
  <si>
    <t>27/03/25  -28/04/25</t>
  </si>
  <si>
    <t>28/04/25  -27/05/25</t>
  </si>
  <si>
    <t>27/05/25  -25/06/25</t>
  </si>
  <si>
    <t>25/06/25  -27/07/25</t>
  </si>
  <si>
    <t>27/07/25  -27/08/25</t>
  </si>
  <si>
    <t>B70858394</t>
  </si>
  <si>
    <t>7822/001</t>
  </si>
  <si>
    <t>Real Nº 45</t>
  </si>
  <si>
    <t>28400</t>
  </si>
  <si>
    <t>COLLADO VILLALBA</t>
  </si>
  <si>
    <t>ES0021000004178326ZM</t>
  </si>
  <si>
    <t>31/03/25  -15/04/25</t>
  </si>
  <si>
    <t>15/04/25  -30/04/25</t>
  </si>
  <si>
    <t>7822/002</t>
  </si>
  <si>
    <t>Avda. Libertad 1, Bajo</t>
  </si>
  <si>
    <t>28924</t>
  </si>
  <si>
    <t>ALCORCON</t>
  </si>
  <si>
    <t>ES0021000004032611AH</t>
  </si>
  <si>
    <t>18/07/25  -31/07/25</t>
  </si>
  <si>
    <t>MADEGAN, S.A.</t>
  </si>
  <si>
    <t>A78781184</t>
  </si>
  <si>
    <t>7612/001</t>
  </si>
  <si>
    <t>Cedros, 5</t>
  </si>
  <si>
    <t>28979</t>
  </si>
  <si>
    <t>SERRANILLOS DEL VALLE</t>
  </si>
  <si>
    <t>ES0021000010382581CX0F</t>
  </si>
  <si>
    <t>30/06/25  -07/07/25</t>
  </si>
  <si>
    <t>07/07/25  -09/07/25</t>
  </si>
  <si>
    <t>09/07/25  -31/07/25</t>
  </si>
  <si>
    <t>B56195498</t>
  </si>
  <si>
    <t>7772/001</t>
  </si>
  <si>
    <t>Marroquina, 38</t>
  </si>
  <si>
    <t>28030</t>
  </si>
  <si>
    <t>ES0022000006451194DA1P</t>
  </si>
  <si>
    <t>B86769973</t>
  </si>
  <si>
    <t>7451/001</t>
  </si>
  <si>
    <t>Avda. Rey Juan Carlos I nº 22 Bajo, 4</t>
  </si>
  <si>
    <t>ES0021000004467567PK</t>
  </si>
  <si>
    <t>7451/003</t>
  </si>
  <si>
    <t>Manojo de Rosas, 67 BJ 3</t>
  </si>
  <si>
    <t>28041</t>
  </si>
  <si>
    <t>ES0021000004589889ZY</t>
  </si>
  <si>
    <t>22/12/24  -27/01/25</t>
  </si>
  <si>
    <t>27/01/25  -25/02/25</t>
  </si>
  <si>
    <t>26/03/25  -27/04/25</t>
  </si>
  <si>
    <t>27/04/25  -27/05/25</t>
  </si>
  <si>
    <t>25/06/25  -24/07/25</t>
  </si>
  <si>
    <t>24/11/25  -21/12/25</t>
  </si>
  <si>
    <t>7451/004</t>
  </si>
  <si>
    <t>Pza. Beata María Ana de Jesús, 1</t>
  </si>
  <si>
    <t>ES0021000005085871GQ1P</t>
  </si>
  <si>
    <t>7451/005</t>
  </si>
  <si>
    <t>Minerva, 15 Bajo</t>
  </si>
  <si>
    <t>ES0022000008154206QA1P</t>
  </si>
  <si>
    <t>01/01/25  -02/02/25</t>
  </si>
  <si>
    <t>02/02/25  -02/03/25</t>
  </si>
  <si>
    <t>02/03/25  -02/04/25</t>
  </si>
  <si>
    <t>02/04/25  -03/05/25</t>
  </si>
  <si>
    <t>03/05/25  -02/06/25</t>
  </si>
  <si>
    <t>02/06/25  -02/07/25</t>
  </si>
  <si>
    <t>02/07/25  -04/08/25</t>
  </si>
  <si>
    <t>02/09/25  -01/10/25</t>
  </si>
  <si>
    <t>01/10/25  -02/11/25</t>
  </si>
  <si>
    <t>02/11/25  -01/12/25</t>
  </si>
  <si>
    <t>01/12/25  -01/01/26</t>
  </si>
  <si>
    <t>7451/006</t>
  </si>
  <si>
    <t>Miranda de Arga, 2, Puerta Garaje</t>
  </si>
  <si>
    <t>ES0022000006677906EG1P</t>
  </si>
  <si>
    <t>14/01/25  -11/02/25</t>
  </si>
  <si>
    <t>13/03/25  -14/04/25</t>
  </si>
  <si>
    <t>14/04/25  -14/05/25</t>
  </si>
  <si>
    <t>14/05/25  -15/06/25</t>
  </si>
  <si>
    <t>15/06/25  -14/07/25</t>
  </si>
  <si>
    <t>14/07/25  -14/08/25</t>
  </si>
  <si>
    <t>14/08/25  -14/09/25</t>
  </si>
  <si>
    <t>14/09/25  -12/10/25</t>
  </si>
  <si>
    <t>12/11/25  -09/12/25</t>
  </si>
  <si>
    <t>46866178K</t>
  </si>
  <si>
    <t>7789/008</t>
  </si>
  <si>
    <t>Granada, 44</t>
  </si>
  <si>
    <t>29015</t>
  </si>
  <si>
    <t>ES0031102864840015KT0F</t>
  </si>
  <si>
    <t>23/12/24  -24/01/25</t>
  </si>
  <si>
    <t>25/06/25  -21/07/25</t>
  </si>
  <si>
    <t>21/07/25  -23/08/25</t>
  </si>
  <si>
    <t>23/08/25  -20/09/25</t>
  </si>
  <si>
    <t>20/09/25  -18/10/25</t>
  </si>
  <si>
    <t>18/10/25  -22/11/25</t>
  </si>
  <si>
    <t>22/11/25  -21/12/25</t>
  </si>
  <si>
    <t>07016595P</t>
  </si>
  <si>
    <t>7507/001</t>
  </si>
  <si>
    <t>Adelfas, 55, Bajo</t>
  </si>
  <si>
    <t>28660</t>
  </si>
  <si>
    <t>BOADILLA DEL MONTE</t>
  </si>
  <si>
    <t>ES0021000004112569FM0F</t>
  </si>
  <si>
    <t>31/05/25  -22/06/25</t>
  </si>
  <si>
    <t>22/06/25  -30/06/25</t>
  </si>
  <si>
    <t>30/11/25  -04/12/25</t>
  </si>
  <si>
    <t>05/12/25  -31/12/25</t>
  </si>
  <si>
    <t>MRDIY TIENDAS, S.L.U.</t>
  </si>
  <si>
    <t>B06793269</t>
  </si>
  <si>
    <t>7626/001</t>
  </si>
  <si>
    <t>Mzna. Centro Comercial Los Alfa, s/n, F01</t>
  </si>
  <si>
    <t>45600</t>
  </si>
  <si>
    <t>TALAVERA DE LA REINA</t>
  </si>
  <si>
    <t>ES0021000012803102NB</t>
  </si>
  <si>
    <t>7626/002</t>
  </si>
  <si>
    <t>Plza. Juan Carlos I, 1-1, Bajo 49</t>
  </si>
  <si>
    <t>28905</t>
  </si>
  <si>
    <t>ES0021000004356217CZ</t>
  </si>
  <si>
    <t>7626/003</t>
  </si>
  <si>
    <t>Madrid, 30, Bajo 10</t>
  </si>
  <si>
    <t>ES0021000004359118PV</t>
  </si>
  <si>
    <t>7626/005</t>
  </si>
  <si>
    <t>Enmedio, 34</t>
  </si>
  <si>
    <t>ES0021000005668135CN1P</t>
  </si>
  <si>
    <t>7626/007</t>
  </si>
  <si>
    <t>Pº Del Ocio, 1, 0-20</t>
  </si>
  <si>
    <t>19005</t>
  </si>
  <si>
    <t>ES0022000008635853GF1P</t>
  </si>
  <si>
    <t>30/09/25  -04/11/25</t>
  </si>
  <si>
    <t>04/11/25  -30/11/25</t>
  </si>
  <si>
    <t>7626/008</t>
  </si>
  <si>
    <t>Bravo Murillo 189, Bajo</t>
  </si>
  <si>
    <t>ES0021000004896633XE0F</t>
  </si>
  <si>
    <t>7626/009</t>
  </si>
  <si>
    <t>Divino Valles, 1</t>
  </si>
  <si>
    <t>ES0022000001236547LP</t>
  </si>
  <si>
    <t>7626/010</t>
  </si>
  <si>
    <t>Jose Zorrilla, 80 Bajo</t>
  </si>
  <si>
    <t>40002</t>
  </si>
  <si>
    <t>ES0022000007596645QP</t>
  </si>
  <si>
    <t>7626/013</t>
  </si>
  <si>
    <t>Cigueña, 15, Bajo 2</t>
  </si>
  <si>
    <t>47013</t>
  </si>
  <si>
    <t>ES0021000009216912PG</t>
  </si>
  <si>
    <t>7626/015</t>
  </si>
  <si>
    <t>Avda. Tres Cruces, 13, Bajo 12</t>
  </si>
  <si>
    <t>49001</t>
  </si>
  <si>
    <t>ZAMORA</t>
  </si>
  <si>
    <t>ES0021000010197228BZ</t>
  </si>
  <si>
    <t>7626/017</t>
  </si>
  <si>
    <t>Amaya, 11 Bajo 2</t>
  </si>
  <si>
    <t>31004</t>
  </si>
  <si>
    <t>ES0021000006662205TE</t>
  </si>
  <si>
    <t>7626/018</t>
  </si>
  <si>
    <t>Pº Doctor Torres Villarroel, 11</t>
  </si>
  <si>
    <t>37006</t>
  </si>
  <si>
    <t>ES0021000013340463PT0F</t>
  </si>
  <si>
    <t>7626/020</t>
  </si>
  <si>
    <t>General Vara del Rey, 63, Bajo 2</t>
  </si>
  <si>
    <t>ES0021000003838824LY</t>
  </si>
  <si>
    <t>7626/022</t>
  </si>
  <si>
    <t>Augusto Gonzalez Linares</t>
  </si>
  <si>
    <t>39300</t>
  </si>
  <si>
    <t>TORRELAVEGA</t>
  </si>
  <si>
    <t>ES0027700531783001GT</t>
  </si>
  <si>
    <t>07/01/25  -07/02/25</t>
  </si>
  <si>
    <t>07/02/25  -07/03/25</t>
  </si>
  <si>
    <t>07/03/25  -07/04/25</t>
  </si>
  <si>
    <t>07/05/25  -07/06/25</t>
  </si>
  <si>
    <t>07/06/25  -07/07/25</t>
  </si>
  <si>
    <t>07/10/25  -07/11/25</t>
  </si>
  <si>
    <t>07/11/25  -07/12/25</t>
  </si>
  <si>
    <t>07/12/25  -07/01/26</t>
  </si>
  <si>
    <t>7626/023</t>
  </si>
  <si>
    <t>Av. Mediterráneo, 99, Bajo B25</t>
  </si>
  <si>
    <t>16004</t>
  </si>
  <si>
    <t>CUENCA</t>
  </si>
  <si>
    <t>ES0032000011240358RF</t>
  </si>
  <si>
    <t>7626/025</t>
  </si>
  <si>
    <t>Simón de Anda, 2 Bajo 1</t>
  </si>
  <si>
    <t>01012</t>
  </si>
  <si>
    <t>VITORIA</t>
  </si>
  <si>
    <t>ES0021000000141879YN</t>
  </si>
  <si>
    <t>31/08/25  -23/09/25</t>
  </si>
  <si>
    <t>23/09/25  -30/09/25</t>
  </si>
  <si>
    <t>30/09/25  -10/10/25</t>
  </si>
  <si>
    <t>10/10/25  -31/10/25</t>
  </si>
  <si>
    <t>7626/026</t>
  </si>
  <si>
    <t>Sant Francesc de Borja 79, LOC BAJO</t>
  </si>
  <si>
    <t>46702</t>
  </si>
  <si>
    <t>GANDIA</t>
  </si>
  <si>
    <t>ES0021000021790989CG0F</t>
  </si>
  <si>
    <t>31/08/25  -25/09/25</t>
  </si>
  <si>
    <t>25/09/25  -30/09/25</t>
  </si>
  <si>
    <t>7626/027</t>
  </si>
  <si>
    <t>Cristobal Sanz, 25</t>
  </si>
  <si>
    <t>03201</t>
  </si>
  <si>
    <t>ES0021000001054172LX</t>
  </si>
  <si>
    <t>31/01/25  -06/02/25</t>
  </si>
  <si>
    <t>06/02/25  -28/02/25</t>
  </si>
  <si>
    <t>7626/028</t>
  </si>
  <si>
    <t>Los Fueros 23-1, Bajo LC</t>
  </si>
  <si>
    <t>01005</t>
  </si>
  <si>
    <t>ES0021000000088328RM</t>
  </si>
  <si>
    <t>7626/029</t>
  </si>
  <si>
    <t>Lehendakari Leizaola 20, E1</t>
  </si>
  <si>
    <t>ES0021000012023695GM1P</t>
  </si>
  <si>
    <t>7626/030</t>
  </si>
  <si>
    <t>Pol. Ind. Sector I-3, Parcela 2-C, Bajo</t>
  </si>
  <si>
    <t>ES0021000013678808KS</t>
  </si>
  <si>
    <t>7626/031</t>
  </si>
  <si>
    <t>Avda. Ribera 7, Bajo S058</t>
  </si>
  <si>
    <t>48009</t>
  </si>
  <si>
    <t>SAN VICENTE DE BARAKALDO</t>
  </si>
  <si>
    <t>ES0021000015420553XQ</t>
  </si>
  <si>
    <t>03/02/25  -28/02/25</t>
  </si>
  <si>
    <t>7626/032</t>
  </si>
  <si>
    <t>Lg Parque Corredor 7, Bajo 9</t>
  </si>
  <si>
    <t>ES0021000011871178CR0F</t>
  </si>
  <si>
    <t>17/03/25  -31/03/25</t>
  </si>
  <si>
    <t>26/05/25  -31/05/25</t>
  </si>
  <si>
    <t>OCHO VILLAS SDAD. COOP. CLM</t>
  </si>
  <si>
    <t>F45214392</t>
  </si>
  <si>
    <t>7364/002</t>
  </si>
  <si>
    <t>Avd. Estación, 5 A</t>
  </si>
  <si>
    <t>45540</t>
  </si>
  <si>
    <t>ERUSTES</t>
  </si>
  <si>
    <t>ES0021000007365905YZ</t>
  </si>
  <si>
    <t>01/08/25  -31/08/25</t>
  </si>
  <si>
    <t>PARAPUÑOS DE ARRIBA, S.L.</t>
  </si>
  <si>
    <t>B45678570</t>
  </si>
  <si>
    <t>7712/001</t>
  </si>
  <si>
    <t>Ctra. Monroy Jaraicejo, Km. 11,0 Bajo</t>
  </si>
  <si>
    <t>10194</t>
  </si>
  <si>
    <t>MONROY</t>
  </si>
  <si>
    <t>ES0021000002380353HB</t>
  </si>
  <si>
    <t>PICARILLO INMUEBLES, S.L.</t>
  </si>
  <si>
    <t>B88056114</t>
  </si>
  <si>
    <t>7424/005</t>
  </si>
  <si>
    <t>Pza. Iglesia, 5</t>
  </si>
  <si>
    <t>16411</t>
  </si>
  <si>
    <t>FUENTE DE PEDRO NAHARRO</t>
  </si>
  <si>
    <t>ES0021000002964840SE</t>
  </si>
  <si>
    <t>09/01/25  -12/02/25</t>
  </si>
  <si>
    <t>12/02/25  -09/03/25</t>
  </si>
  <si>
    <t>07/04/25  -08/04/25</t>
  </si>
  <si>
    <t>08/04/25  -08/05/25</t>
  </si>
  <si>
    <t>07/07/25  -12/08/25</t>
  </si>
  <si>
    <t>12/08/25  -07/09/25</t>
  </si>
  <si>
    <t>07/10/25  -09/11/25</t>
  </si>
  <si>
    <t>09/11/25  -08/12/25</t>
  </si>
  <si>
    <t>7424/007</t>
  </si>
  <si>
    <t>María de Zayas 3, Blq 4, Portal 1, 1º B</t>
  </si>
  <si>
    <t>29690</t>
  </si>
  <si>
    <t>CASARES</t>
  </si>
  <si>
    <t>ES0031105388049004AS</t>
  </si>
  <si>
    <t>17/12/24  -16/01/25</t>
  </si>
  <si>
    <t>16/01/25  -16/02/25</t>
  </si>
  <si>
    <t>16/03/25  -16/04/25</t>
  </si>
  <si>
    <t>16/04/25  -17/05/25</t>
  </si>
  <si>
    <t>17/05/25  -15/06/25</t>
  </si>
  <si>
    <t>14/07/25  -17/08/25</t>
  </si>
  <si>
    <t>17/08/25  -15/09/25</t>
  </si>
  <si>
    <t>15/09/25  -17/10/25</t>
  </si>
  <si>
    <t>17/10/25  -17/11/25</t>
  </si>
  <si>
    <t>17/11/25  -16/12/25</t>
  </si>
  <si>
    <t>7424/008</t>
  </si>
  <si>
    <t>Dublín, 72</t>
  </si>
  <si>
    <t>ES0021000043755204AR</t>
  </si>
  <si>
    <t>RECTYAFIL, S.L.</t>
  </si>
  <si>
    <t>B78388865</t>
  </si>
  <si>
    <t>212/001</t>
  </si>
  <si>
    <t>Pol. Ind. Sevilla, Hinojosa del Duque, 2</t>
  </si>
  <si>
    <t>28946</t>
  </si>
  <si>
    <t>ES0021000004248060XA</t>
  </si>
  <si>
    <t>304586019</t>
  </si>
  <si>
    <t>7868/025</t>
  </si>
  <si>
    <t>Antonio Zerolo Herrera Esq Herrador, 6</t>
  </si>
  <si>
    <t>38025</t>
  </si>
  <si>
    <t>LA LAGUNA</t>
  </si>
  <si>
    <t>ES0031607441801005GQ</t>
  </si>
  <si>
    <t>17/12/24  -20/01/25</t>
  </si>
  <si>
    <t>20/01/25  -18/02/25</t>
  </si>
  <si>
    <t>18/02/25  -17/03/25</t>
  </si>
  <si>
    <t>17/03/25  -19/04/25</t>
  </si>
  <si>
    <t>19/04/25  -18/05/25</t>
  </si>
  <si>
    <t>15/07/25  -19/08/25</t>
  </si>
  <si>
    <t>19/08/25  -16/09/25</t>
  </si>
  <si>
    <t>16/09/25  -17/10/25</t>
  </si>
  <si>
    <t>18/10/25  -18/11/25</t>
  </si>
  <si>
    <t>18/11/25  -19/01/26</t>
  </si>
  <si>
    <t>18/11/25  -18/12/25</t>
  </si>
  <si>
    <t>B2257385</t>
  </si>
  <si>
    <t>7868/015</t>
  </si>
  <si>
    <t>Manuel Hermoso Rojas, 16, Puerta 1-2</t>
  </si>
  <si>
    <t>ES0031601102169012VW</t>
  </si>
  <si>
    <t>07/01/25  -05/02/25</t>
  </si>
  <si>
    <t>05/02/25  -07/03/25</t>
  </si>
  <si>
    <t>07/03/25  -03/04/25</t>
  </si>
  <si>
    <t>03/04/25  -07/05/25</t>
  </si>
  <si>
    <t>07/05/25  -04/06/25</t>
  </si>
  <si>
    <t>04/08/25  -04/09/25</t>
  </si>
  <si>
    <t>03/10/25  -07/11/25</t>
  </si>
  <si>
    <t>07/11/25  -05/12/25</t>
  </si>
  <si>
    <t>05/12/25  -07/01/26</t>
  </si>
  <si>
    <t>B35715556</t>
  </si>
  <si>
    <t>7868/029</t>
  </si>
  <si>
    <t>Avda. Tomás Roca Bosch 5 CC MALL BAJO-5 CL.PB-P05</t>
  </si>
  <si>
    <t>35130</t>
  </si>
  <si>
    <t>PUERTO RICO</t>
  </si>
  <si>
    <t>ES0031607397935010QN0F</t>
  </si>
  <si>
    <t>12/01/25  -10/02/25</t>
  </si>
  <si>
    <t>07/04/25  -10/05/25</t>
  </si>
  <si>
    <t>08/12/25  -10/01/26</t>
  </si>
  <si>
    <t>B76525609</t>
  </si>
  <si>
    <t>7868/018</t>
  </si>
  <si>
    <t>C.C. Los Alisios, 64 A</t>
  </si>
  <si>
    <t>35018</t>
  </si>
  <si>
    <t>ES0031601321633104QA</t>
  </si>
  <si>
    <t>05/03/25  -03/04/25</t>
  </si>
  <si>
    <t>03/04/25  -09/05/25</t>
  </si>
  <si>
    <t>09/05/25  -03/06/25</t>
  </si>
  <si>
    <t>30/06/25  -04/08/25</t>
  </si>
  <si>
    <t>31/08/25  -21/10/25</t>
  </si>
  <si>
    <t>24/11/25  -24/12/25</t>
  </si>
  <si>
    <t>7868/021</t>
  </si>
  <si>
    <t>Rincon Edificio B CC Arenas B58</t>
  </si>
  <si>
    <t>35010</t>
  </si>
  <si>
    <t>ES0031607402279317TX0F</t>
  </si>
  <si>
    <t>04/01/25  -03/02/25</t>
  </si>
  <si>
    <t>03/02/25  -01/03/25</t>
  </si>
  <si>
    <t>01/03/25  -01/04/25</t>
  </si>
  <si>
    <t>01/04/25  -04/05/25</t>
  </si>
  <si>
    <t>04/05/25  -01/06/25</t>
  </si>
  <si>
    <t>01/06/25  -30/06/25</t>
  </si>
  <si>
    <t>02/08/25  -01/09/25</t>
  </si>
  <si>
    <t>30/09/25  -03/11/25</t>
  </si>
  <si>
    <t>03/11/25  -30/11/25</t>
  </si>
  <si>
    <t>30/11/25  -05/01/26</t>
  </si>
  <si>
    <t>7868/022</t>
  </si>
  <si>
    <t>Urbanización T8 1 PCL-C.C. Tablero Bajo- Loc 16</t>
  </si>
  <si>
    <t>35109</t>
  </si>
  <si>
    <t>SAN BARTOLOME</t>
  </si>
  <si>
    <t>ES0031601309590019KV0F</t>
  </si>
  <si>
    <t>17/12/24  -19/01/25</t>
  </si>
  <si>
    <t>19/01/25  -16/02/25</t>
  </si>
  <si>
    <t>16/03/25  -18/04/25</t>
  </si>
  <si>
    <t>18/04/25  -18/05/25</t>
  </si>
  <si>
    <t>12/10/25  -16/11/25</t>
  </si>
  <si>
    <t>16/11/25  -16/12/25</t>
  </si>
  <si>
    <t>7868/023</t>
  </si>
  <si>
    <t>Triana 67, B-ALTO</t>
  </si>
  <si>
    <t>ES0031607010077001VL0F</t>
  </si>
  <si>
    <t>31/12/24  -08/01/25</t>
  </si>
  <si>
    <t>08/01/25  -31/01/25</t>
  </si>
  <si>
    <t>31/05/25  -05/06/25</t>
  </si>
  <si>
    <t>05/06/25  -30/06/25</t>
  </si>
  <si>
    <t>RETUC COMPOUNDS, S.L.</t>
  </si>
  <si>
    <t>B23341597</t>
  </si>
  <si>
    <t>5780/001</t>
  </si>
  <si>
    <t>Carretera Alcaudete s/n Loc Reciclado</t>
  </si>
  <si>
    <t>23600</t>
  </si>
  <si>
    <t>MARTOS</t>
  </si>
  <si>
    <t>ES0031101743713002GY0F</t>
  </si>
  <si>
    <t>B63523609</t>
  </si>
  <si>
    <t>5068/001</t>
  </si>
  <si>
    <t>Om, 9 - Edificio Eugene Bajo, 1</t>
  </si>
  <si>
    <t>08820</t>
  </si>
  <si>
    <t>EL PRAT DE LLOBREGAT</t>
  </si>
  <si>
    <t>ES0031406279241001JS0F</t>
  </si>
  <si>
    <t>30/04/25  -26/05/25</t>
  </si>
  <si>
    <t>5068/003</t>
  </si>
  <si>
    <t>Om, 16 Bajo-1</t>
  </si>
  <si>
    <t>ES0031406279242001BA0F</t>
  </si>
  <si>
    <t>SANTA RITA HARINAS, S.L.U.</t>
  </si>
  <si>
    <t>B28766376</t>
  </si>
  <si>
    <t>84/001</t>
  </si>
  <si>
    <t>Ctra. de Perales, Km. 52</t>
  </si>
  <si>
    <t>19141</t>
  </si>
  <si>
    <t>LORANCA DE TAJUÑA</t>
  </si>
  <si>
    <t>ES0022000005428162BB1P</t>
  </si>
  <si>
    <t>31/05/25  -27/06/25</t>
  </si>
  <si>
    <t>27/06/25  -30/06/25</t>
  </si>
  <si>
    <t>SAT HERMANOS LIBRAN AVILA</t>
  </si>
  <si>
    <t>F45048220</t>
  </si>
  <si>
    <t>6002/001</t>
  </si>
  <si>
    <t>Ctra. Talavera (A.P. Del Arzobispo Km. 26)</t>
  </si>
  <si>
    <t>45686</t>
  </si>
  <si>
    <t>CALERA Y CHOZAS</t>
  </si>
  <si>
    <t>ES0021000007348938GK</t>
  </si>
  <si>
    <t>6002/002</t>
  </si>
  <si>
    <t>Cam. Arroyo de las Praderas, 1-BIS</t>
  </si>
  <si>
    <t>45571</t>
  </si>
  <si>
    <t>ALCOLEA DE TAJO</t>
  </si>
  <si>
    <t>ES0021000010822017JP</t>
  </si>
  <si>
    <t>25/12/24  -27/01/25</t>
  </si>
  <si>
    <t>25/02/25  -24/03/25</t>
  </si>
  <si>
    <t>24/03/25  -23/04/25</t>
  </si>
  <si>
    <t>23/04/25  -25/05/25</t>
  </si>
  <si>
    <t>25/05/25  -25/06/25</t>
  </si>
  <si>
    <t>25/06/25  -23/07/25</t>
  </si>
  <si>
    <t>23/07/25  -27/08/25</t>
  </si>
  <si>
    <t>27/08/25  -23/09/25</t>
  </si>
  <si>
    <t>23/10/25  -25/11/25</t>
  </si>
  <si>
    <t>25/11/25  -26/12/25</t>
  </si>
  <si>
    <t>SIGNE, S.A.</t>
  </si>
  <si>
    <t>A11029279</t>
  </si>
  <si>
    <t>730/006</t>
  </si>
  <si>
    <t>Imprenta (Pol. Ind. Tres Cantos), 6 - Bajo</t>
  </si>
  <si>
    <t>ES0021000005774028RJ0F</t>
  </si>
  <si>
    <t>06/08/25  -31/08/25</t>
  </si>
  <si>
    <t>01/11/25  -30/11/25</t>
  </si>
  <si>
    <t>730/007</t>
  </si>
  <si>
    <t>Acero, 17</t>
  </si>
  <si>
    <t>28770</t>
  </si>
  <si>
    <t>COLMENAR VIEJO</t>
  </si>
  <si>
    <t>ES0021000016762983AM</t>
  </si>
  <si>
    <t>SISTEMAS TECNICOS DE ENCOFRADOS, S.A.</t>
  </si>
  <si>
    <t>A08747404</t>
  </si>
  <si>
    <t>6227/001</t>
  </si>
  <si>
    <t>Pº Fluvial 14</t>
  </si>
  <si>
    <t>08150</t>
  </si>
  <si>
    <t>ES0031405178550001YM0F</t>
  </si>
  <si>
    <t>30/01/25  -28/02/25</t>
  </si>
  <si>
    <t>6227/002</t>
  </si>
  <si>
    <t>Ctra. C-17/N152 s/n</t>
  </si>
  <si>
    <t>ES0031405184330001NJ0F</t>
  </si>
  <si>
    <t>6227/003</t>
  </si>
  <si>
    <t>Av. Constitucion 118</t>
  </si>
  <si>
    <t>45950</t>
  </si>
  <si>
    <t>CASARRUBIOS DEL MONTE</t>
  </si>
  <si>
    <t>ES0022000008348136YC1P</t>
  </si>
  <si>
    <t>6227/004</t>
  </si>
  <si>
    <t>Octavio Lacante 59, Oficines LOC STEN</t>
  </si>
  <si>
    <t>08100</t>
  </si>
  <si>
    <t>MOLLET DEL VALLES</t>
  </si>
  <si>
    <t>ES0031408143549001FM0F</t>
  </si>
  <si>
    <t>6227/005</t>
  </si>
  <si>
    <t>Av. Constitucion 256</t>
  </si>
  <si>
    <t>ES0022000008182190JL1P</t>
  </si>
  <si>
    <t>6227/006</t>
  </si>
  <si>
    <t>De la Balsa-Reva SECTOR 12, 6</t>
  </si>
  <si>
    <t>ES0021000010718179YS0F</t>
  </si>
  <si>
    <t>6227/007</t>
  </si>
  <si>
    <t>Carretera Los Palacios Utrera-6.200 Algusa</t>
  </si>
  <si>
    <t>41710</t>
  </si>
  <si>
    <t>UTRERA</t>
  </si>
  <si>
    <t>ES0031102538100001KX0F</t>
  </si>
  <si>
    <t>6227/009</t>
  </si>
  <si>
    <t>Av. Praia (Plgo Industrial Sabón) 110-A</t>
  </si>
  <si>
    <t>15142</t>
  </si>
  <si>
    <t>ARTEIXO</t>
  </si>
  <si>
    <t>ES0022000008060042QR1P</t>
  </si>
  <si>
    <t>6227/010</t>
  </si>
  <si>
    <t>Albinoni PG Trevenez</t>
  </si>
  <si>
    <t>29006</t>
  </si>
  <si>
    <t>ES0031104829527001EF0F</t>
  </si>
  <si>
    <t>6227/013</t>
  </si>
  <si>
    <t>Autovía del Sur Km-2.65 Nave</t>
  </si>
  <si>
    <t>35016</t>
  </si>
  <si>
    <t>ES0031601054829001WV0F</t>
  </si>
  <si>
    <t>6227/014</t>
  </si>
  <si>
    <t>Barrio La Peña - N9507 Bajo</t>
  </si>
  <si>
    <t>39310</t>
  </si>
  <si>
    <t>MIENGO (GORNAZO)</t>
  </si>
  <si>
    <t>ES0027700219610001RC0F</t>
  </si>
  <si>
    <t>6227/015</t>
  </si>
  <si>
    <t>Ctra. Lloret-Son Manera</t>
  </si>
  <si>
    <t>07230</t>
  </si>
  <si>
    <t>MONTUIRI</t>
  </si>
  <si>
    <t>ES0031500283909001JK0F</t>
  </si>
  <si>
    <t>11/02/25  -18/03/25</t>
  </si>
  <si>
    <t>18/03/25  -08/04/25</t>
  </si>
  <si>
    <t>08/04/25  -15/04/25</t>
  </si>
  <si>
    <t>10/06/25  -11/07/25</t>
  </si>
  <si>
    <t>11/07/25  -11/08/25</t>
  </si>
  <si>
    <t>6227/016</t>
  </si>
  <si>
    <t>Albinoni, 7</t>
  </si>
  <si>
    <t>29590</t>
  </si>
  <si>
    <t>HUERTECILLA DE MAÑAS</t>
  </si>
  <si>
    <t>ES0031105088107001RT0F</t>
  </si>
  <si>
    <t>B56245814</t>
  </si>
  <si>
    <t>7855/001</t>
  </si>
  <si>
    <t>Pº Alberto Palacios nº 7</t>
  </si>
  <si>
    <t>ES0021000004506600GT</t>
  </si>
  <si>
    <t>25/03/25  -23/04/25</t>
  </si>
  <si>
    <t>25/06/25  -25/07/25</t>
  </si>
  <si>
    <t>25/07/25  -26/08/25</t>
  </si>
  <si>
    <t>SRA. DÑA. MARIA LOPEZ MEDIERO</t>
  </si>
  <si>
    <t>7597/001</t>
  </si>
  <si>
    <t>Cristo de la Salud, 32, 20</t>
  </si>
  <si>
    <t>28342</t>
  </si>
  <si>
    <t>ES0021000013016469CF</t>
  </si>
  <si>
    <t>B28617256</t>
  </si>
  <si>
    <t>7629/001</t>
  </si>
  <si>
    <t>Bellvei, 27, 6 BAR</t>
  </si>
  <si>
    <t>08210</t>
  </si>
  <si>
    <t>BARBERA DEL VALLES</t>
  </si>
  <si>
    <t>ES0031408078607001ZT</t>
  </si>
  <si>
    <t>31/08/25  -29/09/25</t>
  </si>
  <si>
    <t>29/09/25  -30/09/25</t>
  </si>
  <si>
    <t>30/09/25  -22/10/25</t>
  </si>
  <si>
    <t>22/10/25  -31/10/25</t>
  </si>
  <si>
    <t>7629/002</t>
  </si>
  <si>
    <t>Pol. Industrial, s/n, Bajo 1</t>
  </si>
  <si>
    <t>49690</t>
  </si>
  <si>
    <t>SAN CRISTOBAL DE ENTREVIÑAS</t>
  </si>
  <si>
    <t>ES0021000010119072VN</t>
  </si>
  <si>
    <t>7629/003</t>
  </si>
  <si>
    <t>Adelfar, 199 G, Nave Pcla</t>
  </si>
  <si>
    <t>23210</t>
  </si>
  <si>
    <t>GUARROMAN</t>
  </si>
  <si>
    <t>ES0031104545121001BR0F</t>
  </si>
  <si>
    <t>7629/004</t>
  </si>
  <si>
    <t>Ctra. M-206, KM 4,500</t>
  </si>
  <si>
    <t>28890</t>
  </si>
  <si>
    <t>LOECHES</t>
  </si>
  <si>
    <t>ES0022000008516362FR</t>
  </si>
  <si>
    <t>7629/006</t>
  </si>
  <si>
    <t>Alcalde Fernando Dancausa, 8 BJ Pta 2</t>
  </si>
  <si>
    <t>09007</t>
  </si>
  <si>
    <t>ES0021000010958111LB</t>
  </si>
  <si>
    <t>7629/010</t>
  </si>
  <si>
    <t>Pol. Ciudad del Transporte 1, C11</t>
  </si>
  <si>
    <t>50820</t>
  </si>
  <si>
    <t>SAN JUAN DE MOZARRIFAR</t>
  </si>
  <si>
    <t>ES0031300200443002MN0F</t>
  </si>
  <si>
    <t>7629/011</t>
  </si>
  <si>
    <t>Cim Camp s/n Z 8-9</t>
  </si>
  <si>
    <t>43205</t>
  </si>
  <si>
    <t>REUS</t>
  </si>
  <si>
    <t>TARRAGONA</t>
  </si>
  <si>
    <t>ES0031408399450001WS0F</t>
  </si>
  <si>
    <t>04/03/25  -03/04/25</t>
  </si>
  <si>
    <t>03/04/25  -08/05/25</t>
  </si>
  <si>
    <t>08/05/25  -05/06/25</t>
  </si>
  <si>
    <t>05/06/25  -07/07/25</t>
  </si>
  <si>
    <t>07/07/25  -08/08/25</t>
  </si>
  <si>
    <t>08/08/25  -04/09/25</t>
  </si>
  <si>
    <t>7629/012</t>
  </si>
  <si>
    <t>Cim del Camp 8 B Finca</t>
  </si>
  <si>
    <t>ES0031408399451001TA0F</t>
  </si>
  <si>
    <t>B35654144</t>
  </si>
  <si>
    <t>7629/009</t>
  </si>
  <si>
    <t>Autopista-Autovia Sur S/N Obras 001 PCL a-1</t>
  </si>
  <si>
    <t>35215</t>
  </si>
  <si>
    <t>MONTAÑA LAS HUESAS</t>
  </si>
  <si>
    <t>ES0031601376954001RN0F</t>
  </si>
  <si>
    <t>VARMA, S.L.</t>
  </si>
  <si>
    <t>B28200384</t>
  </si>
  <si>
    <t>6838/001</t>
  </si>
  <si>
    <t>De La Granja, 15, Esc-A, Sem-2</t>
  </si>
  <si>
    <t>28108</t>
  </si>
  <si>
    <t>ES0021000011878126TA0F</t>
  </si>
  <si>
    <t>WORTEN CANARIAS S.L.</t>
  </si>
  <si>
    <t>6284/001</t>
  </si>
  <si>
    <t>Av. Claudio Delgado Díaz, 7 Nav-PK</t>
  </si>
  <si>
    <t>38639</t>
  </si>
  <si>
    <t>EL GUINCHO</t>
  </si>
  <si>
    <t>ES0031601249278001JW0F</t>
  </si>
  <si>
    <t>6284/003</t>
  </si>
  <si>
    <t>Av. Atlantico, CC Atlantic LOC-A38-40</t>
  </si>
  <si>
    <t>35110</t>
  </si>
  <si>
    <t>VECINDARIO</t>
  </si>
  <si>
    <t>ES0031601050008085LQ0F</t>
  </si>
  <si>
    <t>6284/004</t>
  </si>
  <si>
    <t>Barranco de Las Torres-S10 M8 P8</t>
  </si>
  <si>
    <t>38670</t>
  </si>
  <si>
    <t>ADEJE</t>
  </si>
  <si>
    <t>ES0031601186628001JR0F</t>
  </si>
  <si>
    <t>31/10/25  -19/11/25</t>
  </si>
  <si>
    <t>19/11/25  -30/11/25</t>
  </si>
  <si>
    <t>6284/007</t>
  </si>
  <si>
    <t>Chimida, 20 - C.C. Deiland, Loc-1, 27</t>
  </si>
  <si>
    <t>35509</t>
  </si>
  <si>
    <t>PLAYA HONDA-LANZAROTE</t>
  </si>
  <si>
    <t>ES0031601016350070WV0F</t>
  </si>
  <si>
    <t>6284/008</t>
  </si>
  <si>
    <t>Europa - Frente Ext Agrari</t>
  </si>
  <si>
    <t>38710</t>
  </si>
  <si>
    <t>BREÑA ALTA</t>
  </si>
  <si>
    <t>ES0031601167255003ZH0F</t>
  </si>
  <si>
    <t>30/11/25  -08/12/25</t>
  </si>
  <si>
    <t>08/12/25  -31/12/25</t>
  </si>
  <si>
    <t>6284/009</t>
  </si>
  <si>
    <t>Convento 5, 2, Local 5, 6, 7</t>
  </si>
  <si>
    <t>38760</t>
  </si>
  <si>
    <t>ES0031601299973024PN0F</t>
  </si>
  <si>
    <t>6284/012</t>
  </si>
  <si>
    <t>C.C. EDI -C. Muelle Loc 114</t>
  </si>
  <si>
    <t>35008</t>
  </si>
  <si>
    <t>ES0031601091874017BZ0F</t>
  </si>
  <si>
    <t>6284/013</t>
  </si>
  <si>
    <t>LG Santa Rita de Casia 0, C.C.MIRADOR, LOC, A.61</t>
  </si>
  <si>
    <t>35220</t>
  </si>
  <si>
    <t>JINAMAR</t>
  </si>
  <si>
    <t>ES0031601288041080QP0F</t>
  </si>
  <si>
    <t>6284/014</t>
  </si>
  <si>
    <t>Francisco Gourie, 107, Dunas, BJO-6</t>
  </si>
  <si>
    <t>ES0031601110495072EQ0F</t>
  </si>
  <si>
    <t>03/02/25  -02/03/25</t>
  </si>
  <si>
    <t>02/03/25  -01/04/25</t>
  </si>
  <si>
    <t>01/06/25  -01/07/25</t>
  </si>
  <si>
    <t>01/07/25  -02/08/25</t>
  </si>
  <si>
    <t>01/12/25  -04/01/26</t>
  </si>
  <si>
    <t>6284/015</t>
  </si>
  <si>
    <t>Mencey Bencomo - CC Bencomo esc-loc 2</t>
  </si>
  <si>
    <t>38416</t>
  </si>
  <si>
    <t>LOS REALEJOS</t>
  </si>
  <si>
    <t>ES0031601313417005FX0F</t>
  </si>
  <si>
    <t>6284/016</t>
  </si>
  <si>
    <t>C. C. s/c - Carrefour 3, 15A Bazar</t>
  </si>
  <si>
    <t>38003</t>
  </si>
  <si>
    <t>ES0031607602528351ZG0F</t>
  </si>
  <si>
    <t>6284/018</t>
  </si>
  <si>
    <t>Av. Pintor Felo Monzón 44 - CC 7, Local 0 15A</t>
  </si>
  <si>
    <t>35019</t>
  </si>
  <si>
    <t>ES0031601087811054RR0F</t>
  </si>
  <si>
    <t>6284/019</t>
  </si>
  <si>
    <t>Urb. La Magalona- C/A 3, EDI, Ctro. ICOD-A1</t>
  </si>
  <si>
    <t>38430</t>
  </si>
  <si>
    <t>ICOD DE VINOS</t>
  </si>
  <si>
    <t>ES0031601284032014AA0F</t>
  </si>
  <si>
    <t>17/12/24  -17/01/25</t>
  </si>
  <si>
    <t>17/01/25  -17/02/25</t>
  </si>
  <si>
    <t>17/02/25  -17/03/25</t>
  </si>
  <si>
    <t>17/03/25  -15/04/25</t>
  </si>
  <si>
    <t>15/04/25  -19/05/25</t>
  </si>
  <si>
    <t>19/05/25  -17/06/25</t>
  </si>
  <si>
    <t>18/08/25  -12/09/25</t>
  </si>
  <si>
    <t>12/09/25  -16/10/25</t>
  </si>
  <si>
    <t>16/10/25  -18/11/25</t>
  </si>
  <si>
    <t>6284/021</t>
  </si>
  <si>
    <t>El Henequen, 9, Loc 9</t>
  </si>
  <si>
    <t>35600</t>
  </si>
  <si>
    <t>PUERTO DEL ROSARIO</t>
  </si>
  <si>
    <t>ES0031601214896001MN0F</t>
  </si>
  <si>
    <t>6284/022</t>
  </si>
  <si>
    <t>C. León y Castillo, 156</t>
  </si>
  <si>
    <t>35500</t>
  </si>
  <si>
    <t>ARRECIFE (LANZAROTE)</t>
  </si>
  <si>
    <t>ES0031601376906001FJ0F</t>
  </si>
  <si>
    <t>6284/024</t>
  </si>
  <si>
    <t>Damasco, 4 - Centro Comer LOC-4</t>
  </si>
  <si>
    <t>35120</t>
  </si>
  <si>
    <t>ARGUINEGUIN (MOGÁN)</t>
  </si>
  <si>
    <t>ES0031601383343001JA0F</t>
  </si>
  <si>
    <t>6284/025</t>
  </si>
  <si>
    <t>Manuel de Ossuna 4, 8</t>
  </si>
  <si>
    <t>38202</t>
  </si>
  <si>
    <t>SAN CRISTOBAL DE LA LAGUNA</t>
  </si>
  <si>
    <t>ES0031607235100008RL0F</t>
  </si>
  <si>
    <t>31/12/24  -12/01/25</t>
  </si>
  <si>
    <t>12/01/25  -31/01/25</t>
  </si>
  <si>
    <t>31/05/25  -19/06/25</t>
  </si>
  <si>
    <t>19/06/25  -30/06/25</t>
  </si>
  <si>
    <t>6284/029</t>
  </si>
  <si>
    <t>Nuestra Señora 70 - C.C. Palmeras LOC-1 y 9 Bajas</t>
  </si>
  <si>
    <t>35660</t>
  </si>
  <si>
    <t>LA OLIVA</t>
  </si>
  <si>
    <t>ES0031601283975032DS0F</t>
  </si>
  <si>
    <t>6284/031</t>
  </si>
  <si>
    <t>Villalba Hervás 7</t>
  </si>
  <si>
    <t>ES0031607516331044VG0F</t>
  </si>
  <si>
    <t>31/01/25  -04/02/25</t>
  </si>
  <si>
    <t>31/05/25  -08/06/25</t>
  </si>
  <si>
    <t>08/06/25  -30/06/25</t>
  </si>
  <si>
    <t>6284/032</t>
  </si>
  <si>
    <t>Miguel Leon, 6 Bloque 1 P4</t>
  </si>
  <si>
    <t>38686</t>
  </si>
  <si>
    <t>ALCALA (GUIA DE ISORA)</t>
  </si>
  <si>
    <t>ES0031601257701004RZ0F</t>
  </si>
  <si>
    <t>24/06/25  -24/07/25</t>
  </si>
  <si>
    <t>24/07/25  -31/08/25</t>
  </si>
  <si>
    <t>30/09/25  -26/11/25</t>
  </si>
  <si>
    <t>6284/033</t>
  </si>
  <si>
    <t>Pol. Ind. San Isidro el Viejo s/n</t>
  </si>
  <si>
    <t>35488</t>
  </si>
  <si>
    <t>GALDAR</t>
  </si>
  <si>
    <t>ES0031601165122001BJ</t>
  </si>
  <si>
    <t>04/06/25  -30/06/25</t>
  </si>
  <si>
    <t>30/06/25  -15/07/25</t>
  </si>
  <si>
    <t>15/07/25  -31/07/25</t>
  </si>
  <si>
    <t>30/09/25  -19/10/25</t>
  </si>
  <si>
    <t>19/10/25  -31/10/25</t>
  </si>
  <si>
    <t>ZAMBAL SPAIN SOCIMI, S.A</t>
  </si>
  <si>
    <t>A86710142</t>
  </si>
  <si>
    <t>7858/001</t>
  </si>
  <si>
    <t>Avda. San Luis 25</t>
  </si>
  <si>
    <t>28003</t>
  </si>
  <si>
    <t>ES0022000008006010NL1P</t>
  </si>
  <si>
    <t xml:space="preserve">  </t>
  </si>
  <si>
    <t>(Grupo social dynamic)</t>
  </si>
  <si>
    <t>(GRUPO GMP)</t>
  </si>
  <si>
    <t>(GRUPO SOCIAL DINAMIC)</t>
  </si>
  <si>
    <t>(GRUPO FINANCIERA PRONOVIAS)</t>
  </si>
  <si>
    <t>(GRUPO BOYACA)</t>
  </si>
  <si>
    <t>(CON EXCEDENTES)</t>
  </si>
  <si>
    <t>(CON ENERGIA 100% RENOVABLE)</t>
  </si>
  <si>
    <t>DÑA. PATRICIA GARCIA</t>
  </si>
  <si>
    <t>(GRUPO WORTEN CANARIAS)</t>
  </si>
  <si>
    <t>(GRUPO GMP OFERTA CON Y SIN GDOS)</t>
  </si>
  <si>
    <t>(OFERTA CON Y SIN GDOS)</t>
  </si>
  <si>
    <t>Grupo/Cliente</t>
  </si>
  <si>
    <t>Nº Puntos suministro</t>
  </si>
  <si>
    <t>MWh/año</t>
  </si>
  <si>
    <t>FEE Base Index PT €/MWh</t>
  </si>
  <si>
    <t>FEE Base PF €/MWh</t>
  </si>
  <si>
    <t>FEE Oferta Index PT €/MWh</t>
  </si>
  <si>
    <t>GRUPO GMP</t>
  </si>
  <si>
    <t>GRUPO PRONOVIAS</t>
  </si>
  <si>
    <t>GRUPO WORTEN CANARIAS</t>
  </si>
  <si>
    <t>GRUPO BOYACA</t>
  </si>
  <si>
    <t>EDIFICIO CASTELLANA 77, S.L.</t>
  </si>
  <si>
    <t>GRUPO SOCIAL DINAMIC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</si>
</sst>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9" formatCode="_-#,##0.000000\ _-;\-* #,##0.000000\ _-;_-* &quot;&quot;\ _-;_-@_-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Quicksand"/>
    </font>
  </fonts>
  <fills count="8">
    <fill>
      <patternFill patternType="none"/>
    </fill>
    <fill>
      <patternFill patternType="gray125"/>
    </fill>
    <fill>
      <patternFill patternType="solid">
        <fgColor rgb="FF008BE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CA4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/>
    <xf numFmtId="14" fontId="2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16" xfId="0" applyBorder="1"/>
    <xf numFmtId="0" fontId="4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2" fontId="0" fillId="0" borderId="17" xfId="0" applyNumberFormat="1" applyBorder="1"/>
    <xf numFmtId="2" fontId="0" fillId="0" borderId="0" xfId="0" applyNumberFormat="1"/>
    <xf numFmtId="0" fontId="5" fillId="0" borderId="5" xfId="0" applyFont="1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2" fillId="5" borderId="3" xfId="0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4" fontId="0" fillId="0" borderId="19" xfId="0" applyNumberForma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0" fillId="0" borderId="21" xfId="0" applyBorder="1"/>
    <xf numFmtId="0" fontId="0" fillId="0" borderId="13" xfId="0" applyBorder="1"/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4" fontId="0" fillId="0" borderId="13" xfId="0" applyNumberFormat="1" applyBorder="1" applyAlignment="1">
      <alignment horizontal="center"/>
    </xf>
    <xf numFmtId="0" fontId="5" fillId="0" borderId="8" xfId="0" applyFont="1" applyBorder="1"/>
    <xf numFmtId="0" fontId="5" fillId="0" borderId="5" xfId="0" applyFont="1" applyBorder="1"/>
    <xf numFmtId="0" fontId="2" fillId="4" borderId="1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4" fontId="2" fillId="3" borderId="3" xfId="0" applyNumberFormat="1" applyFont="1" applyFill="1" applyBorder="1" applyAlignment="1">
      <alignment horizontal="center" vertical="center"/>
    </xf>
    <xf numFmtId="14" fontId="2" fillId="3" borderId="13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4" fontId="2" fillId="3" borderId="2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12" xfId="0" applyFont="1" applyBorder="1" applyAlignment="1">
      <alignment horizontal="right" vertical="center"/>
    </xf>
    <xf numFmtId="4" fontId="6" fillId="0" borderId="12" xfId="0" applyNumberFormat="1" applyFont="1" applyBorder="1" applyAlignment="1">
      <alignment horizontal="right" vertical="center"/>
    </xf>
    <xf numFmtId="0" fontId="6" fillId="7" borderId="27" xfId="0" applyFont="1" applyFill="1" applyBorder="1" applyAlignment="1">
      <alignment vertical="center"/>
    </xf>
    <xf numFmtId="0" fontId="6" fillId="7" borderId="12" xfId="0" applyFont="1" applyFill="1" applyBorder="1" applyAlignment="1">
      <alignment horizontal="right" vertical="center"/>
    </xf>
    <xf numFmtId="4" fontId="6" fillId="7" borderId="12" xfId="0" applyNumberFormat="1" applyFont="1" applyFill="1" applyBorder="1" applyAlignment="1">
      <alignment horizontal="right" vertical="center"/>
    </xf>
    <xf numFmtId="169" fontId="7" fillId="0" borderId="28" xfId="0" applyNumberFormat="1" applyFont="1" applyBorder="1" applyAlignment="1" applyProtection="1">
      <alignment horizontal="center" vertical="center"/>
      <protection locked="0" hidden="1"/>
    </xf>
    <xf numFmtId="0" fontId="0" fillId="0" borderId="0" xfId="0" applyBorder="1"/>
    <xf numFmtId="169" fontId="7" fillId="0" borderId="1" xfId="0" applyNumberFormat="1" applyFont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CA4E6"/>
      <color rgb="FF529EE4"/>
      <color rgb="FF2283DC"/>
      <color rgb="FF80E0EA"/>
      <color rgb="FF6699FF"/>
      <color rgb="FF82B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124492</xdr:colOff>
      <xdr:row>0</xdr:row>
      <xdr:rowOff>184625</xdr:rowOff>
    </xdr:from>
    <xdr:to>
      <xdr:col>1</xdr:col>
      <xdr:colOff>1801816</xdr:colOff>
      <xdr:row>3</xdr:row>
      <xdr:rowOff>59205</xdr:rowOff>
    </xdr:to>
    <xdr:pic>
      <xdr:nvPicPr>
        <xdr:cNvPr id="2" name="2 Imagen" descr="Fotolito Medhesa Energí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138" y="184625"/>
          <a:ext cx="1674149" cy="472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2591-4D23-40EF-A525-946B793FEB6A}">
  <sheetPr codeName="Hoja11"/>
  <dimension ref="A1:AG4562"/>
  <sheetViews>
    <sheetView showGridLines="0" tabSelected="1" zoomScale="85" zoomScaleNormal="85" workbookViewId="0">
      <selection activeCell="X9" sqref="X9:AG20"/>
    </sheetView>
  </sheetViews>
  <sheetFormatPr baseColWidth="10" defaultRowHeight="14.5"/>
  <cols>
    <col min="1" max="1" width="6" customWidth="1"/>
    <col min="2" max="2" width="60.453125" customWidth="1"/>
    <col min="3" max="3" width="14.7265625" customWidth="1"/>
    <col min="4" max="4" width="11.7265625" bestFit="1" customWidth="1"/>
    <col min="5" max="5" width="48" customWidth="1"/>
    <col min="6" max="6" width="11.81640625" customWidth="1"/>
    <col min="7" max="7" width="28.54296875" customWidth="1"/>
    <col min="8" max="8" width="13.1796875" bestFit="1" customWidth="1"/>
    <col min="9" max="9" width="26.26953125" bestFit="1" customWidth="1"/>
    <col min="10" max="10" width="6.26953125" bestFit="1" customWidth="1"/>
    <col min="17" max="17" width="20" style="13" bestFit="1" customWidth="1"/>
    <col min="18" max="22" width="11.453125" style="13"/>
    <col min="23" max="23" width="13.1796875" style="13" bestFit="1" customWidth="1"/>
    <col min="24" max="24" width="15.54296875" customWidth="1"/>
    <col min="25" max="25" width="17.54296875" customWidth="1"/>
    <col min="32" max="32" width="11.54296875" customWidth="1"/>
    <col min="33" max="33" width="11.81640625" customWidth="1"/>
  </cols>
  <sheetData>
    <row r="1" spans="2:33">
      <c r="Q1" s="47"/>
      <c r="R1" s="47"/>
      <c r="S1" s="47"/>
      <c r="T1" s="47"/>
      <c r="U1" s="47"/>
      <c r="V1" s="47"/>
      <c r="W1" s="47"/>
    </row>
    <row r="2" spans="2:33">
      <c r="Q2"/>
      <c r="R2"/>
      <c r="S2"/>
      <c r="T2"/>
      <c r="U2"/>
      <c r="V2"/>
      <c r="W2"/>
    </row>
    <row r="3" spans="2:33">
      <c r="Q3"/>
      <c r="R3"/>
      <c r="S3"/>
      <c r="T3"/>
      <c r="U3"/>
      <c r="V3"/>
      <c r="W3"/>
    </row>
    <row r="4" spans="2:33" ht="12.75" customHeight="1">
      <c r="Q4"/>
      <c r="R4"/>
      <c r="S4"/>
      <c r="T4"/>
      <c r="U4"/>
      <c r="V4"/>
      <c r="W4"/>
      <c r="AF4" s="54" t="s">
        <v>31</v>
      </c>
      <c r="AG4" s="54"/>
    </row>
    <row r="5" spans="2:33" ht="15" customHeight="1">
      <c r="Q5" s="48"/>
      <c r="R5" s="48"/>
      <c r="S5" s="48"/>
      <c r="T5" s="48"/>
      <c r="U5" s="48"/>
      <c r="V5" s="48"/>
      <c r="W5" s="48"/>
      <c r="Z5" s="64" t="s">
        <v>28</v>
      </c>
      <c r="AA5" s="65"/>
      <c r="AB5" s="65"/>
      <c r="AC5" s="65"/>
      <c r="AD5" s="65"/>
      <c r="AE5" s="65"/>
      <c r="AF5" s="54"/>
      <c r="AG5" s="54"/>
    </row>
    <row r="6" spans="2:33" ht="15" customHeight="1">
      <c r="B6" s="67" t="s">
        <v>0</v>
      </c>
      <c r="C6" s="67" t="s">
        <v>1</v>
      </c>
      <c r="D6" s="67" t="s">
        <v>2</v>
      </c>
      <c r="E6" s="67" t="s">
        <v>3</v>
      </c>
      <c r="F6" s="67" t="s">
        <v>4</v>
      </c>
      <c r="G6" s="67" t="s">
        <v>5</v>
      </c>
      <c r="H6" s="67" t="s">
        <v>6</v>
      </c>
      <c r="I6" s="67" t="s">
        <v>7</v>
      </c>
      <c r="J6" s="67" t="s">
        <v>8</v>
      </c>
      <c r="K6" s="67" t="s">
        <v>9</v>
      </c>
      <c r="L6" s="67"/>
      <c r="M6" s="67"/>
      <c r="N6" s="67"/>
      <c r="O6" s="67"/>
      <c r="P6" s="67"/>
      <c r="Q6" s="67" t="s">
        <v>17</v>
      </c>
      <c r="R6" s="67" t="s">
        <v>24</v>
      </c>
      <c r="S6" s="67" t="s">
        <v>19</v>
      </c>
      <c r="T6" s="67" t="s">
        <v>20</v>
      </c>
      <c r="U6" s="67" t="s">
        <v>21</v>
      </c>
      <c r="V6" s="67" t="s">
        <v>22</v>
      </c>
      <c r="W6" s="67" t="s">
        <v>23</v>
      </c>
      <c r="X6" s="69" t="s">
        <v>16</v>
      </c>
      <c r="Y6" s="67" t="s">
        <v>26</v>
      </c>
      <c r="Z6" s="64" t="s">
        <v>27</v>
      </c>
      <c r="AA6" s="65"/>
      <c r="AB6" s="65"/>
      <c r="AC6" s="65"/>
      <c r="AD6" s="65"/>
      <c r="AE6" s="73"/>
      <c r="AF6" s="71"/>
      <c r="AG6" s="72"/>
    </row>
    <row r="7" spans="2:33">
      <c r="B7" s="68"/>
      <c r="C7" s="68"/>
      <c r="D7" s="68"/>
      <c r="E7" s="68"/>
      <c r="F7" s="68"/>
      <c r="G7" s="68"/>
      <c r="H7" s="68"/>
      <c r="I7" s="68"/>
      <c r="J7" s="68"/>
      <c r="K7" s="23" t="s">
        <v>10</v>
      </c>
      <c r="L7" s="23" t="s">
        <v>11</v>
      </c>
      <c r="M7" s="23" t="s">
        <v>12</v>
      </c>
      <c r="N7" s="23" t="s">
        <v>13</v>
      </c>
      <c r="O7" s="23" t="s">
        <v>14</v>
      </c>
      <c r="P7" s="38" t="s">
        <v>15</v>
      </c>
      <c r="Q7" s="67"/>
      <c r="R7" s="23" t="s">
        <v>18</v>
      </c>
      <c r="S7" s="23" t="s">
        <v>19</v>
      </c>
      <c r="T7" s="23" t="s">
        <v>20</v>
      </c>
      <c r="U7" s="23" t="s">
        <v>21</v>
      </c>
      <c r="V7" s="23" t="s">
        <v>22</v>
      </c>
      <c r="W7" s="23" t="s">
        <v>23</v>
      </c>
      <c r="X7" s="69"/>
      <c r="Y7" s="67"/>
      <c r="Z7" s="12" t="s">
        <v>10</v>
      </c>
      <c r="AA7" s="12" t="s">
        <v>11</v>
      </c>
      <c r="AB7" s="12" t="s">
        <v>12</v>
      </c>
      <c r="AC7" s="12" t="s">
        <v>13</v>
      </c>
      <c r="AD7" s="12" t="s">
        <v>14</v>
      </c>
      <c r="AE7" s="12" t="s">
        <v>15</v>
      </c>
      <c r="AF7" s="21" t="s">
        <v>29</v>
      </c>
      <c r="AG7" s="22" t="s">
        <v>30</v>
      </c>
    </row>
    <row r="8" spans="2:33" ht="15" thickBot="1">
      <c r="B8" s="25" t="s">
        <v>109</v>
      </c>
      <c r="C8" s="26" t="s">
        <v>110</v>
      </c>
      <c r="D8" s="26" t="s">
        <v>111</v>
      </c>
      <c r="E8" s="26" t="s">
        <v>112</v>
      </c>
      <c r="F8" s="26" t="s">
        <v>113</v>
      </c>
      <c r="G8" s="26" t="s">
        <v>114</v>
      </c>
      <c r="H8" s="27" t="s">
        <v>58</v>
      </c>
      <c r="I8" s="24" t="s">
        <v>115</v>
      </c>
      <c r="J8" s="24" t="s">
        <v>34</v>
      </c>
      <c r="K8" s="31">
        <v>160</v>
      </c>
      <c r="L8" s="31">
        <v>160</v>
      </c>
      <c r="M8" s="31">
        <v>160</v>
      </c>
      <c r="N8" s="31">
        <v>160</v>
      </c>
      <c r="O8" s="31">
        <v>160</v>
      </c>
      <c r="P8" s="32">
        <v>470</v>
      </c>
      <c r="Q8" s="1" t="s">
        <v>35</v>
      </c>
      <c r="R8" s="34">
        <v>2318</v>
      </c>
      <c r="S8" s="34">
        <v>2037</v>
      </c>
      <c r="T8" s="34">
        <v>0</v>
      </c>
      <c r="U8" s="34">
        <v>0</v>
      </c>
      <c r="V8" s="34">
        <v>0</v>
      </c>
      <c r="W8" s="34">
        <v>4668</v>
      </c>
      <c r="X8" s="43">
        <f>SUM(R8:W19)</f>
        <v>202151</v>
      </c>
      <c r="Y8" s="10">
        <v>46204</v>
      </c>
      <c r="Z8" s="11">
        <v>0.19012200245205799</v>
      </c>
      <c r="AA8" s="11">
        <v>0.15903378428711804</v>
      </c>
      <c r="AB8" s="11">
        <v>0.13180112807560507</v>
      </c>
      <c r="AC8" s="11">
        <v>0.11779987340105</v>
      </c>
      <c r="AD8" s="11">
        <v>0.10688571424750279</v>
      </c>
      <c r="AE8" s="11">
        <v>0.12255644847209446</v>
      </c>
      <c r="AF8" s="11">
        <v>0.8</v>
      </c>
      <c r="AG8" s="11">
        <v>0.23899999999999999</v>
      </c>
    </row>
    <row r="9" spans="2:33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" t="s">
        <v>36</v>
      </c>
      <c r="R9" s="34">
        <v>2308</v>
      </c>
      <c r="S9" s="34">
        <v>2254</v>
      </c>
      <c r="T9" s="34">
        <v>0</v>
      </c>
      <c r="U9" s="34">
        <v>0</v>
      </c>
      <c r="V9" s="34">
        <v>0</v>
      </c>
      <c r="W9" s="34">
        <v>3884</v>
      </c>
      <c r="X9" s="55"/>
      <c r="Y9" s="56"/>
      <c r="Z9" s="56"/>
      <c r="AA9" s="56"/>
      <c r="AB9" s="56"/>
      <c r="AC9" s="56"/>
      <c r="AD9" s="56"/>
      <c r="AE9" s="56"/>
      <c r="AF9" s="56"/>
      <c r="AG9" s="57"/>
    </row>
    <row r="10" spans="2:33"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" t="s">
        <v>37</v>
      </c>
      <c r="R10" s="34">
        <v>0</v>
      </c>
      <c r="S10" s="34">
        <v>2120</v>
      </c>
      <c r="T10" s="34">
        <v>1895</v>
      </c>
      <c r="U10" s="34">
        <v>0</v>
      </c>
      <c r="V10" s="34">
        <v>0</v>
      </c>
      <c r="W10" s="34">
        <v>4819</v>
      </c>
      <c r="X10" s="58"/>
      <c r="Y10" s="59"/>
      <c r="Z10" s="59"/>
      <c r="AA10" s="59"/>
      <c r="AB10" s="59"/>
      <c r="AC10" s="59"/>
      <c r="AD10" s="59"/>
      <c r="AE10" s="59"/>
      <c r="AF10" s="59"/>
      <c r="AG10" s="60"/>
    </row>
    <row r="11" spans="2:33"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" t="s">
        <v>38</v>
      </c>
      <c r="R11" s="34">
        <v>0</v>
      </c>
      <c r="S11" s="34">
        <v>0</v>
      </c>
      <c r="T11" s="34">
        <v>0</v>
      </c>
      <c r="U11" s="34">
        <v>2263</v>
      </c>
      <c r="V11" s="34">
        <v>3490</v>
      </c>
      <c r="W11" s="34">
        <v>10967</v>
      </c>
      <c r="X11" s="58"/>
      <c r="Y11" s="59"/>
      <c r="Z11" s="59"/>
      <c r="AA11" s="59"/>
      <c r="AB11" s="59"/>
      <c r="AC11" s="59"/>
      <c r="AD11" s="59"/>
      <c r="AE11" s="59"/>
      <c r="AF11" s="59"/>
      <c r="AG11" s="60"/>
    </row>
    <row r="12" spans="2:33"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" t="s">
        <v>39</v>
      </c>
      <c r="R12" s="34">
        <v>0</v>
      </c>
      <c r="S12" s="34">
        <v>0</v>
      </c>
      <c r="T12" s="34">
        <v>0</v>
      </c>
      <c r="U12" s="34">
        <v>2555</v>
      </c>
      <c r="V12" s="34">
        <v>3946</v>
      </c>
      <c r="W12" s="34">
        <v>15073</v>
      </c>
      <c r="X12" s="58"/>
      <c r="Y12" s="59"/>
      <c r="Z12" s="59"/>
      <c r="AA12" s="59"/>
      <c r="AB12" s="59"/>
      <c r="AC12" s="59"/>
      <c r="AD12" s="59"/>
      <c r="AE12" s="59"/>
      <c r="AF12" s="59"/>
      <c r="AG12" s="60"/>
    </row>
    <row r="13" spans="2:33"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" t="s">
        <v>40</v>
      </c>
      <c r="R13" s="34">
        <v>0</v>
      </c>
      <c r="S13" s="34">
        <v>0</v>
      </c>
      <c r="T13" s="34">
        <v>4374</v>
      </c>
      <c r="U13" s="34">
        <v>6474</v>
      </c>
      <c r="V13" s="34">
        <v>0</v>
      </c>
      <c r="W13" s="34">
        <v>19956</v>
      </c>
      <c r="X13" s="58"/>
      <c r="Y13" s="59"/>
      <c r="Z13" s="59"/>
      <c r="AA13" s="59"/>
      <c r="AB13" s="59"/>
      <c r="AC13" s="59"/>
      <c r="AD13" s="59"/>
      <c r="AE13" s="59"/>
      <c r="AF13" s="59"/>
      <c r="AG13" s="60"/>
    </row>
    <row r="14" spans="2:33"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" t="s">
        <v>41</v>
      </c>
      <c r="R14" s="34">
        <v>2847</v>
      </c>
      <c r="S14" s="34">
        <v>5819</v>
      </c>
      <c r="T14" s="34">
        <v>0</v>
      </c>
      <c r="U14" s="34">
        <v>0</v>
      </c>
      <c r="V14" s="34">
        <v>0</v>
      </c>
      <c r="W14" s="34">
        <v>19523</v>
      </c>
      <c r="X14" s="58"/>
      <c r="Y14" s="59"/>
      <c r="Z14" s="59"/>
      <c r="AA14" s="59"/>
      <c r="AB14" s="59"/>
      <c r="AC14" s="59"/>
      <c r="AD14" s="59"/>
      <c r="AE14" s="59"/>
      <c r="AF14" s="59"/>
      <c r="AG14" s="60"/>
    </row>
    <row r="15" spans="2:33"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" t="s">
        <v>42</v>
      </c>
      <c r="R15" s="34">
        <v>0</v>
      </c>
      <c r="S15" s="34">
        <v>0</v>
      </c>
      <c r="T15" s="34">
        <v>1588</v>
      </c>
      <c r="U15" s="34">
        <v>3836</v>
      </c>
      <c r="V15" s="34">
        <v>0</v>
      </c>
      <c r="W15" s="34">
        <v>20012</v>
      </c>
      <c r="X15" s="58"/>
      <c r="Y15" s="59"/>
      <c r="Z15" s="59"/>
      <c r="AA15" s="59"/>
      <c r="AB15" s="59"/>
      <c r="AC15" s="59"/>
      <c r="AD15" s="59"/>
      <c r="AE15" s="59"/>
      <c r="AF15" s="59"/>
      <c r="AG15" s="60"/>
    </row>
    <row r="16" spans="2:33"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" t="s">
        <v>43</v>
      </c>
      <c r="R16" s="34">
        <v>0</v>
      </c>
      <c r="S16" s="34">
        <v>0</v>
      </c>
      <c r="T16" s="34">
        <v>2046</v>
      </c>
      <c r="U16" s="34">
        <v>4208</v>
      </c>
      <c r="V16" s="34">
        <v>0</v>
      </c>
      <c r="W16" s="34">
        <v>16950</v>
      </c>
      <c r="X16" s="58"/>
      <c r="Y16" s="59"/>
      <c r="Z16" s="59"/>
      <c r="AA16" s="59"/>
      <c r="AB16" s="59"/>
      <c r="AC16" s="59"/>
      <c r="AD16" s="59"/>
      <c r="AE16" s="59"/>
      <c r="AF16" s="59"/>
      <c r="AG16" s="60"/>
    </row>
    <row r="17" spans="2:33"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" t="s">
        <v>44</v>
      </c>
      <c r="R17" s="34">
        <v>0</v>
      </c>
      <c r="S17" s="34">
        <v>0</v>
      </c>
      <c r="T17" s="34">
        <v>0</v>
      </c>
      <c r="U17" s="34">
        <v>1553</v>
      </c>
      <c r="V17" s="34">
        <v>1548</v>
      </c>
      <c r="W17" s="34">
        <v>11119</v>
      </c>
      <c r="X17" s="58"/>
      <c r="Y17" s="59"/>
      <c r="Z17" s="59"/>
      <c r="AA17" s="59"/>
      <c r="AB17" s="59"/>
      <c r="AC17" s="59"/>
      <c r="AD17" s="59"/>
      <c r="AE17" s="59"/>
      <c r="AF17" s="59"/>
      <c r="AG17" s="60"/>
    </row>
    <row r="18" spans="2:33"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" t="s">
        <v>45</v>
      </c>
      <c r="R18" s="34">
        <v>0</v>
      </c>
      <c r="S18" s="34">
        <v>1496</v>
      </c>
      <c r="T18" s="34">
        <v>1649</v>
      </c>
      <c r="U18" s="34">
        <v>0</v>
      </c>
      <c r="V18" s="34">
        <v>0</v>
      </c>
      <c r="W18" s="34">
        <v>6215</v>
      </c>
      <c r="X18" s="58"/>
      <c r="Y18" s="59"/>
      <c r="Z18" s="59"/>
      <c r="AA18" s="59"/>
      <c r="AB18" s="59"/>
      <c r="AC18" s="59"/>
      <c r="AD18" s="59"/>
      <c r="AE18" s="59"/>
      <c r="AF18" s="59"/>
      <c r="AG18" s="60"/>
    </row>
    <row r="19" spans="2:33"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" t="s">
        <v>46</v>
      </c>
      <c r="R19" s="34">
        <v>1400</v>
      </c>
      <c r="S19" s="34">
        <v>1474</v>
      </c>
      <c r="T19" s="34">
        <v>0</v>
      </c>
      <c r="U19" s="34">
        <v>0</v>
      </c>
      <c r="V19" s="34">
        <v>0</v>
      </c>
      <c r="W19" s="34">
        <v>3467</v>
      </c>
      <c r="X19" s="58"/>
      <c r="Y19" s="59"/>
      <c r="Z19" s="59"/>
      <c r="AA19" s="59"/>
      <c r="AB19" s="59"/>
      <c r="AC19" s="59"/>
      <c r="AD19" s="59"/>
      <c r="AE19" s="59"/>
      <c r="AF19" s="59"/>
      <c r="AG19" s="60"/>
    </row>
    <row r="20" spans="2:33" ht="15" thickBot="1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"/>
      <c r="R20" s="2"/>
      <c r="S20" s="2"/>
      <c r="T20" s="2"/>
      <c r="U20" s="2"/>
      <c r="V20" s="2"/>
      <c r="W20" s="2"/>
      <c r="X20" s="61"/>
      <c r="Y20" s="62"/>
      <c r="Z20" s="62"/>
      <c r="AA20" s="62"/>
      <c r="AB20" s="62"/>
      <c r="AC20" s="62"/>
      <c r="AD20" s="62"/>
      <c r="AE20" s="62"/>
      <c r="AF20" s="62"/>
      <c r="AG20" s="63"/>
    </row>
    <row r="21" spans="2:3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9"/>
      <c r="Q21" s="50"/>
      <c r="R21" s="51"/>
      <c r="S21" s="51"/>
      <c r="T21" s="51"/>
      <c r="U21" s="51"/>
      <c r="V21" s="51"/>
      <c r="W21" s="51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2:33" ht="17.25" customHeight="1" thickBot="1">
      <c r="B22" s="25" t="s">
        <v>109</v>
      </c>
      <c r="C22" s="26" t="s">
        <v>110</v>
      </c>
      <c r="D22" s="26" t="s">
        <v>116</v>
      </c>
      <c r="E22" s="26" t="s">
        <v>117</v>
      </c>
      <c r="F22" s="26" t="s">
        <v>113</v>
      </c>
      <c r="G22" s="26" t="s">
        <v>114</v>
      </c>
      <c r="H22" s="27" t="s">
        <v>58</v>
      </c>
      <c r="I22" s="26" t="s">
        <v>118</v>
      </c>
      <c r="J22" s="27" t="s">
        <v>87</v>
      </c>
      <c r="K22" s="29">
        <v>70</v>
      </c>
      <c r="L22" s="30">
        <v>90</v>
      </c>
      <c r="M22" s="30">
        <v>90</v>
      </c>
      <c r="N22" s="30">
        <v>90</v>
      </c>
      <c r="O22" s="30">
        <v>90</v>
      </c>
      <c r="P22" s="39">
        <v>90</v>
      </c>
      <c r="Q22" s="1" t="s">
        <v>35</v>
      </c>
      <c r="R22" s="34">
        <v>1565.6500244140625</v>
      </c>
      <c r="S22" s="34">
        <v>1354.5799560546875</v>
      </c>
      <c r="T22" s="34">
        <v>0</v>
      </c>
      <c r="U22" s="34">
        <v>0</v>
      </c>
      <c r="V22" s="34">
        <v>0</v>
      </c>
      <c r="W22" s="34">
        <v>2529</v>
      </c>
      <c r="X22" s="43">
        <f>SUM(R22:W33)</f>
        <v>96503.349853515625</v>
      </c>
      <c r="Y22" s="10">
        <v>46204</v>
      </c>
      <c r="Z22" s="11">
        <v>0.21964920427208123</v>
      </c>
      <c r="AA22" s="11">
        <v>0.18323938230056691</v>
      </c>
      <c r="AB22" s="11">
        <v>0.14776533800058905</v>
      </c>
      <c r="AC22" s="11">
        <v>0.12924722998056465</v>
      </c>
      <c r="AD22" s="11">
        <v>0.11497566539164336</v>
      </c>
      <c r="AE22" s="11">
        <v>0.13199526282684884</v>
      </c>
      <c r="AF22" s="11">
        <v>0.8</v>
      </c>
      <c r="AG22" s="11">
        <v>0.23899999999999999</v>
      </c>
    </row>
    <row r="23" spans="2:33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" t="s">
        <v>36</v>
      </c>
      <c r="R23" s="34">
        <v>1217.8699951171875</v>
      </c>
      <c r="S23" s="34">
        <v>1038.8599853515625</v>
      </c>
      <c r="T23" s="34">
        <v>0</v>
      </c>
      <c r="U23" s="34">
        <v>0</v>
      </c>
      <c r="V23" s="34">
        <v>0</v>
      </c>
      <c r="W23" s="34">
        <v>2207.3798828125</v>
      </c>
      <c r="X23" s="14"/>
      <c r="Y23" s="14"/>
      <c r="Z23" s="14"/>
      <c r="AA23" s="14"/>
      <c r="AB23" s="14"/>
      <c r="AC23" s="14"/>
      <c r="AD23" s="14"/>
      <c r="AE23" s="14"/>
      <c r="AF23" s="14"/>
      <c r="AG23" s="16"/>
    </row>
    <row r="24" spans="2:33"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" t="s">
        <v>37</v>
      </c>
      <c r="R24" s="34">
        <v>0</v>
      </c>
      <c r="S24" s="34">
        <v>1198.0999755859375</v>
      </c>
      <c r="T24" s="34">
        <v>981.71002197265625</v>
      </c>
      <c r="U24" s="34">
        <v>0</v>
      </c>
      <c r="V24" s="34">
        <v>0</v>
      </c>
      <c r="W24" s="34">
        <v>2237.22998046875</v>
      </c>
      <c r="AG24" s="16"/>
    </row>
    <row r="25" spans="2:33">
      <c r="B25" s="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" t="s">
        <v>38</v>
      </c>
      <c r="R25" s="34">
        <v>0</v>
      </c>
      <c r="S25" s="34">
        <v>0</v>
      </c>
      <c r="T25" s="34">
        <v>0</v>
      </c>
      <c r="U25" s="34">
        <v>834.47998046875</v>
      </c>
      <c r="V25" s="34">
        <v>580.32000732421875</v>
      </c>
      <c r="W25" s="34">
        <v>2216.389892578125</v>
      </c>
      <c r="AG25" s="16"/>
    </row>
    <row r="26" spans="2:33">
      <c r="B26" s="6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" t="s">
        <v>39</v>
      </c>
      <c r="R26" s="34">
        <v>0</v>
      </c>
      <c r="S26" s="34">
        <v>0</v>
      </c>
      <c r="T26" s="34">
        <v>0</v>
      </c>
      <c r="U26" s="34">
        <v>1600.1400146484375</v>
      </c>
      <c r="V26" s="34">
        <v>1207.489990234375</v>
      </c>
      <c r="W26" s="34">
        <v>5137.89990234375</v>
      </c>
      <c r="AG26" s="16"/>
    </row>
    <row r="27" spans="2:33">
      <c r="B27" s="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" t="s">
        <v>40</v>
      </c>
      <c r="R27" s="34">
        <v>0</v>
      </c>
      <c r="S27" s="34">
        <v>0</v>
      </c>
      <c r="T27" s="34">
        <v>3293.580078125</v>
      </c>
      <c r="U27" s="34">
        <v>2676.550048828125</v>
      </c>
      <c r="V27" s="34">
        <v>0</v>
      </c>
      <c r="W27" s="34">
        <v>5416.91015625</v>
      </c>
      <c r="AG27" s="16"/>
    </row>
    <row r="28" spans="2:33">
      <c r="B28" s="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" t="s">
        <v>41</v>
      </c>
      <c r="R28" s="34">
        <v>5007.39013671875</v>
      </c>
      <c r="S28" s="34">
        <v>3644.8798828125</v>
      </c>
      <c r="T28" s="34">
        <v>0</v>
      </c>
      <c r="U28" s="34">
        <v>0</v>
      </c>
      <c r="V28" s="34">
        <v>0</v>
      </c>
      <c r="W28" s="34">
        <v>5110.52001953125</v>
      </c>
      <c r="AG28" s="16"/>
    </row>
    <row r="29" spans="2:33"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" t="s">
        <v>42</v>
      </c>
      <c r="R29" s="34">
        <v>0</v>
      </c>
      <c r="S29" s="34">
        <v>0</v>
      </c>
      <c r="T29" s="34">
        <v>4299.35986328125</v>
      </c>
      <c r="U29" s="34">
        <v>3289.56005859375</v>
      </c>
      <c r="V29" s="34">
        <v>0</v>
      </c>
      <c r="W29" s="34">
        <v>6907.8798828125</v>
      </c>
      <c r="AG29" s="16"/>
    </row>
    <row r="30" spans="2:33"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" t="s">
        <v>43</v>
      </c>
      <c r="R30" s="34">
        <v>0</v>
      </c>
      <c r="S30" s="34">
        <v>0</v>
      </c>
      <c r="T30" s="34">
        <v>4039.669921875</v>
      </c>
      <c r="U30" s="34">
        <v>2905.85009765625</v>
      </c>
      <c r="V30" s="34">
        <v>0</v>
      </c>
      <c r="W30" s="34">
        <v>5404.93994140625</v>
      </c>
      <c r="AG30" s="16"/>
    </row>
    <row r="31" spans="2:33">
      <c r="B31" s="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" t="s">
        <v>44</v>
      </c>
      <c r="R31" s="34">
        <v>0</v>
      </c>
      <c r="S31" s="34">
        <v>0</v>
      </c>
      <c r="T31" s="34">
        <v>0</v>
      </c>
      <c r="U31" s="34">
        <v>1909.0699462890625</v>
      </c>
      <c r="V31" s="34">
        <v>1418.75</v>
      </c>
      <c r="W31" s="34">
        <v>3515.780029296875</v>
      </c>
      <c r="AG31" s="16"/>
    </row>
    <row r="32" spans="2:33">
      <c r="B32" s="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" t="s">
        <v>45</v>
      </c>
      <c r="R32" s="34">
        <v>0</v>
      </c>
      <c r="S32" s="34">
        <v>1168.1199951171875</v>
      </c>
      <c r="T32" s="34">
        <v>1145.760009765625</v>
      </c>
      <c r="U32" s="34">
        <v>0</v>
      </c>
      <c r="V32" s="34">
        <v>0</v>
      </c>
      <c r="W32" s="34">
        <v>2560.610107421875</v>
      </c>
      <c r="AG32" s="16"/>
    </row>
    <row r="33" spans="2:33">
      <c r="B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" t="s">
        <v>46</v>
      </c>
      <c r="R33" s="34">
        <v>1946</v>
      </c>
      <c r="S33" s="34">
        <v>1581.2099609375</v>
      </c>
      <c r="T33" s="34">
        <v>0</v>
      </c>
      <c r="U33" s="34">
        <v>0</v>
      </c>
      <c r="V33" s="34">
        <v>0</v>
      </c>
      <c r="W33" s="34">
        <v>3353.860107421875</v>
      </c>
      <c r="AG33" s="16"/>
    </row>
    <row r="34" spans="2:33"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"/>
      <c r="R34" s="2"/>
      <c r="S34" s="2"/>
      <c r="T34" s="2"/>
      <c r="U34" s="2"/>
      <c r="V34" s="2"/>
      <c r="W34" s="2"/>
      <c r="AG34" s="16"/>
    </row>
    <row r="35" spans="2:33" ht="15" thickBot="1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1"/>
      <c r="R35" s="2"/>
      <c r="S35" s="2"/>
      <c r="T35" s="2"/>
      <c r="U35" s="2"/>
      <c r="V35" s="2"/>
      <c r="W35" s="2"/>
      <c r="X35" s="15"/>
      <c r="Y35" s="15"/>
      <c r="Z35" s="15"/>
      <c r="AA35" s="15"/>
      <c r="AB35" s="15"/>
      <c r="AC35" s="15"/>
      <c r="AD35" s="15"/>
      <c r="AE35" s="15"/>
      <c r="AF35" s="15"/>
      <c r="AG35" s="17"/>
    </row>
    <row r="36" spans="2:3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"/>
      <c r="R36" s="2"/>
      <c r="S36" s="2"/>
      <c r="T36" s="2"/>
      <c r="U36" s="2"/>
      <c r="V36" s="2"/>
      <c r="W36" s="2"/>
      <c r="X36" s="3"/>
      <c r="Y36" s="3"/>
      <c r="Z36" s="3"/>
      <c r="AA36" s="3"/>
      <c r="AB36" s="3"/>
      <c r="AC36" s="3"/>
      <c r="AD36" s="3"/>
      <c r="AE36" s="3"/>
    </row>
    <row r="37" spans="2:33" ht="18" customHeight="1" thickBot="1">
      <c r="B37" s="25" t="s">
        <v>109</v>
      </c>
      <c r="C37" s="26" t="s">
        <v>110</v>
      </c>
      <c r="D37" s="26" t="s">
        <v>119</v>
      </c>
      <c r="E37" s="26" t="s">
        <v>120</v>
      </c>
      <c r="F37" s="26" t="s">
        <v>113</v>
      </c>
      <c r="G37" s="26" t="s">
        <v>114</v>
      </c>
      <c r="H37" s="27" t="s">
        <v>58</v>
      </c>
      <c r="I37" s="26" t="s">
        <v>121</v>
      </c>
      <c r="J37" s="27" t="s">
        <v>87</v>
      </c>
      <c r="K37" s="29">
        <v>25</v>
      </c>
      <c r="L37" s="29">
        <v>25</v>
      </c>
      <c r="M37" s="29">
        <v>25</v>
      </c>
      <c r="N37" s="29">
        <v>25</v>
      </c>
      <c r="O37" s="29">
        <v>25</v>
      </c>
      <c r="P37" s="40">
        <v>50</v>
      </c>
      <c r="Q37" s="1" t="s">
        <v>35</v>
      </c>
      <c r="R37" s="34">
        <v>257.95001220703125</v>
      </c>
      <c r="S37" s="34">
        <v>145.49000549316406</v>
      </c>
      <c r="T37" s="34">
        <v>0</v>
      </c>
      <c r="U37" s="34">
        <v>0</v>
      </c>
      <c r="V37" s="34">
        <v>0</v>
      </c>
      <c r="W37" s="34">
        <v>511.6099853515625</v>
      </c>
      <c r="X37" s="43">
        <f>SUM(R37:W48)</f>
        <v>27412.520004272461</v>
      </c>
      <c r="Y37" s="10">
        <v>46204</v>
      </c>
      <c r="Z37" s="11">
        <v>0.21964920427208123</v>
      </c>
      <c r="AA37" s="11">
        <v>0.18323938230056691</v>
      </c>
      <c r="AB37" s="11">
        <v>0.14776533800058905</v>
      </c>
      <c r="AC37" s="11">
        <v>0.12924722998056465</v>
      </c>
      <c r="AD37" s="11">
        <v>0.11497566539164336</v>
      </c>
      <c r="AE37" s="11">
        <v>0.13199526282684884</v>
      </c>
      <c r="AF37" s="11">
        <v>0.8</v>
      </c>
      <c r="AG37" s="11">
        <v>0.23899999999999999</v>
      </c>
    </row>
    <row r="38" spans="2:3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1" t="s">
        <v>36</v>
      </c>
      <c r="R38" s="34">
        <v>1386.9100341796875</v>
      </c>
      <c r="S38" s="34">
        <v>889.030029296875</v>
      </c>
      <c r="T38" s="34">
        <v>0</v>
      </c>
      <c r="U38" s="34">
        <v>0</v>
      </c>
      <c r="V38" s="34">
        <v>0</v>
      </c>
      <c r="W38" s="34">
        <v>1299.3599853515625</v>
      </c>
      <c r="X38" s="14"/>
      <c r="Y38" s="14"/>
      <c r="Z38" s="14"/>
      <c r="AA38" s="14"/>
      <c r="AB38" s="14"/>
      <c r="AC38" s="14"/>
      <c r="AD38" s="14"/>
      <c r="AE38" s="14"/>
      <c r="AF38" s="14"/>
      <c r="AG38" s="16"/>
    </row>
    <row r="39" spans="2:33">
      <c r="B39" s="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" t="s">
        <v>37</v>
      </c>
      <c r="R39" s="34">
        <v>0</v>
      </c>
      <c r="S39" s="34">
        <v>740.719970703125</v>
      </c>
      <c r="T39" s="34">
        <v>502.77999877929688</v>
      </c>
      <c r="U39" s="34">
        <v>0</v>
      </c>
      <c r="V39" s="34">
        <v>0</v>
      </c>
      <c r="W39" s="34">
        <v>1042.8800048828125</v>
      </c>
      <c r="AG39" s="16"/>
    </row>
    <row r="40" spans="2:33"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" t="s">
        <v>38</v>
      </c>
      <c r="R40" s="34">
        <v>0</v>
      </c>
      <c r="S40" s="34">
        <v>0</v>
      </c>
      <c r="T40" s="34">
        <v>0</v>
      </c>
      <c r="U40" s="34">
        <v>569.65997314453125</v>
      </c>
      <c r="V40" s="34">
        <v>385.25</v>
      </c>
      <c r="W40" s="34">
        <v>819.03997802734375</v>
      </c>
      <c r="AG40" s="16"/>
    </row>
    <row r="41" spans="2:33">
      <c r="B41" s="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" t="s">
        <v>39</v>
      </c>
      <c r="R41" s="34">
        <v>0</v>
      </c>
      <c r="S41" s="34">
        <v>0</v>
      </c>
      <c r="T41" s="34">
        <v>0</v>
      </c>
      <c r="U41" s="34">
        <v>443.47000122070313</v>
      </c>
      <c r="V41" s="34">
        <v>303.51998901367188</v>
      </c>
      <c r="W41" s="34">
        <v>864.40997314453125</v>
      </c>
      <c r="AG41" s="16"/>
    </row>
    <row r="42" spans="2:33"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" t="s">
        <v>40</v>
      </c>
      <c r="R42" s="34">
        <v>0</v>
      </c>
      <c r="S42" s="34">
        <v>0</v>
      </c>
      <c r="T42" s="34">
        <v>441.44000244140625</v>
      </c>
      <c r="U42" s="34">
        <v>366.1199951171875</v>
      </c>
      <c r="V42" s="34">
        <v>0</v>
      </c>
      <c r="W42" s="34">
        <v>698.8699951171875</v>
      </c>
      <c r="AG42" s="16"/>
    </row>
    <row r="43" spans="2:33">
      <c r="B43" s="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" t="s">
        <v>41</v>
      </c>
      <c r="R43" s="34">
        <v>754.79998779296875</v>
      </c>
      <c r="S43" s="34">
        <v>644.260009765625</v>
      </c>
      <c r="T43" s="34">
        <v>0</v>
      </c>
      <c r="U43" s="34">
        <v>0</v>
      </c>
      <c r="V43" s="34">
        <v>0</v>
      </c>
      <c r="W43" s="34">
        <v>836.42999267578125</v>
      </c>
      <c r="AG43" s="16"/>
    </row>
    <row r="44" spans="2:33"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" t="s">
        <v>42</v>
      </c>
      <c r="R44" s="34">
        <v>0</v>
      </c>
      <c r="S44" s="34">
        <v>0</v>
      </c>
      <c r="T44" s="34">
        <v>583.780029296875</v>
      </c>
      <c r="U44" s="34">
        <v>595.5</v>
      </c>
      <c r="V44" s="34">
        <v>0</v>
      </c>
      <c r="W44" s="34">
        <v>1003.3300170898438</v>
      </c>
      <c r="AG44" s="16"/>
    </row>
    <row r="45" spans="2:33"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" t="s">
        <v>43</v>
      </c>
      <c r="R45" s="34">
        <v>0</v>
      </c>
      <c r="S45" s="34">
        <v>0</v>
      </c>
      <c r="T45" s="34">
        <v>1177.75</v>
      </c>
      <c r="U45" s="34">
        <v>935.80999755859375</v>
      </c>
      <c r="V45" s="34">
        <v>0</v>
      </c>
      <c r="W45" s="34">
        <v>1194.1700439453125</v>
      </c>
      <c r="AG45" s="16"/>
    </row>
    <row r="46" spans="2:33"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" t="s">
        <v>44</v>
      </c>
      <c r="R46" s="34">
        <v>0</v>
      </c>
      <c r="S46" s="34">
        <v>0</v>
      </c>
      <c r="T46" s="34">
        <v>0</v>
      </c>
      <c r="U46" s="34">
        <v>1057.4300537109375</v>
      </c>
      <c r="V46" s="34">
        <v>785.03997802734375</v>
      </c>
      <c r="W46" s="34">
        <v>1143.6199951171875</v>
      </c>
      <c r="AG46" s="16"/>
    </row>
    <row r="47" spans="2:33">
      <c r="B47" s="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" t="s">
        <v>45</v>
      </c>
      <c r="R47" s="34">
        <v>0</v>
      </c>
      <c r="S47" s="34">
        <v>807.52001953125</v>
      </c>
      <c r="T47" s="34">
        <v>570.3699951171875</v>
      </c>
      <c r="U47" s="34">
        <v>0</v>
      </c>
      <c r="V47" s="34">
        <v>0</v>
      </c>
      <c r="W47" s="34">
        <v>1095.1300048828125</v>
      </c>
      <c r="AG47" s="16"/>
    </row>
    <row r="48" spans="2:33">
      <c r="B48" s="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" t="s">
        <v>46</v>
      </c>
      <c r="R48" s="34">
        <v>866.92999267578125</v>
      </c>
      <c r="S48" s="34">
        <v>582.32000732421875</v>
      </c>
      <c r="T48" s="34">
        <v>0</v>
      </c>
      <c r="U48" s="34">
        <v>0</v>
      </c>
      <c r="V48" s="34">
        <v>0</v>
      </c>
      <c r="W48" s="34">
        <v>1109.8199462890625</v>
      </c>
      <c r="AG48" s="16"/>
    </row>
    <row r="49" spans="2:33">
      <c r="B49" s="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"/>
      <c r="R49" s="34"/>
      <c r="S49" s="34"/>
      <c r="T49" s="34"/>
      <c r="U49" s="34"/>
      <c r="V49" s="34"/>
      <c r="W49" s="34"/>
      <c r="AG49" s="16"/>
    </row>
    <row r="50" spans="2:33" ht="15" thickBot="1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1"/>
      <c r="R50" s="34"/>
      <c r="S50" s="34"/>
      <c r="T50" s="34"/>
      <c r="U50" s="34"/>
      <c r="V50" s="34"/>
      <c r="W50" s="34"/>
      <c r="X50" s="15"/>
      <c r="Y50" s="15"/>
      <c r="Z50" s="15"/>
      <c r="AA50" s="15"/>
      <c r="AB50" s="15"/>
      <c r="AC50" s="15"/>
      <c r="AD50" s="15"/>
      <c r="AE50" s="15"/>
      <c r="AF50" s="15"/>
      <c r="AG50" s="17"/>
    </row>
    <row r="51" spans="2:3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"/>
      <c r="R51" s="2"/>
      <c r="S51" s="2"/>
      <c r="T51" s="2"/>
      <c r="U51" s="2"/>
      <c r="V51" s="2"/>
      <c r="W51" s="2"/>
      <c r="X51" s="3"/>
      <c r="Y51" s="3"/>
      <c r="Z51" s="3"/>
      <c r="AA51" s="3"/>
      <c r="AB51" s="3"/>
      <c r="AC51" s="3"/>
      <c r="AD51" s="3"/>
      <c r="AE51" s="3"/>
    </row>
    <row r="52" spans="2:33" ht="15" thickBot="1">
      <c r="B52" s="25" t="s">
        <v>122</v>
      </c>
      <c r="C52" s="26" t="s">
        <v>123</v>
      </c>
      <c r="D52" s="26" t="s">
        <v>124</v>
      </c>
      <c r="E52" s="26" t="s">
        <v>125</v>
      </c>
      <c r="F52" s="26" t="s">
        <v>126</v>
      </c>
      <c r="G52" s="26" t="s">
        <v>33</v>
      </c>
      <c r="H52" s="27" t="s">
        <v>33</v>
      </c>
      <c r="I52" s="26" t="s">
        <v>127</v>
      </c>
      <c r="J52" s="27" t="s">
        <v>87</v>
      </c>
      <c r="K52" s="29">
        <v>10</v>
      </c>
      <c r="L52" s="29">
        <v>12</v>
      </c>
      <c r="M52" s="29">
        <v>12</v>
      </c>
      <c r="N52" s="29">
        <v>12</v>
      </c>
      <c r="O52" s="29">
        <v>12</v>
      </c>
      <c r="P52" s="40">
        <v>15.0100002288818</v>
      </c>
      <c r="Q52" s="1" t="s">
        <v>35</v>
      </c>
      <c r="R52" s="34">
        <v>1064</v>
      </c>
      <c r="S52" s="34">
        <v>394</v>
      </c>
      <c r="T52" s="34">
        <v>0</v>
      </c>
      <c r="U52" s="34">
        <v>0</v>
      </c>
      <c r="V52" s="34">
        <v>0</v>
      </c>
      <c r="W52" s="34">
        <v>938</v>
      </c>
      <c r="X52" s="43">
        <f>SUM(R52:W63)</f>
        <v>22068</v>
      </c>
      <c r="Y52" s="10">
        <v>46204</v>
      </c>
      <c r="Z52" s="11">
        <v>0.22006544792690355</v>
      </c>
      <c r="AA52" s="11">
        <v>0.18365562595538923</v>
      </c>
      <c r="AB52" s="11">
        <v>0.14818158165541137</v>
      </c>
      <c r="AC52" s="11">
        <v>0.12966347363538697</v>
      </c>
      <c r="AD52" s="11">
        <v>0.11539190904646569</v>
      </c>
      <c r="AE52" s="11">
        <v>0.13241150648167116</v>
      </c>
      <c r="AF52" s="11">
        <v>1.1100000000000001</v>
      </c>
      <c r="AG52" s="13">
        <v>0.23899999999999999</v>
      </c>
    </row>
    <row r="53" spans="2:33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1" t="s">
        <v>36</v>
      </c>
      <c r="R53" s="34">
        <v>923</v>
      </c>
      <c r="S53" s="34">
        <v>364</v>
      </c>
      <c r="T53" s="34">
        <v>0</v>
      </c>
      <c r="U53" s="34">
        <v>0</v>
      </c>
      <c r="V53" s="34">
        <v>0</v>
      </c>
      <c r="W53" s="34">
        <v>614</v>
      </c>
      <c r="X53" s="14"/>
      <c r="Y53" s="14"/>
      <c r="Z53" s="14"/>
      <c r="AA53" s="14"/>
      <c r="AB53" s="14"/>
      <c r="AC53" s="14"/>
      <c r="AD53" s="14"/>
      <c r="AE53" s="14"/>
      <c r="AF53" s="14"/>
      <c r="AG53" s="16"/>
    </row>
    <row r="54" spans="2:33"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" t="s">
        <v>37</v>
      </c>
      <c r="R54" s="34">
        <v>0</v>
      </c>
      <c r="S54" s="34">
        <v>939</v>
      </c>
      <c r="T54" s="34">
        <v>362</v>
      </c>
      <c r="U54" s="34">
        <v>0</v>
      </c>
      <c r="V54" s="34">
        <v>0</v>
      </c>
      <c r="W54" s="34">
        <v>708</v>
      </c>
      <c r="AG54" s="16"/>
    </row>
    <row r="55" spans="2:33"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" t="s">
        <v>38</v>
      </c>
      <c r="R55" s="34">
        <v>0</v>
      </c>
      <c r="S55" s="34">
        <v>0</v>
      </c>
      <c r="T55" s="34">
        <v>0</v>
      </c>
      <c r="U55" s="34">
        <v>704</v>
      </c>
      <c r="V55" s="34">
        <v>319</v>
      </c>
      <c r="W55" s="34">
        <v>664</v>
      </c>
      <c r="AG55" s="16"/>
    </row>
    <row r="56" spans="2:33"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" t="s">
        <v>39</v>
      </c>
      <c r="R56" s="34">
        <v>0</v>
      </c>
      <c r="S56" s="34">
        <v>0</v>
      </c>
      <c r="T56" s="34">
        <v>0</v>
      </c>
      <c r="U56" s="34">
        <v>522</v>
      </c>
      <c r="V56" s="34">
        <v>276</v>
      </c>
      <c r="W56" s="34">
        <v>704</v>
      </c>
      <c r="AG56" s="16"/>
    </row>
    <row r="57" spans="2:33"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" t="s">
        <v>40</v>
      </c>
      <c r="R57" s="34">
        <v>0</v>
      </c>
      <c r="S57" s="34">
        <v>0</v>
      </c>
      <c r="T57" s="34">
        <v>672</v>
      </c>
      <c r="U57" s="34">
        <v>353</v>
      </c>
      <c r="V57" s="34">
        <v>0</v>
      </c>
      <c r="W57" s="34">
        <v>748</v>
      </c>
      <c r="AG57" s="16"/>
    </row>
    <row r="58" spans="2:33"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" t="s">
        <v>41</v>
      </c>
      <c r="R58" s="34">
        <v>817</v>
      </c>
      <c r="S58" s="34">
        <v>438</v>
      </c>
      <c r="T58" s="34">
        <v>51</v>
      </c>
      <c r="U58" s="34">
        <v>18</v>
      </c>
      <c r="V58" s="34">
        <v>0</v>
      </c>
      <c r="W58" s="34">
        <v>755</v>
      </c>
      <c r="AG58" s="16"/>
    </row>
    <row r="59" spans="2:33">
      <c r="B59" s="6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" t="s">
        <v>42</v>
      </c>
      <c r="R59" s="34">
        <v>0</v>
      </c>
      <c r="S59" s="34">
        <v>0</v>
      </c>
      <c r="T59" s="34">
        <v>680</v>
      </c>
      <c r="U59" s="34">
        <v>352</v>
      </c>
      <c r="V59" s="34">
        <v>0</v>
      </c>
      <c r="W59" s="34">
        <v>882</v>
      </c>
      <c r="AG59" s="16"/>
    </row>
    <row r="60" spans="2:33">
      <c r="B60" s="6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" t="s">
        <v>43</v>
      </c>
      <c r="R60" s="34">
        <v>0</v>
      </c>
      <c r="S60" s="34">
        <v>0</v>
      </c>
      <c r="T60" s="34">
        <v>457</v>
      </c>
      <c r="U60" s="34">
        <v>300</v>
      </c>
      <c r="V60" s="34">
        <v>0</v>
      </c>
      <c r="W60" s="34">
        <v>677</v>
      </c>
      <c r="AG60" s="16"/>
    </row>
    <row r="61" spans="2:33">
      <c r="B61" s="6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" t="s">
        <v>44</v>
      </c>
      <c r="R61" s="34">
        <v>0</v>
      </c>
      <c r="S61" s="34">
        <v>0</v>
      </c>
      <c r="T61" s="34">
        <v>0</v>
      </c>
      <c r="U61" s="34">
        <v>556</v>
      </c>
      <c r="V61" s="34">
        <v>326</v>
      </c>
      <c r="W61" s="34">
        <v>676</v>
      </c>
      <c r="AG61" s="16"/>
    </row>
    <row r="62" spans="2:33">
      <c r="B62" s="6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" t="s">
        <v>45</v>
      </c>
      <c r="R62" s="34">
        <v>0</v>
      </c>
      <c r="S62" s="34">
        <v>857</v>
      </c>
      <c r="T62" s="34">
        <v>312</v>
      </c>
      <c r="U62" s="34">
        <v>0</v>
      </c>
      <c r="V62" s="34">
        <v>0</v>
      </c>
      <c r="W62" s="34">
        <v>645</v>
      </c>
      <c r="AG62" s="16"/>
    </row>
    <row r="63" spans="2:33">
      <c r="B63" s="6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" t="s">
        <v>46</v>
      </c>
      <c r="R63" s="34">
        <v>975</v>
      </c>
      <c r="S63" s="34">
        <v>347</v>
      </c>
      <c r="T63" s="34">
        <v>0</v>
      </c>
      <c r="U63" s="34">
        <v>0</v>
      </c>
      <c r="V63" s="34">
        <v>0</v>
      </c>
      <c r="W63" s="34">
        <v>679</v>
      </c>
      <c r="AG63" s="16"/>
    </row>
    <row r="64" spans="2:33">
      <c r="B64" s="6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"/>
      <c r="R64" s="2"/>
      <c r="S64" s="2"/>
      <c r="T64" s="2"/>
      <c r="U64" s="2"/>
      <c r="V64" s="2"/>
      <c r="W64" s="2"/>
      <c r="AG64" s="16"/>
    </row>
    <row r="65" spans="2:33" ht="15" thickBot="1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1"/>
      <c r="R65" s="2"/>
      <c r="S65" s="2"/>
      <c r="T65" s="2"/>
      <c r="U65" s="2"/>
      <c r="V65" s="2"/>
      <c r="W65" s="2"/>
      <c r="X65" s="15"/>
      <c r="Y65" s="15"/>
      <c r="Z65" s="15"/>
      <c r="AA65" s="15"/>
      <c r="AB65" s="15"/>
      <c r="AC65" s="15"/>
      <c r="AD65" s="15"/>
      <c r="AE65" s="15"/>
      <c r="AF65" s="15"/>
      <c r="AG65" s="17"/>
    </row>
    <row r="67" spans="2:33" ht="20.25" customHeight="1" thickBot="1">
      <c r="B67" s="25" t="s">
        <v>128</v>
      </c>
      <c r="C67" s="26" t="s">
        <v>129</v>
      </c>
      <c r="D67" s="26" t="s">
        <v>130</v>
      </c>
      <c r="E67" s="26" t="s">
        <v>131</v>
      </c>
      <c r="F67" s="26" t="s">
        <v>132</v>
      </c>
      <c r="G67" s="26" t="s">
        <v>133</v>
      </c>
      <c r="H67" s="27" t="s">
        <v>81</v>
      </c>
      <c r="I67" s="26" t="s">
        <v>134</v>
      </c>
      <c r="J67" s="27" t="s">
        <v>34</v>
      </c>
      <c r="K67" s="29">
        <v>53</v>
      </c>
      <c r="L67" s="29">
        <v>53</v>
      </c>
      <c r="M67" s="29">
        <v>60</v>
      </c>
      <c r="N67" s="29">
        <v>60</v>
      </c>
      <c r="O67" s="29">
        <v>60</v>
      </c>
      <c r="P67" s="40">
        <v>65</v>
      </c>
      <c r="Q67" s="1" t="s">
        <v>35</v>
      </c>
      <c r="R67" s="34">
        <v>4742</v>
      </c>
      <c r="S67" s="34">
        <v>3194</v>
      </c>
      <c r="T67" s="34">
        <v>0</v>
      </c>
      <c r="U67" s="34">
        <v>0</v>
      </c>
      <c r="V67" s="34">
        <v>0</v>
      </c>
      <c r="W67" s="34">
        <v>7224</v>
      </c>
      <c r="X67" s="43">
        <f>SUM(R67:W79)</f>
        <v>224074</v>
      </c>
      <c r="Y67" s="10">
        <v>46204</v>
      </c>
      <c r="Z67" s="11">
        <v>0.19003063189368236</v>
      </c>
      <c r="AA67" s="11">
        <v>0.15894241372874238</v>
      </c>
      <c r="AB67" s="11">
        <v>0.13170975751722944</v>
      </c>
      <c r="AC67" s="11">
        <v>0.11770850284267438</v>
      </c>
      <c r="AD67" s="11">
        <v>0.10679434368912716</v>
      </c>
      <c r="AE67" s="11">
        <v>0.12246507791371883</v>
      </c>
      <c r="AF67" s="11">
        <v>0.7</v>
      </c>
      <c r="AG67" s="13">
        <v>0.23899999999999999</v>
      </c>
    </row>
    <row r="68" spans="2:33"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1" t="s">
        <v>36</v>
      </c>
      <c r="R68" s="34">
        <v>5160</v>
      </c>
      <c r="S68" s="34">
        <v>3435</v>
      </c>
      <c r="T68" s="34">
        <v>0</v>
      </c>
      <c r="U68" s="34">
        <v>0</v>
      </c>
      <c r="V68" s="34">
        <v>0</v>
      </c>
      <c r="W68" s="34">
        <v>6244</v>
      </c>
      <c r="X68" s="14"/>
      <c r="Y68" s="14"/>
      <c r="Z68" s="14"/>
      <c r="AA68" s="14"/>
      <c r="AB68" s="14"/>
      <c r="AC68" s="14"/>
      <c r="AD68" s="14"/>
      <c r="AE68" s="14"/>
      <c r="AF68" s="14"/>
      <c r="AG68" s="16"/>
    </row>
    <row r="69" spans="2:33">
      <c r="B69" s="6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" t="s">
        <v>37</v>
      </c>
      <c r="R69" s="34">
        <v>0</v>
      </c>
      <c r="S69" s="34">
        <v>5286</v>
      </c>
      <c r="T69" s="34">
        <v>3632</v>
      </c>
      <c r="U69" s="34">
        <v>0</v>
      </c>
      <c r="V69" s="34">
        <v>0</v>
      </c>
      <c r="W69" s="34">
        <v>7841</v>
      </c>
      <c r="AG69" s="16"/>
    </row>
    <row r="70" spans="2:33">
      <c r="B70" s="6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" t="s">
        <v>38</v>
      </c>
      <c r="R70" s="34">
        <v>0</v>
      </c>
      <c r="S70" s="34">
        <v>0</v>
      </c>
      <c r="T70" s="34">
        <v>0</v>
      </c>
      <c r="U70" s="34">
        <v>5047</v>
      </c>
      <c r="V70" s="34">
        <v>3340</v>
      </c>
      <c r="W70" s="34">
        <v>6458</v>
      </c>
      <c r="AG70" s="16"/>
    </row>
    <row r="71" spans="2:33">
      <c r="B71" s="6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" t="s">
        <v>39</v>
      </c>
      <c r="R71" s="34">
        <v>0</v>
      </c>
      <c r="S71" s="34">
        <v>0</v>
      </c>
      <c r="T71" s="34">
        <v>0</v>
      </c>
      <c r="U71" s="34">
        <v>4925</v>
      </c>
      <c r="V71" s="34">
        <v>3554</v>
      </c>
      <c r="W71" s="34">
        <v>8183</v>
      </c>
      <c r="AG71" s="16"/>
    </row>
    <row r="72" spans="2:33">
      <c r="B72" s="6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" t="s">
        <v>40</v>
      </c>
      <c r="R72" s="34">
        <v>0</v>
      </c>
      <c r="S72" s="34">
        <v>0</v>
      </c>
      <c r="T72" s="34">
        <v>5712</v>
      </c>
      <c r="U72" s="34">
        <v>4185</v>
      </c>
      <c r="V72" s="34">
        <v>0</v>
      </c>
      <c r="W72" s="34">
        <v>10413</v>
      </c>
      <c r="AG72" s="16"/>
    </row>
    <row r="73" spans="2:33">
      <c r="B73" s="6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" t="s">
        <v>41</v>
      </c>
      <c r="R73" s="34">
        <v>7023</v>
      </c>
      <c r="S73" s="34">
        <v>5042</v>
      </c>
      <c r="T73" s="34">
        <v>0</v>
      </c>
      <c r="U73" s="34">
        <v>0</v>
      </c>
      <c r="V73" s="34">
        <v>0</v>
      </c>
      <c r="W73" s="34">
        <v>12146</v>
      </c>
      <c r="AG73" s="16"/>
    </row>
    <row r="74" spans="2:33">
      <c r="B74" s="6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" t="s">
        <v>42</v>
      </c>
      <c r="R74" s="34">
        <v>0</v>
      </c>
      <c r="S74" s="34">
        <v>0</v>
      </c>
      <c r="T74" s="34">
        <v>6063</v>
      </c>
      <c r="U74" s="34">
        <v>4478</v>
      </c>
      <c r="V74" s="34">
        <v>0</v>
      </c>
      <c r="W74" s="34">
        <v>14469</v>
      </c>
      <c r="AG74" s="16"/>
    </row>
    <row r="75" spans="2:33">
      <c r="B75" s="6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" t="s">
        <v>135</v>
      </c>
      <c r="R75" s="34">
        <v>0</v>
      </c>
      <c r="S75" s="34">
        <v>0</v>
      </c>
      <c r="T75" s="34">
        <v>271</v>
      </c>
      <c r="U75" s="34">
        <v>201</v>
      </c>
      <c r="V75" s="34">
        <v>0</v>
      </c>
      <c r="W75" s="34">
        <v>206</v>
      </c>
      <c r="AG75" s="16"/>
    </row>
    <row r="76" spans="2:33">
      <c r="B76" s="6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" t="s">
        <v>136</v>
      </c>
      <c r="R76" s="34">
        <v>0</v>
      </c>
      <c r="S76" s="34">
        <v>0</v>
      </c>
      <c r="T76" s="34">
        <v>6156</v>
      </c>
      <c r="U76" s="34">
        <v>4475</v>
      </c>
      <c r="V76" s="34">
        <v>0</v>
      </c>
      <c r="W76" s="34">
        <v>10510</v>
      </c>
      <c r="AG76" s="16"/>
    </row>
    <row r="77" spans="2:33">
      <c r="B77" s="6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" t="s">
        <v>44</v>
      </c>
      <c r="R77" s="34">
        <v>0</v>
      </c>
      <c r="S77" s="34">
        <v>0</v>
      </c>
      <c r="T77" s="34">
        <v>1</v>
      </c>
      <c r="U77" s="34">
        <v>6408</v>
      </c>
      <c r="V77" s="34">
        <v>4541</v>
      </c>
      <c r="W77" s="34">
        <v>9907</v>
      </c>
      <c r="AG77" s="16"/>
    </row>
    <row r="78" spans="2:33">
      <c r="B78" s="6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" t="s">
        <v>45</v>
      </c>
      <c r="R78" s="34">
        <v>0</v>
      </c>
      <c r="S78" s="34">
        <v>4812</v>
      </c>
      <c r="T78" s="34">
        <v>3432</v>
      </c>
      <c r="U78" s="34">
        <v>0</v>
      </c>
      <c r="V78" s="34">
        <v>0</v>
      </c>
      <c r="W78" s="34">
        <v>8552</v>
      </c>
      <c r="AG78" s="16"/>
    </row>
    <row r="79" spans="2:33">
      <c r="B79" s="6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" t="s">
        <v>46</v>
      </c>
      <c r="R79" s="34">
        <v>5185</v>
      </c>
      <c r="S79" s="34">
        <v>3652</v>
      </c>
      <c r="T79" s="34">
        <v>0</v>
      </c>
      <c r="U79" s="34">
        <v>0</v>
      </c>
      <c r="V79" s="34">
        <v>0</v>
      </c>
      <c r="W79" s="34">
        <v>7969</v>
      </c>
      <c r="AG79" s="16"/>
    </row>
    <row r="80" spans="2:33" ht="15" thickBot="1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1"/>
      <c r="R80" s="34"/>
      <c r="S80" s="34"/>
      <c r="T80" s="34"/>
      <c r="U80" s="34"/>
      <c r="V80" s="34"/>
      <c r="W80" s="34"/>
      <c r="X80" s="15"/>
      <c r="Y80" s="15"/>
      <c r="Z80" s="15"/>
      <c r="AA80" s="15"/>
      <c r="AB80" s="15"/>
      <c r="AC80" s="15"/>
      <c r="AD80" s="15"/>
      <c r="AE80" s="15"/>
      <c r="AF80" s="15"/>
      <c r="AG80" s="17"/>
    </row>
    <row r="81" spans="2:3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"/>
      <c r="R81" s="2"/>
      <c r="S81" s="2"/>
      <c r="T81" s="2"/>
      <c r="U81" s="2"/>
      <c r="V81" s="2"/>
      <c r="W81" s="2"/>
    </row>
    <row r="82" spans="2:33" ht="15" thickBot="1">
      <c r="B82" s="25" t="s">
        <v>128</v>
      </c>
      <c r="C82" s="26" t="s">
        <v>137</v>
      </c>
      <c r="D82" s="26" t="s">
        <v>138</v>
      </c>
      <c r="E82" s="26" t="s">
        <v>139</v>
      </c>
      <c r="F82" s="26" t="s">
        <v>140</v>
      </c>
      <c r="G82" s="26" t="s">
        <v>141</v>
      </c>
      <c r="H82" s="27" t="s">
        <v>81</v>
      </c>
      <c r="I82" s="26" t="s">
        <v>142</v>
      </c>
      <c r="J82" s="27" t="s">
        <v>34</v>
      </c>
      <c r="K82" s="29">
        <v>23.100000381469702</v>
      </c>
      <c r="L82" s="29">
        <v>23.100000381469702</v>
      </c>
      <c r="M82" s="29">
        <v>23.100000381469702</v>
      </c>
      <c r="N82" s="29">
        <v>23.100000381469702</v>
      </c>
      <c r="O82" s="29">
        <v>23.100000381469702</v>
      </c>
      <c r="P82" s="40">
        <v>23.100000381469702</v>
      </c>
      <c r="Q82" s="1" t="s">
        <v>35</v>
      </c>
      <c r="R82" s="34">
        <v>3246.239990234375</v>
      </c>
      <c r="S82" s="34">
        <v>2552.239990234375</v>
      </c>
      <c r="T82" s="34">
        <v>0</v>
      </c>
      <c r="U82" s="34">
        <v>0</v>
      </c>
      <c r="V82" s="34">
        <v>0</v>
      </c>
      <c r="W82" s="34">
        <v>6574.72021484375</v>
      </c>
      <c r="X82" s="43">
        <f>SUM(R82:W94)</f>
        <v>154894.96118164063</v>
      </c>
      <c r="Y82" s="10">
        <v>46204</v>
      </c>
      <c r="Z82" s="11">
        <v>0.19003063189368236</v>
      </c>
      <c r="AA82" s="11">
        <v>0.15894241372874238</v>
      </c>
      <c r="AB82" s="11">
        <v>0.13170975751722944</v>
      </c>
      <c r="AC82" s="11">
        <v>0.11770850284267438</v>
      </c>
      <c r="AD82" s="11">
        <v>0.10679434368912716</v>
      </c>
      <c r="AE82" s="11">
        <v>0.12246507791371883</v>
      </c>
      <c r="AF82" s="11">
        <v>0.7</v>
      </c>
      <c r="AG82" s="13">
        <v>0.23899999999999999</v>
      </c>
    </row>
    <row r="83" spans="2:33"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1" t="s">
        <v>36</v>
      </c>
      <c r="R83" s="34">
        <v>3135.0400390625</v>
      </c>
      <c r="S83" s="34">
        <v>2377.1201171875</v>
      </c>
      <c r="T83" s="34">
        <v>0</v>
      </c>
      <c r="U83" s="34">
        <v>0</v>
      </c>
      <c r="V83" s="34">
        <v>0</v>
      </c>
      <c r="W83" s="34">
        <v>5704.16015625</v>
      </c>
      <c r="X83" s="14"/>
      <c r="Y83" s="14"/>
      <c r="Z83" s="14"/>
      <c r="AA83" s="14"/>
      <c r="AB83" s="14"/>
      <c r="AC83" s="14"/>
      <c r="AD83" s="14"/>
      <c r="AE83" s="14"/>
      <c r="AF83" s="14"/>
      <c r="AG83" s="16"/>
    </row>
    <row r="84" spans="2:33">
      <c r="B84" s="6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" t="s">
        <v>37</v>
      </c>
      <c r="R84" s="34">
        <v>0</v>
      </c>
      <c r="S84" s="34">
        <v>3653.919921875</v>
      </c>
      <c r="T84" s="34">
        <v>2656.239990234375</v>
      </c>
      <c r="U84" s="34">
        <v>0</v>
      </c>
      <c r="V84" s="34">
        <v>0</v>
      </c>
      <c r="W84" s="34">
        <v>7179.2001953125</v>
      </c>
      <c r="AG84" s="16"/>
    </row>
    <row r="85" spans="2:33">
      <c r="B85" s="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" t="s">
        <v>38</v>
      </c>
      <c r="R85" s="34">
        <v>0</v>
      </c>
      <c r="S85" s="34">
        <v>0</v>
      </c>
      <c r="T85" s="34">
        <v>0</v>
      </c>
      <c r="U85" s="34">
        <v>3456.239990234375</v>
      </c>
      <c r="V85" s="34">
        <v>2390.39990234375</v>
      </c>
      <c r="W85" s="34">
        <v>5809.52001953125</v>
      </c>
      <c r="AG85" s="16"/>
    </row>
    <row r="86" spans="2:33">
      <c r="B86" s="6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" t="s">
        <v>39</v>
      </c>
      <c r="R86" s="34">
        <v>0</v>
      </c>
      <c r="S86" s="34">
        <v>0</v>
      </c>
      <c r="T86" s="34">
        <v>0</v>
      </c>
      <c r="U86" s="34">
        <v>3489.60009765625</v>
      </c>
      <c r="V86" s="34">
        <v>2402.47998046875</v>
      </c>
      <c r="W86" s="34">
        <v>6859.68017578125</v>
      </c>
      <c r="AG86" s="16"/>
    </row>
    <row r="87" spans="2:33">
      <c r="B87" s="6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" t="s">
        <v>40</v>
      </c>
      <c r="R87" s="34">
        <v>0</v>
      </c>
      <c r="S87" s="34">
        <v>0</v>
      </c>
      <c r="T87" s="34">
        <v>2763</v>
      </c>
      <c r="U87" s="34">
        <v>1905</v>
      </c>
      <c r="V87" s="34">
        <v>0</v>
      </c>
      <c r="W87" s="34">
        <v>8333</v>
      </c>
      <c r="AG87" s="16"/>
    </row>
    <row r="88" spans="2:33">
      <c r="B88" s="6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" t="s">
        <v>41</v>
      </c>
      <c r="R88" s="34">
        <v>3943.919921875</v>
      </c>
      <c r="S88" s="34">
        <v>2858.800048828125</v>
      </c>
      <c r="T88" s="34">
        <v>0</v>
      </c>
      <c r="U88" s="34">
        <v>0</v>
      </c>
      <c r="V88" s="34">
        <v>0</v>
      </c>
      <c r="W88" s="34">
        <v>9729.4404296875</v>
      </c>
      <c r="AG88" s="16"/>
    </row>
    <row r="89" spans="2:33">
      <c r="B89" s="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" t="s">
        <v>42</v>
      </c>
      <c r="R89" s="34">
        <v>0</v>
      </c>
      <c r="S89" s="34">
        <v>0</v>
      </c>
      <c r="T89" s="34">
        <v>3109</v>
      </c>
      <c r="U89" s="34">
        <v>2246</v>
      </c>
      <c r="V89" s="34">
        <v>0</v>
      </c>
      <c r="W89" s="34">
        <v>11656</v>
      </c>
      <c r="AG89" s="16"/>
    </row>
    <row r="90" spans="2:33">
      <c r="B90" s="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" t="s">
        <v>135</v>
      </c>
      <c r="R90" s="34">
        <v>0</v>
      </c>
      <c r="S90" s="34">
        <v>0</v>
      </c>
      <c r="T90" s="34">
        <v>161</v>
      </c>
      <c r="U90" s="34">
        <v>115</v>
      </c>
      <c r="V90" s="34">
        <v>0</v>
      </c>
      <c r="W90" s="34">
        <v>262</v>
      </c>
      <c r="AG90" s="16"/>
    </row>
    <row r="91" spans="2:33">
      <c r="B91" s="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" t="s">
        <v>143</v>
      </c>
      <c r="R91" s="34">
        <v>0</v>
      </c>
      <c r="S91" s="34">
        <v>0</v>
      </c>
      <c r="T91" s="34">
        <v>3297</v>
      </c>
      <c r="U91" s="34">
        <v>2641</v>
      </c>
      <c r="V91" s="34">
        <v>0</v>
      </c>
      <c r="W91" s="34">
        <v>10348</v>
      </c>
      <c r="AG91" s="16"/>
    </row>
    <row r="92" spans="2:33">
      <c r="B92" s="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" t="s">
        <v>44</v>
      </c>
      <c r="R92" s="34">
        <v>0</v>
      </c>
      <c r="S92" s="34">
        <v>0</v>
      </c>
      <c r="T92" s="34">
        <v>0</v>
      </c>
      <c r="U92" s="34">
        <v>2956</v>
      </c>
      <c r="V92" s="34">
        <v>2571</v>
      </c>
      <c r="W92" s="34">
        <v>6730</v>
      </c>
      <c r="AG92" s="16"/>
    </row>
    <row r="93" spans="2:33">
      <c r="B93" s="6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" t="s">
        <v>45</v>
      </c>
      <c r="R93" s="34">
        <v>0</v>
      </c>
      <c r="S93" s="34">
        <v>2672</v>
      </c>
      <c r="T93" s="34">
        <v>1917</v>
      </c>
      <c r="U93" s="34">
        <v>0</v>
      </c>
      <c r="V93" s="34">
        <v>0</v>
      </c>
      <c r="W93" s="34">
        <v>4944</v>
      </c>
      <c r="AG93" s="16"/>
    </row>
    <row r="94" spans="2:33">
      <c r="B94" s="6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" t="s">
        <v>46</v>
      </c>
      <c r="R94" s="34">
        <v>2260</v>
      </c>
      <c r="S94" s="34">
        <v>1600</v>
      </c>
      <c r="T94" s="34">
        <v>0</v>
      </c>
      <c r="U94" s="34">
        <v>0</v>
      </c>
      <c r="V94" s="34">
        <v>0</v>
      </c>
      <c r="W94" s="34">
        <v>4390</v>
      </c>
      <c r="AG94" s="16"/>
    </row>
    <row r="95" spans="2:33" ht="15" thickBot="1"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1"/>
      <c r="R95" s="2"/>
      <c r="S95" s="2"/>
      <c r="T95" s="2"/>
      <c r="U95" s="2"/>
      <c r="V95" s="2"/>
      <c r="W95" s="2"/>
      <c r="X95" s="15"/>
      <c r="Y95" s="15"/>
      <c r="Z95" s="15"/>
      <c r="AA95" s="15"/>
      <c r="AB95" s="15"/>
      <c r="AC95" s="15"/>
      <c r="AD95" s="15"/>
      <c r="AE95" s="15"/>
      <c r="AF95" s="15"/>
      <c r="AG95" s="17"/>
    </row>
    <row r="96" spans="2:3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"/>
      <c r="R96" s="2"/>
      <c r="S96" s="2"/>
      <c r="T96" s="2"/>
      <c r="U96" s="2"/>
      <c r="V96" s="2"/>
      <c r="W96" s="2"/>
    </row>
    <row r="97" spans="2:33" ht="15" thickBot="1">
      <c r="B97" s="25" t="s">
        <v>128</v>
      </c>
      <c r="C97" s="26" t="s">
        <v>137</v>
      </c>
      <c r="D97" s="26" t="s">
        <v>144</v>
      </c>
      <c r="E97" s="26" t="s">
        <v>145</v>
      </c>
      <c r="F97" s="26" t="s">
        <v>140</v>
      </c>
      <c r="G97" s="26" t="s">
        <v>141</v>
      </c>
      <c r="H97" s="27" t="s">
        <v>81</v>
      </c>
      <c r="I97" s="26" t="s">
        <v>146</v>
      </c>
      <c r="J97" s="27" t="s">
        <v>34</v>
      </c>
      <c r="K97" s="29">
        <v>30</v>
      </c>
      <c r="L97" s="29">
        <v>30</v>
      </c>
      <c r="M97" s="29">
        <v>90</v>
      </c>
      <c r="N97" s="29">
        <v>90</v>
      </c>
      <c r="O97" s="29">
        <v>90</v>
      </c>
      <c r="P97" s="40">
        <v>247</v>
      </c>
      <c r="Q97" s="1" t="s">
        <v>35</v>
      </c>
      <c r="R97" s="34">
        <v>554</v>
      </c>
      <c r="S97" s="34">
        <v>432</v>
      </c>
      <c r="T97" s="34">
        <v>0</v>
      </c>
      <c r="U97" s="34">
        <v>0</v>
      </c>
      <c r="V97" s="34">
        <v>0</v>
      </c>
      <c r="W97" s="34">
        <v>1190</v>
      </c>
      <c r="X97" s="43">
        <f>SUM(R97:W109)</f>
        <v>134179</v>
      </c>
      <c r="Y97" s="10">
        <v>46204</v>
      </c>
      <c r="Z97" s="11">
        <v>0.19003063189368236</v>
      </c>
      <c r="AA97" s="11">
        <v>0.15894241372874238</v>
      </c>
      <c r="AB97" s="11">
        <v>0.13170975751722944</v>
      </c>
      <c r="AC97" s="11">
        <v>0.11770850284267438</v>
      </c>
      <c r="AD97" s="11">
        <v>0.10679434368912716</v>
      </c>
      <c r="AE97" s="11">
        <v>0.12246507791371883</v>
      </c>
      <c r="AF97" s="11">
        <v>0.7</v>
      </c>
      <c r="AG97" s="13">
        <v>0.23899999999999999</v>
      </c>
    </row>
    <row r="98" spans="2:33"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1" t="s">
        <v>36</v>
      </c>
      <c r="R98" s="34">
        <v>549</v>
      </c>
      <c r="S98" s="34">
        <v>426</v>
      </c>
      <c r="T98" s="34">
        <v>0</v>
      </c>
      <c r="U98" s="34">
        <v>0</v>
      </c>
      <c r="V98" s="34">
        <v>0</v>
      </c>
      <c r="W98" s="34">
        <v>1046</v>
      </c>
      <c r="X98" s="14"/>
      <c r="Y98" s="14"/>
      <c r="Z98" s="14"/>
      <c r="AA98" s="14"/>
      <c r="AB98" s="14"/>
      <c r="AC98" s="14"/>
      <c r="AD98" s="14"/>
      <c r="AE98" s="14"/>
      <c r="AF98" s="14"/>
      <c r="AG98" s="16"/>
    </row>
    <row r="99" spans="2:33">
      <c r="B99" s="6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" t="s">
        <v>37</v>
      </c>
      <c r="R99" s="34">
        <v>0</v>
      </c>
      <c r="S99" s="34">
        <v>595</v>
      </c>
      <c r="T99" s="34">
        <v>465</v>
      </c>
      <c r="U99" s="34">
        <v>0</v>
      </c>
      <c r="V99" s="34">
        <v>0</v>
      </c>
      <c r="W99" s="34">
        <v>1279</v>
      </c>
      <c r="AG99" s="16"/>
    </row>
    <row r="100" spans="2:33">
      <c r="B100" s="6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" t="s">
        <v>38</v>
      </c>
      <c r="R100" s="34">
        <v>0</v>
      </c>
      <c r="S100" s="34">
        <v>0</v>
      </c>
      <c r="T100" s="34">
        <v>0</v>
      </c>
      <c r="U100" s="34">
        <v>667</v>
      </c>
      <c r="V100" s="34">
        <v>512</v>
      </c>
      <c r="W100" s="34">
        <v>1221</v>
      </c>
      <c r="AG100" s="16"/>
    </row>
    <row r="101" spans="2:33">
      <c r="B101" s="6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" t="s">
        <v>39</v>
      </c>
      <c r="R101" s="34">
        <v>0</v>
      </c>
      <c r="S101" s="34">
        <v>0</v>
      </c>
      <c r="T101" s="34">
        <v>0</v>
      </c>
      <c r="U101" s="34">
        <v>1514</v>
      </c>
      <c r="V101" s="34">
        <v>1349</v>
      </c>
      <c r="W101" s="34">
        <v>9027</v>
      </c>
      <c r="AG101" s="16"/>
    </row>
    <row r="102" spans="2:33">
      <c r="B102" s="6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" t="s">
        <v>40</v>
      </c>
      <c r="R102" s="34">
        <v>0</v>
      </c>
      <c r="S102" s="34">
        <v>0</v>
      </c>
      <c r="T102" s="34">
        <v>2352</v>
      </c>
      <c r="U102" s="34">
        <v>1839</v>
      </c>
      <c r="V102" s="34">
        <v>0</v>
      </c>
      <c r="W102" s="34">
        <v>13523</v>
      </c>
      <c r="AG102" s="16"/>
    </row>
    <row r="103" spans="2:33">
      <c r="B103" s="6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" t="s">
        <v>41</v>
      </c>
      <c r="R103" s="34">
        <v>2848</v>
      </c>
      <c r="S103" s="34">
        <v>2222</v>
      </c>
      <c r="T103" s="34">
        <v>0</v>
      </c>
      <c r="U103" s="34">
        <v>0</v>
      </c>
      <c r="V103" s="34">
        <v>0</v>
      </c>
      <c r="W103" s="34">
        <v>17476</v>
      </c>
      <c r="AG103" s="16"/>
    </row>
    <row r="104" spans="2:33">
      <c r="B104" s="6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" t="s">
        <v>42</v>
      </c>
      <c r="R104" s="34">
        <v>0</v>
      </c>
      <c r="S104" s="34">
        <v>0</v>
      </c>
      <c r="T104" s="34">
        <v>2875</v>
      </c>
      <c r="U104" s="34">
        <v>2385</v>
      </c>
      <c r="V104" s="34">
        <v>0</v>
      </c>
      <c r="W104" s="34">
        <v>21143</v>
      </c>
      <c r="AG104" s="16"/>
    </row>
    <row r="105" spans="2:33">
      <c r="B105" s="6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" t="s">
        <v>135</v>
      </c>
      <c r="R105" s="34">
        <v>0</v>
      </c>
      <c r="S105" s="34">
        <v>0</v>
      </c>
      <c r="T105" s="34">
        <v>541</v>
      </c>
      <c r="U105" s="34">
        <v>108</v>
      </c>
      <c r="V105" s="34">
        <v>0</v>
      </c>
      <c r="W105" s="34">
        <v>85</v>
      </c>
      <c r="AG105" s="16"/>
    </row>
    <row r="106" spans="2:33">
      <c r="B106" s="6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" t="s">
        <v>136</v>
      </c>
      <c r="R106" s="34">
        <v>0</v>
      </c>
      <c r="S106" s="34">
        <v>0</v>
      </c>
      <c r="T106" s="34">
        <v>3406</v>
      </c>
      <c r="U106" s="34">
        <v>3310</v>
      </c>
      <c r="V106" s="34">
        <v>0</v>
      </c>
      <c r="W106" s="34">
        <v>21655</v>
      </c>
      <c r="AG106" s="16"/>
    </row>
    <row r="107" spans="2:33">
      <c r="B107" s="6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" t="s">
        <v>44</v>
      </c>
      <c r="R107" s="34">
        <v>0</v>
      </c>
      <c r="S107" s="34">
        <v>0</v>
      </c>
      <c r="T107" s="34">
        <v>0</v>
      </c>
      <c r="U107" s="34">
        <v>2561</v>
      </c>
      <c r="V107" s="34">
        <v>2093</v>
      </c>
      <c r="W107" s="34">
        <v>8097</v>
      </c>
      <c r="AG107" s="16"/>
    </row>
    <row r="108" spans="2:33">
      <c r="B108" s="6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" t="s">
        <v>45</v>
      </c>
      <c r="R108" s="34">
        <v>0</v>
      </c>
      <c r="S108" s="34">
        <v>602</v>
      </c>
      <c r="T108" s="34">
        <v>470</v>
      </c>
      <c r="U108" s="34">
        <v>0</v>
      </c>
      <c r="V108" s="34">
        <v>0</v>
      </c>
      <c r="W108" s="34">
        <v>1326</v>
      </c>
      <c r="AG108" s="16"/>
    </row>
    <row r="109" spans="2:33">
      <c r="B109" s="6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" t="s">
        <v>46</v>
      </c>
      <c r="R109" s="34">
        <v>619</v>
      </c>
      <c r="S109" s="34">
        <v>481</v>
      </c>
      <c r="T109" s="34">
        <v>0</v>
      </c>
      <c r="U109" s="34">
        <v>0</v>
      </c>
      <c r="V109" s="34">
        <v>0</v>
      </c>
      <c r="W109" s="34">
        <v>1336</v>
      </c>
      <c r="AG109" s="16"/>
    </row>
    <row r="110" spans="2:33" ht="15" thickBot="1">
      <c r="B110" s="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1"/>
      <c r="R110" s="2"/>
      <c r="S110" s="2"/>
      <c r="T110" s="2"/>
      <c r="U110" s="2"/>
      <c r="V110" s="2"/>
      <c r="W110" s="2"/>
      <c r="X110" s="15"/>
      <c r="Y110" s="15"/>
      <c r="Z110" s="15"/>
      <c r="AA110" s="15"/>
      <c r="AB110" s="15"/>
      <c r="AC110" s="15"/>
      <c r="AD110" s="15"/>
      <c r="AE110" s="15"/>
      <c r="AF110" s="15"/>
      <c r="AG110" s="17"/>
    </row>
    <row r="111" spans="2:3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"/>
      <c r="R111" s="2"/>
      <c r="S111" s="2"/>
      <c r="T111" s="2"/>
      <c r="U111" s="2"/>
      <c r="V111" s="2"/>
      <c r="W111" s="2"/>
    </row>
    <row r="112" spans="2:33" ht="15" thickBot="1">
      <c r="B112" s="25" t="s">
        <v>128</v>
      </c>
      <c r="C112" s="26" t="s">
        <v>137</v>
      </c>
      <c r="D112" s="26" t="s">
        <v>147</v>
      </c>
      <c r="E112" s="26" t="s">
        <v>148</v>
      </c>
      <c r="F112" s="26" t="s">
        <v>140</v>
      </c>
      <c r="G112" s="26" t="s">
        <v>141</v>
      </c>
      <c r="H112" s="27" t="s">
        <v>81</v>
      </c>
      <c r="I112" s="26" t="s">
        <v>149</v>
      </c>
      <c r="J112" s="27" t="s">
        <v>34</v>
      </c>
      <c r="K112" s="29">
        <v>10</v>
      </c>
      <c r="L112" s="29">
        <v>10</v>
      </c>
      <c r="M112" s="29">
        <v>10</v>
      </c>
      <c r="N112" s="29">
        <v>10</v>
      </c>
      <c r="O112" s="29">
        <v>10</v>
      </c>
      <c r="P112" s="40">
        <v>80</v>
      </c>
      <c r="Q112" s="1" t="s">
        <v>35</v>
      </c>
      <c r="R112" s="2">
        <v>672</v>
      </c>
      <c r="S112" s="2">
        <v>528</v>
      </c>
      <c r="T112" s="2">
        <v>0</v>
      </c>
      <c r="U112" s="2">
        <v>0</v>
      </c>
      <c r="V112" s="2">
        <v>0</v>
      </c>
      <c r="W112" s="2">
        <v>1326</v>
      </c>
      <c r="X112" s="43">
        <f>SUM(R112:W124)</f>
        <v>32760</v>
      </c>
      <c r="Y112" s="10">
        <v>46204</v>
      </c>
      <c r="Z112" s="11">
        <v>0.19003063189368236</v>
      </c>
      <c r="AA112" s="11">
        <v>0.15894241372874238</v>
      </c>
      <c r="AB112" s="11">
        <v>0.13170975751722944</v>
      </c>
      <c r="AC112" s="11">
        <v>0.11770850284267438</v>
      </c>
      <c r="AD112" s="11">
        <v>0.10679434368912716</v>
      </c>
      <c r="AE112" s="11">
        <v>0.12246507791371883</v>
      </c>
      <c r="AF112" s="11">
        <v>0.7</v>
      </c>
      <c r="AG112" s="13">
        <v>0.23899999999999999</v>
      </c>
    </row>
    <row r="113" spans="2:33"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1" t="s">
        <v>36</v>
      </c>
      <c r="R113" s="2">
        <v>525</v>
      </c>
      <c r="S113" s="2">
        <v>403</v>
      </c>
      <c r="T113" s="2">
        <v>0</v>
      </c>
      <c r="U113" s="2">
        <v>0</v>
      </c>
      <c r="V113" s="2">
        <v>0</v>
      </c>
      <c r="W113" s="2">
        <v>1073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6"/>
    </row>
    <row r="114" spans="2:33">
      <c r="B114" s="6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" t="s">
        <v>37</v>
      </c>
      <c r="R114" s="2">
        <v>0</v>
      </c>
      <c r="S114" s="2">
        <v>309</v>
      </c>
      <c r="T114" s="2">
        <v>226</v>
      </c>
      <c r="U114" s="2">
        <v>0</v>
      </c>
      <c r="V114" s="2">
        <v>0</v>
      </c>
      <c r="W114" s="2">
        <v>581</v>
      </c>
      <c r="AG114" s="16"/>
    </row>
    <row r="115" spans="2:33">
      <c r="B115" s="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" t="s">
        <v>38</v>
      </c>
      <c r="R115" s="2">
        <v>0</v>
      </c>
      <c r="S115" s="2">
        <v>0</v>
      </c>
      <c r="T115" s="2">
        <v>0</v>
      </c>
      <c r="U115" s="2">
        <v>309</v>
      </c>
      <c r="V115" s="2">
        <v>221</v>
      </c>
      <c r="W115" s="2">
        <v>553</v>
      </c>
      <c r="AG115" s="16"/>
    </row>
    <row r="116" spans="2:33">
      <c r="B116" s="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" t="s">
        <v>39</v>
      </c>
      <c r="R116" s="2">
        <v>0</v>
      </c>
      <c r="S116" s="2">
        <v>0</v>
      </c>
      <c r="T116" s="2">
        <v>0</v>
      </c>
      <c r="U116" s="2">
        <v>344</v>
      </c>
      <c r="V116" s="2">
        <v>261</v>
      </c>
      <c r="W116" s="2">
        <v>748</v>
      </c>
      <c r="AG116" s="16"/>
    </row>
    <row r="117" spans="2:33">
      <c r="B117" s="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" t="s">
        <v>40</v>
      </c>
      <c r="R117" s="2">
        <v>0</v>
      </c>
      <c r="S117" s="2">
        <v>0</v>
      </c>
      <c r="T117" s="2">
        <v>443</v>
      </c>
      <c r="U117" s="2">
        <v>334</v>
      </c>
      <c r="V117" s="2">
        <v>0</v>
      </c>
      <c r="W117" s="2">
        <v>923</v>
      </c>
      <c r="AG117" s="16"/>
    </row>
    <row r="118" spans="2:33">
      <c r="B118" s="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" t="s">
        <v>41</v>
      </c>
      <c r="R118" s="2">
        <v>747</v>
      </c>
      <c r="S118" s="2">
        <v>571</v>
      </c>
      <c r="T118" s="2">
        <v>0</v>
      </c>
      <c r="U118" s="2">
        <v>0</v>
      </c>
      <c r="V118" s="2">
        <v>0</v>
      </c>
      <c r="W118" s="2">
        <v>1643</v>
      </c>
      <c r="AG118" s="16"/>
    </row>
    <row r="119" spans="2:33">
      <c r="B119" s="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" t="s">
        <v>42</v>
      </c>
      <c r="R119" s="2">
        <v>0</v>
      </c>
      <c r="S119" s="2">
        <v>0</v>
      </c>
      <c r="T119" s="2">
        <v>1040</v>
      </c>
      <c r="U119" s="2">
        <v>641</v>
      </c>
      <c r="V119" s="2">
        <v>0</v>
      </c>
      <c r="W119" s="2">
        <v>3681</v>
      </c>
      <c r="AG119" s="16"/>
    </row>
    <row r="120" spans="2:33">
      <c r="B120" s="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" t="s">
        <v>135</v>
      </c>
      <c r="R120" s="2">
        <v>0</v>
      </c>
      <c r="S120" s="2">
        <v>0</v>
      </c>
      <c r="T120" s="2">
        <v>54</v>
      </c>
      <c r="U120" s="2">
        <v>84</v>
      </c>
      <c r="V120" s="2">
        <v>0</v>
      </c>
      <c r="W120" s="2">
        <v>116</v>
      </c>
      <c r="AG120" s="16"/>
    </row>
    <row r="121" spans="2:33">
      <c r="B121" s="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" t="s">
        <v>136</v>
      </c>
      <c r="R121" s="2">
        <v>0</v>
      </c>
      <c r="S121" s="2">
        <v>0</v>
      </c>
      <c r="T121" s="2">
        <v>1344</v>
      </c>
      <c r="U121" s="2">
        <v>844</v>
      </c>
      <c r="V121" s="2">
        <v>0</v>
      </c>
      <c r="W121" s="2">
        <v>3191</v>
      </c>
      <c r="AG121" s="16"/>
    </row>
    <row r="122" spans="2:33">
      <c r="B122" s="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" t="s">
        <v>44</v>
      </c>
      <c r="R122" s="2">
        <v>0</v>
      </c>
      <c r="S122" s="2">
        <v>0</v>
      </c>
      <c r="T122" s="2">
        <v>0</v>
      </c>
      <c r="U122" s="2">
        <v>1073</v>
      </c>
      <c r="V122" s="2">
        <v>556</v>
      </c>
      <c r="W122" s="2">
        <v>1984</v>
      </c>
      <c r="AG122" s="16"/>
    </row>
    <row r="123" spans="2:33">
      <c r="B123" s="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" t="s">
        <v>45</v>
      </c>
      <c r="R123" s="2">
        <v>0</v>
      </c>
      <c r="S123" s="2">
        <v>616</v>
      </c>
      <c r="T123" s="2">
        <v>467</v>
      </c>
      <c r="U123" s="2">
        <v>0</v>
      </c>
      <c r="V123" s="2">
        <v>0</v>
      </c>
      <c r="W123" s="2">
        <v>1420</v>
      </c>
      <c r="AG123" s="16"/>
    </row>
    <row r="124" spans="2:33">
      <c r="B124" s="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" t="s">
        <v>46</v>
      </c>
      <c r="R124" s="2">
        <v>717</v>
      </c>
      <c r="S124" s="2">
        <v>551</v>
      </c>
      <c r="T124" s="2">
        <v>0</v>
      </c>
      <c r="U124" s="2">
        <v>0</v>
      </c>
      <c r="V124" s="2">
        <v>0</v>
      </c>
      <c r="W124" s="2">
        <v>1641</v>
      </c>
      <c r="AG124" s="16"/>
    </row>
    <row r="125" spans="2:33" ht="15" thickBot="1"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1"/>
      <c r="R125" s="2"/>
      <c r="S125" s="2"/>
      <c r="T125" s="2"/>
      <c r="U125" s="2"/>
      <c r="V125" s="2"/>
      <c r="W125" s="2"/>
      <c r="X125" s="15"/>
      <c r="Y125" s="15"/>
      <c r="Z125" s="15"/>
      <c r="AA125" s="15"/>
      <c r="AB125" s="15"/>
      <c r="AC125" s="15"/>
      <c r="AD125" s="15"/>
      <c r="AE125" s="15"/>
      <c r="AF125" s="15"/>
      <c r="AG125" s="17"/>
    </row>
    <row r="126" spans="2:3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2"/>
      <c r="S126" s="2"/>
      <c r="T126" s="2"/>
      <c r="U126" s="2"/>
      <c r="V126" s="2"/>
      <c r="W126" s="2"/>
    </row>
    <row r="127" spans="2:33" ht="15" thickBot="1">
      <c r="B127" s="25" t="s">
        <v>150</v>
      </c>
      <c r="C127" s="26" t="s">
        <v>151</v>
      </c>
      <c r="D127" s="26" t="s">
        <v>152</v>
      </c>
      <c r="E127" s="26" t="s">
        <v>153</v>
      </c>
      <c r="F127" s="26" t="s">
        <v>154</v>
      </c>
      <c r="G127" s="26" t="s">
        <v>102</v>
      </c>
      <c r="H127" s="27" t="s">
        <v>33</v>
      </c>
      <c r="I127" s="26" t="s">
        <v>155</v>
      </c>
      <c r="J127" s="27" t="s">
        <v>87</v>
      </c>
      <c r="K127" s="29">
        <v>38</v>
      </c>
      <c r="L127" s="29">
        <v>38</v>
      </c>
      <c r="M127" s="29">
        <v>38</v>
      </c>
      <c r="N127" s="29">
        <v>38</v>
      </c>
      <c r="O127" s="29">
        <v>38</v>
      </c>
      <c r="P127" s="40">
        <v>38</v>
      </c>
      <c r="Q127" s="1" t="s">
        <v>35</v>
      </c>
      <c r="R127" s="2">
        <v>6154</v>
      </c>
      <c r="S127" s="2">
        <v>3032</v>
      </c>
      <c r="T127" s="2">
        <v>0</v>
      </c>
      <c r="U127" s="2">
        <v>0</v>
      </c>
      <c r="V127" s="2">
        <v>0</v>
      </c>
      <c r="W127" s="2">
        <v>1802</v>
      </c>
      <c r="X127" s="43">
        <f>SUM(R127:W139)</f>
        <v>111181</v>
      </c>
      <c r="Y127" s="10">
        <v>46204</v>
      </c>
      <c r="Z127" s="11">
        <v>0.21964920427208123</v>
      </c>
      <c r="AA127" s="11">
        <v>0.18323938230056691</v>
      </c>
      <c r="AB127" s="11">
        <v>0.14776533800058905</v>
      </c>
      <c r="AC127" s="11">
        <v>0.12924722998056465</v>
      </c>
      <c r="AD127" s="11">
        <v>0.11497566539164336</v>
      </c>
      <c r="AE127" s="11">
        <v>0.13199526282684884</v>
      </c>
      <c r="AF127" s="11">
        <v>0.8</v>
      </c>
      <c r="AG127" s="13">
        <v>0.23899999999999999</v>
      </c>
    </row>
    <row r="128" spans="2:33"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1" t="s">
        <v>36</v>
      </c>
      <c r="R128" s="2">
        <v>4929</v>
      </c>
      <c r="S128" s="2">
        <v>2297</v>
      </c>
      <c r="T128" s="2">
        <v>0</v>
      </c>
      <c r="U128" s="2">
        <v>0</v>
      </c>
      <c r="V128" s="2">
        <v>0</v>
      </c>
      <c r="W128" s="2">
        <v>1493</v>
      </c>
      <c r="X128" s="14"/>
      <c r="Y128" s="14"/>
      <c r="Z128" s="14"/>
      <c r="AA128" s="14"/>
      <c r="AB128" s="14"/>
      <c r="AC128" s="14"/>
      <c r="AD128" s="14"/>
      <c r="AE128" s="14"/>
      <c r="AF128" s="14"/>
      <c r="AG128" s="16"/>
    </row>
    <row r="129" spans="2:33">
      <c r="B129" s="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" t="s">
        <v>37</v>
      </c>
      <c r="R129" s="2">
        <v>0</v>
      </c>
      <c r="S129" s="2">
        <v>5107</v>
      </c>
      <c r="T129" s="2">
        <v>2619</v>
      </c>
      <c r="U129" s="2">
        <v>0</v>
      </c>
      <c r="V129" s="2">
        <v>0</v>
      </c>
      <c r="W129" s="2">
        <v>1755</v>
      </c>
      <c r="AG129" s="16"/>
    </row>
    <row r="130" spans="2:33">
      <c r="B130" s="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" t="s">
        <v>38</v>
      </c>
      <c r="R130" s="2">
        <v>0</v>
      </c>
      <c r="S130" s="2">
        <v>0</v>
      </c>
      <c r="T130" s="2">
        <v>0</v>
      </c>
      <c r="U130" s="2">
        <v>3134</v>
      </c>
      <c r="V130" s="2">
        <v>1714</v>
      </c>
      <c r="W130" s="2">
        <v>1236</v>
      </c>
      <c r="AG130" s="16"/>
    </row>
    <row r="131" spans="2:33">
      <c r="B131" s="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" t="s">
        <v>39</v>
      </c>
      <c r="R131" s="2">
        <v>0</v>
      </c>
      <c r="S131" s="2">
        <v>0</v>
      </c>
      <c r="T131" s="2">
        <v>0</v>
      </c>
      <c r="U131" s="2">
        <v>3130</v>
      </c>
      <c r="V131" s="2">
        <v>1757</v>
      </c>
      <c r="W131" s="2">
        <v>1283</v>
      </c>
      <c r="AG131" s="16"/>
    </row>
    <row r="132" spans="2:33">
      <c r="B132" s="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" t="s">
        <v>156</v>
      </c>
      <c r="R132" s="2">
        <v>0</v>
      </c>
      <c r="S132" s="2">
        <v>0</v>
      </c>
      <c r="T132" s="2">
        <v>972</v>
      </c>
      <c r="U132" s="2">
        <v>585</v>
      </c>
      <c r="V132" s="2">
        <v>0</v>
      </c>
      <c r="W132" s="2">
        <v>361</v>
      </c>
      <c r="AG132" s="16"/>
    </row>
    <row r="133" spans="2:33">
      <c r="B133" s="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" t="s">
        <v>157</v>
      </c>
      <c r="R133" s="2">
        <v>0</v>
      </c>
      <c r="S133" s="2">
        <v>0</v>
      </c>
      <c r="T133" s="2">
        <v>4509</v>
      </c>
      <c r="U133" s="2">
        <v>2672</v>
      </c>
      <c r="V133" s="2">
        <v>0</v>
      </c>
      <c r="W133" s="2">
        <v>1126</v>
      </c>
      <c r="AG133" s="16"/>
    </row>
    <row r="134" spans="2:33">
      <c r="B134" s="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" t="s">
        <v>41</v>
      </c>
      <c r="R134" s="2">
        <v>7337</v>
      </c>
      <c r="S134" s="2">
        <v>3921</v>
      </c>
      <c r="T134" s="2">
        <v>0</v>
      </c>
      <c r="U134" s="2">
        <v>0</v>
      </c>
      <c r="V134" s="2">
        <v>0</v>
      </c>
      <c r="W134" s="2">
        <v>1624</v>
      </c>
      <c r="AG134" s="16"/>
    </row>
    <row r="135" spans="2:33">
      <c r="B135" s="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" t="s">
        <v>42</v>
      </c>
      <c r="R135" s="2">
        <v>0</v>
      </c>
      <c r="S135" s="2">
        <v>0</v>
      </c>
      <c r="T135" s="2">
        <v>6488</v>
      </c>
      <c r="U135" s="2">
        <v>2653</v>
      </c>
      <c r="V135" s="2">
        <v>0</v>
      </c>
      <c r="W135" s="2">
        <v>1342</v>
      </c>
      <c r="AG135" s="16"/>
    </row>
    <row r="136" spans="2:33">
      <c r="B136" s="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" t="s">
        <v>43</v>
      </c>
      <c r="R136" s="2">
        <v>0</v>
      </c>
      <c r="S136" s="2">
        <v>0</v>
      </c>
      <c r="T136" s="2">
        <v>5230</v>
      </c>
      <c r="U136" s="2">
        <v>3005</v>
      </c>
      <c r="V136" s="2">
        <v>0</v>
      </c>
      <c r="W136" s="2">
        <v>1405</v>
      </c>
      <c r="AG136" s="16"/>
    </row>
    <row r="137" spans="2:33">
      <c r="B137" s="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" t="s">
        <v>44</v>
      </c>
      <c r="R137" s="2">
        <v>0</v>
      </c>
      <c r="S137" s="2">
        <v>0</v>
      </c>
      <c r="T137" s="2">
        <v>0</v>
      </c>
      <c r="U137" s="2">
        <v>4091</v>
      </c>
      <c r="V137" s="2">
        <v>2280</v>
      </c>
      <c r="W137" s="2">
        <v>1259</v>
      </c>
      <c r="AG137" s="16"/>
    </row>
    <row r="138" spans="2:33">
      <c r="B138" s="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" t="s">
        <v>45</v>
      </c>
      <c r="R138" s="2">
        <v>0</v>
      </c>
      <c r="S138" s="2">
        <v>4897</v>
      </c>
      <c r="T138" s="2">
        <v>2387</v>
      </c>
      <c r="U138" s="2">
        <v>0</v>
      </c>
      <c r="V138" s="2">
        <v>0</v>
      </c>
      <c r="W138" s="2">
        <v>1651</v>
      </c>
      <c r="AG138" s="16"/>
    </row>
    <row r="139" spans="2:33">
      <c r="B139" s="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" t="s">
        <v>46</v>
      </c>
      <c r="R139" s="2">
        <v>5543</v>
      </c>
      <c r="S139" s="2">
        <v>2712</v>
      </c>
      <c r="T139" s="2">
        <v>0</v>
      </c>
      <c r="U139" s="2">
        <v>0</v>
      </c>
      <c r="V139" s="2">
        <v>0</v>
      </c>
      <c r="W139" s="2">
        <v>1689</v>
      </c>
      <c r="AG139" s="16"/>
    </row>
    <row r="140" spans="2:33" ht="15" thickBot="1">
      <c r="B140" s="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1"/>
      <c r="R140" s="2"/>
      <c r="S140" s="2"/>
      <c r="T140" s="2"/>
      <c r="U140" s="2"/>
      <c r="V140" s="2"/>
      <c r="W140" s="2"/>
      <c r="X140" s="15"/>
      <c r="Y140" s="15"/>
      <c r="Z140" s="15"/>
      <c r="AA140" s="15"/>
      <c r="AB140" s="15"/>
      <c r="AC140" s="15"/>
      <c r="AD140" s="15"/>
      <c r="AE140" s="15"/>
      <c r="AF140" s="15"/>
      <c r="AG140" s="17"/>
    </row>
    <row r="141" spans="2:3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2"/>
      <c r="S141" s="2"/>
      <c r="T141" s="2"/>
      <c r="U141" s="2"/>
      <c r="V141" s="2"/>
      <c r="W141" s="2"/>
    </row>
    <row r="142" spans="2:33" ht="15" thickBot="1">
      <c r="B142" s="25" t="s">
        <v>150</v>
      </c>
      <c r="C142" s="26" t="s">
        <v>151</v>
      </c>
      <c r="D142" s="26" t="s">
        <v>158</v>
      </c>
      <c r="E142" s="26" t="s">
        <v>159</v>
      </c>
      <c r="F142" s="26" t="s">
        <v>154</v>
      </c>
      <c r="G142" s="26" t="s">
        <v>102</v>
      </c>
      <c r="H142" s="27" t="s">
        <v>33</v>
      </c>
      <c r="I142" s="26" t="s">
        <v>160</v>
      </c>
      <c r="J142" s="27" t="s">
        <v>87</v>
      </c>
      <c r="K142" s="29">
        <v>85</v>
      </c>
      <c r="L142" s="29">
        <v>85</v>
      </c>
      <c r="M142" s="29">
        <v>85</v>
      </c>
      <c r="N142" s="29">
        <v>85</v>
      </c>
      <c r="O142" s="29">
        <v>85</v>
      </c>
      <c r="P142" s="40">
        <v>96</v>
      </c>
      <c r="Q142" s="1" t="s">
        <v>35</v>
      </c>
      <c r="R142" s="2">
        <v>6898</v>
      </c>
      <c r="S142" s="2">
        <v>5536</v>
      </c>
      <c r="T142" s="2">
        <v>0</v>
      </c>
      <c r="U142" s="2">
        <v>0</v>
      </c>
      <c r="V142" s="2">
        <v>0</v>
      </c>
      <c r="W142" s="2">
        <v>3948</v>
      </c>
      <c r="X142" s="43">
        <f>SUM(R142:W154)</f>
        <v>157935</v>
      </c>
      <c r="Y142" s="10">
        <v>46204</v>
      </c>
      <c r="Z142" s="11">
        <v>0.21964920427208123</v>
      </c>
      <c r="AA142" s="11">
        <v>0.18323938230056691</v>
      </c>
      <c r="AB142" s="11">
        <v>0.14776533800058905</v>
      </c>
      <c r="AC142" s="11">
        <v>0.12924722998056465</v>
      </c>
      <c r="AD142" s="11">
        <v>0.11497566539164336</v>
      </c>
      <c r="AE142" s="11">
        <v>0.13199526282684884</v>
      </c>
      <c r="AF142" s="11">
        <v>0.8</v>
      </c>
      <c r="AG142" s="13">
        <v>0.23899999999999999</v>
      </c>
    </row>
    <row r="143" spans="2:33"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1" t="s">
        <v>36</v>
      </c>
      <c r="R143" s="2">
        <v>6535</v>
      </c>
      <c r="S143" s="2">
        <v>4459</v>
      </c>
      <c r="T143" s="2">
        <v>0</v>
      </c>
      <c r="U143" s="2">
        <v>0</v>
      </c>
      <c r="V143" s="2">
        <v>0</v>
      </c>
      <c r="W143" s="2">
        <v>3387</v>
      </c>
      <c r="X143" s="14"/>
      <c r="Y143" s="14"/>
      <c r="Z143" s="14"/>
      <c r="AA143" s="14"/>
      <c r="AB143" s="14"/>
      <c r="AC143" s="14"/>
      <c r="AD143" s="14"/>
      <c r="AE143" s="14"/>
      <c r="AF143" s="14"/>
      <c r="AG143" s="16"/>
    </row>
    <row r="144" spans="2:33">
      <c r="B144" s="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" t="s">
        <v>37</v>
      </c>
      <c r="R144" s="2">
        <v>0</v>
      </c>
      <c r="S144" s="2">
        <v>6694</v>
      </c>
      <c r="T144" s="2">
        <v>5299</v>
      </c>
      <c r="U144" s="2">
        <v>0</v>
      </c>
      <c r="V144" s="2">
        <v>0</v>
      </c>
      <c r="W144" s="2">
        <v>4058</v>
      </c>
      <c r="AG144" s="16"/>
    </row>
    <row r="145" spans="2:33">
      <c r="B145" s="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" t="s">
        <v>38</v>
      </c>
      <c r="R145" s="2">
        <v>0</v>
      </c>
      <c r="S145" s="2">
        <v>0</v>
      </c>
      <c r="T145" s="2">
        <v>0</v>
      </c>
      <c r="U145" s="2">
        <v>5316</v>
      </c>
      <c r="V145" s="2">
        <v>3979</v>
      </c>
      <c r="W145" s="2">
        <v>3120</v>
      </c>
      <c r="AG145" s="16"/>
    </row>
    <row r="146" spans="2:33">
      <c r="B146" s="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" t="s">
        <v>39</v>
      </c>
      <c r="R146" s="2">
        <v>0</v>
      </c>
      <c r="S146" s="2">
        <v>0</v>
      </c>
      <c r="T146" s="2">
        <v>0</v>
      </c>
      <c r="U146" s="2">
        <v>4816</v>
      </c>
      <c r="V146" s="2">
        <v>3853</v>
      </c>
      <c r="W146" s="2">
        <v>2462</v>
      </c>
      <c r="AG146" s="16"/>
    </row>
    <row r="147" spans="2:33">
      <c r="B147" s="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" t="s">
        <v>156</v>
      </c>
      <c r="R147" s="2">
        <v>0</v>
      </c>
      <c r="S147" s="2">
        <v>0</v>
      </c>
      <c r="T147" s="2">
        <v>1468</v>
      </c>
      <c r="U147" s="2">
        <v>1165</v>
      </c>
      <c r="V147" s="2">
        <v>0</v>
      </c>
      <c r="W147" s="2">
        <v>736</v>
      </c>
      <c r="AG147" s="16"/>
    </row>
    <row r="148" spans="2:33">
      <c r="B148" s="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" t="s">
        <v>157</v>
      </c>
      <c r="R148" s="2">
        <v>0</v>
      </c>
      <c r="S148" s="2">
        <v>0</v>
      </c>
      <c r="T148" s="2">
        <v>3672</v>
      </c>
      <c r="U148" s="2">
        <v>2914</v>
      </c>
      <c r="V148" s="2">
        <v>0</v>
      </c>
      <c r="W148" s="2">
        <v>1622</v>
      </c>
      <c r="AG148" s="16"/>
    </row>
    <row r="149" spans="2:33">
      <c r="B149" s="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" t="s">
        <v>41</v>
      </c>
      <c r="R149" s="2">
        <v>4976</v>
      </c>
      <c r="S149" s="2">
        <v>4693</v>
      </c>
      <c r="T149" s="2">
        <v>0</v>
      </c>
      <c r="U149" s="2">
        <v>0</v>
      </c>
      <c r="V149" s="2">
        <v>0</v>
      </c>
      <c r="W149" s="2">
        <v>2213</v>
      </c>
      <c r="AG149" s="16"/>
    </row>
    <row r="150" spans="2:33">
      <c r="B150" s="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" t="s">
        <v>42</v>
      </c>
      <c r="R150" s="2">
        <v>0</v>
      </c>
      <c r="S150" s="2">
        <v>0</v>
      </c>
      <c r="T150" s="2">
        <v>5224</v>
      </c>
      <c r="U150" s="2">
        <v>2162</v>
      </c>
      <c r="V150" s="2">
        <v>0</v>
      </c>
      <c r="W150" s="2">
        <v>2271</v>
      </c>
      <c r="AG150" s="16"/>
    </row>
    <row r="151" spans="2:33">
      <c r="B151" s="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" t="s">
        <v>43</v>
      </c>
      <c r="R151" s="2">
        <v>0</v>
      </c>
      <c r="S151" s="2">
        <v>0</v>
      </c>
      <c r="T151" s="2">
        <v>5143</v>
      </c>
      <c r="U151" s="2">
        <v>4502</v>
      </c>
      <c r="V151" s="2">
        <v>0</v>
      </c>
      <c r="W151" s="2">
        <v>2597</v>
      </c>
      <c r="AG151" s="16"/>
    </row>
    <row r="152" spans="2:33">
      <c r="B152" s="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" t="s">
        <v>44</v>
      </c>
      <c r="R152" s="2">
        <v>0</v>
      </c>
      <c r="S152" s="2">
        <v>0</v>
      </c>
      <c r="T152" s="2">
        <v>0</v>
      </c>
      <c r="U152" s="2">
        <v>5247</v>
      </c>
      <c r="V152" s="2">
        <v>4676</v>
      </c>
      <c r="W152" s="2">
        <v>2565</v>
      </c>
      <c r="AG152" s="16"/>
    </row>
    <row r="153" spans="2:33">
      <c r="B153" s="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" t="s">
        <v>45</v>
      </c>
      <c r="R153" s="2">
        <v>0</v>
      </c>
      <c r="S153" s="2">
        <v>6101</v>
      </c>
      <c r="T153" s="2">
        <v>4895</v>
      </c>
      <c r="U153" s="2">
        <v>0</v>
      </c>
      <c r="V153" s="2">
        <v>0</v>
      </c>
      <c r="W153" s="2">
        <v>3369</v>
      </c>
      <c r="AG153" s="16"/>
    </row>
    <row r="154" spans="2:33">
      <c r="B154" s="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" t="s">
        <v>46</v>
      </c>
      <c r="R154" s="2">
        <v>6591</v>
      </c>
      <c r="S154" s="2">
        <v>5020</v>
      </c>
      <c r="T154" s="2">
        <v>0</v>
      </c>
      <c r="U154" s="2">
        <v>0</v>
      </c>
      <c r="V154" s="2">
        <v>0</v>
      </c>
      <c r="W154" s="2">
        <v>3753</v>
      </c>
      <c r="AG154" s="16"/>
    </row>
    <row r="155" spans="2:33" ht="15" thickBot="1"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1"/>
      <c r="R155" s="2"/>
      <c r="S155" s="2"/>
      <c r="T155" s="2"/>
      <c r="U155" s="2"/>
      <c r="V155" s="2"/>
      <c r="W155" s="2"/>
      <c r="X155" s="15"/>
      <c r="Y155" s="15"/>
      <c r="Z155" s="15"/>
      <c r="AA155" s="15"/>
      <c r="AB155" s="15"/>
      <c r="AC155" s="15"/>
      <c r="AD155" s="15"/>
      <c r="AE155" s="15"/>
      <c r="AF155" s="15"/>
      <c r="AG155" s="17"/>
    </row>
    <row r="156" spans="2:3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"/>
      <c r="R156" s="2"/>
      <c r="S156" s="2"/>
      <c r="T156" s="2"/>
      <c r="U156" s="2"/>
      <c r="V156" s="2"/>
      <c r="W156" s="2"/>
    </row>
    <row r="157" spans="2:33" ht="15" thickBot="1">
      <c r="B157" s="25" t="s">
        <v>150</v>
      </c>
      <c r="C157" s="26" t="s">
        <v>151</v>
      </c>
      <c r="D157" s="26" t="s">
        <v>161</v>
      </c>
      <c r="E157" s="26" t="s">
        <v>162</v>
      </c>
      <c r="F157" s="26" t="s">
        <v>163</v>
      </c>
      <c r="G157" s="26" t="s">
        <v>33</v>
      </c>
      <c r="H157" s="27" t="s">
        <v>33</v>
      </c>
      <c r="I157" s="26" t="s">
        <v>164</v>
      </c>
      <c r="J157" s="27" t="s">
        <v>87</v>
      </c>
      <c r="K157" s="28">
        <v>50</v>
      </c>
      <c r="L157" s="28">
        <v>57</v>
      </c>
      <c r="M157" s="28">
        <v>57</v>
      </c>
      <c r="N157" s="28">
        <v>57</v>
      </c>
      <c r="O157" s="28">
        <v>57</v>
      </c>
      <c r="P157" s="41">
        <v>57</v>
      </c>
      <c r="Q157" s="1" t="s">
        <v>165</v>
      </c>
      <c r="R157" s="2">
        <v>1700</v>
      </c>
      <c r="S157" s="2">
        <v>1085</v>
      </c>
      <c r="T157" s="2">
        <v>0</v>
      </c>
      <c r="U157" s="2">
        <v>0</v>
      </c>
      <c r="V157" s="2">
        <v>0</v>
      </c>
      <c r="W157" s="2">
        <v>1736</v>
      </c>
      <c r="X157" s="43">
        <f>SUM(R157:W169)</f>
        <v>111193</v>
      </c>
      <c r="Y157" s="10">
        <v>46204</v>
      </c>
      <c r="Z157" s="11">
        <v>0.21964920427208123</v>
      </c>
      <c r="AA157" s="11">
        <v>0.18323938230056691</v>
      </c>
      <c r="AB157" s="11">
        <v>0.14776533800058905</v>
      </c>
      <c r="AC157" s="11">
        <v>0.12924722998056465</v>
      </c>
      <c r="AD157" s="11">
        <v>0.11497566539164336</v>
      </c>
      <c r="AE157" s="11">
        <v>0.13199526282684884</v>
      </c>
      <c r="AF157" s="11">
        <v>0.8</v>
      </c>
      <c r="AG157" s="13">
        <v>0.23899999999999999</v>
      </c>
    </row>
    <row r="158" spans="2:33"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1" t="s">
        <v>166</v>
      </c>
      <c r="R158" s="2">
        <v>1910</v>
      </c>
      <c r="S158" s="2">
        <v>1384</v>
      </c>
      <c r="T158" s="2">
        <v>105</v>
      </c>
      <c r="U158" s="2">
        <v>0</v>
      </c>
      <c r="V158" s="2">
        <v>0</v>
      </c>
      <c r="W158" s="2">
        <v>2176</v>
      </c>
      <c r="X158" s="14"/>
      <c r="Y158" s="14"/>
      <c r="Z158" s="14"/>
      <c r="AA158" s="14"/>
      <c r="AB158" s="14"/>
      <c r="AC158" s="14"/>
      <c r="AD158" s="14"/>
      <c r="AE158" s="14"/>
      <c r="AF158" s="14"/>
      <c r="AG158" s="16"/>
    </row>
    <row r="159" spans="2:33">
      <c r="B159" s="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" t="s">
        <v>167</v>
      </c>
      <c r="R159" s="2">
        <v>5967</v>
      </c>
      <c r="S159" s="2">
        <v>9933</v>
      </c>
      <c r="T159" s="2">
        <v>2089</v>
      </c>
      <c r="U159" s="2">
        <v>2589</v>
      </c>
      <c r="V159" s="2">
        <v>2160</v>
      </c>
      <c r="W159" s="2">
        <v>6755</v>
      </c>
      <c r="AG159" s="16"/>
    </row>
    <row r="160" spans="2:33">
      <c r="B160" s="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" t="s">
        <v>168</v>
      </c>
      <c r="R160" s="2">
        <v>0</v>
      </c>
      <c r="S160" s="2">
        <v>0</v>
      </c>
      <c r="T160" s="2">
        <v>0</v>
      </c>
      <c r="U160" s="2">
        <v>465</v>
      </c>
      <c r="V160" s="2">
        <v>380</v>
      </c>
      <c r="W160" s="2">
        <v>2736</v>
      </c>
      <c r="AG160" s="16"/>
    </row>
    <row r="161" spans="2:33">
      <c r="B161" s="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" t="s">
        <v>169</v>
      </c>
      <c r="R161" s="2">
        <v>0</v>
      </c>
      <c r="S161" s="2">
        <v>0</v>
      </c>
      <c r="T161" s="2">
        <v>0</v>
      </c>
      <c r="U161" s="2">
        <v>3013</v>
      </c>
      <c r="V161" s="2">
        <v>2331</v>
      </c>
      <c r="W161" s="2">
        <v>2916</v>
      </c>
      <c r="AG161" s="16"/>
    </row>
    <row r="162" spans="2:33">
      <c r="B162" s="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" t="s">
        <v>170</v>
      </c>
      <c r="R162" s="2">
        <v>0</v>
      </c>
      <c r="S162" s="2">
        <v>0</v>
      </c>
      <c r="T162" s="2">
        <v>1211</v>
      </c>
      <c r="U162" s="2">
        <v>1065</v>
      </c>
      <c r="V162" s="2">
        <v>64</v>
      </c>
      <c r="W162" s="2">
        <v>1369</v>
      </c>
      <c r="AG162" s="16"/>
    </row>
    <row r="163" spans="2:33">
      <c r="B163" s="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" t="s">
        <v>171</v>
      </c>
      <c r="R163" s="2">
        <v>0</v>
      </c>
      <c r="S163" s="2">
        <v>0</v>
      </c>
      <c r="T163" s="2">
        <v>1817</v>
      </c>
      <c r="U163" s="2">
        <v>1598</v>
      </c>
      <c r="V163" s="2">
        <v>97</v>
      </c>
      <c r="W163" s="2">
        <v>2053</v>
      </c>
      <c r="AG163" s="16"/>
    </row>
    <row r="164" spans="2:33">
      <c r="B164" s="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" t="s">
        <v>172</v>
      </c>
      <c r="R164" s="2">
        <v>4451</v>
      </c>
      <c r="S164" s="2">
        <v>3269</v>
      </c>
      <c r="T164" s="2">
        <v>1226</v>
      </c>
      <c r="U164" s="2">
        <v>839</v>
      </c>
      <c r="V164" s="2">
        <v>0</v>
      </c>
      <c r="W164" s="2">
        <v>2690</v>
      </c>
      <c r="AG164" s="16"/>
    </row>
    <row r="165" spans="2:33">
      <c r="B165" s="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" t="s">
        <v>173</v>
      </c>
      <c r="R165" s="2">
        <v>597</v>
      </c>
      <c r="S165" s="2">
        <v>488</v>
      </c>
      <c r="T165" s="2">
        <v>3796</v>
      </c>
      <c r="U165" s="2">
        <v>2562</v>
      </c>
      <c r="V165" s="2">
        <v>0</v>
      </c>
      <c r="W165" s="2">
        <v>2500</v>
      </c>
      <c r="AG165" s="16"/>
    </row>
    <row r="166" spans="2:33">
      <c r="B166" s="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" t="s">
        <v>174</v>
      </c>
      <c r="R166" s="2">
        <v>0</v>
      </c>
      <c r="S166" s="2">
        <v>0</v>
      </c>
      <c r="T166" s="2">
        <v>4680</v>
      </c>
      <c r="U166" s="2">
        <v>3333</v>
      </c>
      <c r="V166" s="2">
        <v>0</v>
      </c>
      <c r="W166" s="2">
        <v>3140</v>
      </c>
      <c r="AG166" s="16"/>
    </row>
    <row r="167" spans="2:33">
      <c r="B167" s="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" t="s">
        <v>175</v>
      </c>
      <c r="R167" s="2">
        <v>0</v>
      </c>
      <c r="S167" s="2">
        <v>0</v>
      </c>
      <c r="T167" s="2">
        <v>0</v>
      </c>
      <c r="U167" s="2">
        <v>1943</v>
      </c>
      <c r="V167" s="2">
        <v>1315</v>
      </c>
      <c r="W167" s="2">
        <v>2022</v>
      </c>
      <c r="AG167" s="16"/>
    </row>
    <row r="168" spans="2:33">
      <c r="B168" s="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" t="s">
        <v>176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AG168" s="16"/>
    </row>
    <row r="169" spans="2:33">
      <c r="B169" s="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" t="s">
        <v>46</v>
      </c>
      <c r="R169" s="2">
        <v>5395</v>
      </c>
      <c r="S169" s="2">
        <v>3548</v>
      </c>
      <c r="T169" s="2">
        <v>0</v>
      </c>
      <c r="U169" s="2">
        <v>0</v>
      </c>
      <c r="V169" s="2">
        <v>0</v>
      </c>
      <c r="W169" s="2">
        <v>2695</v>
      </c>
      <c r="AG169" s="16"/>
    </row>
    <row r="170" spans="2:33" ht="15" thickBot="1">
      <c r="B170" s="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1"/>
      <c r="R170" s="2"/>
      <c r="S170" s="2"/>
      <c r="T170" s="2"/>
      <c r="U170" s="2"/>
      <c r="V170" s="2"/>
      <c r="W170" s="2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</row>
    <row r="171" spans="2:3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"/>
      <c r="R171" s="2"/>
      <c r="S171" s="2"/>
      <c r="T171" s="2"/>
      <c r="U171" s="2"/>
      <c r="V171" s="2"/>
      <c r="W171" s="2"/>
    </row>
    <row r="172" spans="2:33" ht="15" thickBot="1">
      <c r="B172" s="25" t="s">
        <v>150</v>
      </c>
      <c r="C172" s="26" t="s">
        <v>151</v>
      </c>
      <c r="D172" s="26" t="s">
        <v>177</v>
      </c>
      <c r="E172" s="26" t="s">
        <v>178</v>
      </c>
      <c r="F172" s="26" t="s">
        <v>179</v>
      </c>
      <c r="G172" s="26" t="s">
        <v>180</v>
      </c>
      <c r="H172" s="27" t="s">
        <v>33</v>
      </c>
      <c r="I172" s="26" t="s">
        <v>181</v>
      </c>
      <c r="J172" s="27" t="s">
        <v>87</v>
      </c>
      <c r="K172" s="29">
        <v>20</v>
      </c>
      <c r="L172" s="29">
        <v>20</v>
      </c>
      <c r="M172" s="29">
        <v>20</v>
      </c>
      <c r="N172" s="29">
        <v>20</v>
      </c>
      <c r="O172" s="29">
        <v>20</v>
      </c>
      <c r="P172" s="40">
        <v>39.799999237060497</v>
      </c>
      <c r="Q172" s="1" t="s">
        <v>182</v>
      </c>
      <c r="R172" s="2">
        <v>0</v>
      </c>
      <c r="S172" s="2">
        <v>240</v>
      </c>
      <c r="T172" s="2">
        <v>191</v>
      </c>
      <c r="U172" s="2">
        <v>0</v>
      </c>
      <c r="V172" s="2">
        <v>0</v>
      </c>
      <c r="W172" s="2">
        <v>35</v>
      </c>
      <c r="X172" s="43">
        <f>SUM(R172:W181)</f>
        <v>19033</v>
      </c>
      <c r="Y172" s="10">
        <v>46204</v>
      </c>
      <c r="Z172" s="11">
        <v>0.21964920427208123</v>
      </c>
      <c r="AA172" s="11">
        <v>0.18323938230056691</v>
      </c>
      <c r="AB172" s="11">
        <v>0.14776533800058905</v>
      </c>
      <c r="AC172" s="11">
        <v>0.12924722998056465</v>
      </c>
      <c r="AD172" s="11">
        <v>0.11497566539164336</v>
      </c>
      <c r="AE172" s="11">
        <v>0.13199526282684884</v>
      </c>
      <c r="AF172" s="11">
        <v>0.8</v>
      </c>
      <c r="AG172" s="13">
        <v>0.23899999999999999</v>
      </c>
    </row>
    <row r="173" spans="2:33"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1" t="s">
        <v>38</v>
      </c>
      <c r="R173" s="2">
        <v>0</v>
      </c>
      <c r="S173" s="2">
        <v>0</v>
      </c>
      <c r="T173" s="2">
        <v>0</v>
      </c>
      <c r="U173" s="2">
        <v>735</v>
      </c>
      <c r="V173" s="2">
        <v>611</v>
      </c>
      <c r="W173" s="2">
        <v>154</v>
      </c>
      <c r="X173" s="14"/>
      <c r="Y173" s="14"/>
      <c r="Z173" s="14"/>
      <c r="AA173" s="14"/>
      <c r="AB173" s="14"/>
      <c r="AC173" s="14"/>
      <c r="AD173" s="14"/>
      <c r="AE173" s="14"/>
      <c r="AF173" s="14"/>
      <c r="AG173" s="16"/>
    </row>
    <row r="174" spans="2:33">
      <c r="B174" s="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" t="s">
        <v>39</v>
      </c>
      <c r="R174" s="2">
        <v>0</v>
      </c>
      <c r="S174" s="2">
        <v>0</v>
      </c>
      <c r="T174" s="2">
        <v>0</v>
      </c>
      <c r="U174" s="2">
        <v>627</v>
      </c>
      <c r="V174" s="2">
        <v>566</v>
      </c>
      <c r="W174" s="2">
        <v>150</v>
      </c>
      <c r="AG174" s="16"/>
    </row>
    <row r="175" spans="2:33">
      <c r="B175" s="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" t="s">
        <v>40</v>
      </c>
      <c r="R175" s="2">
        <v>0</v>
      </c>
      <c r="S175" s="2">
        <v>0</v>
      </c>
      <c r="T175" s="2">
        <v>779</v>
      </c>
      <c r="U175" s="2">
        <v>701</v>
      </c>
      <c r="V175" s="2">
        <v>0</v>
      </c>
      <c r="W175" s="2">
        <v>212</v>
      </c>
      <c r="AG175" s="16"/>
    </row>
    <row r="176" spans="2:33">
      <c r="B176" s="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" t="s">
        <v>41</v>
      </c>
      <c r="R176" s="2">
        <v>1027</v>
      </c>
      <c r="S176" s="2">
        <v>980</v>
      </c>
      <c r="T176" s="2">
        <v>0</v>
      </c>
      <c r="U176" s="2">
        <v>0</v>
      </c>
      <c r="V176" s="2">
        <v>0</v>
      </c>
      <c r="W176" s="2">
        <v>195</v>
      </c>
      <c r="AG176" s="16"/>
    </row>
    <row r="177" spans="2:33">
      <c r="B177" s="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" t="s">
        <v>42</v>
      </c>
      <c r="R177" s="2">
        <v>0</v>
      </c>
      <c r="S177" s="2">
        <v>0</v>
      </c>
      <c r="T177" s="2">
        <v>798</v>
      </c>
      <c r="U177" s="2">
        <v>410</v>
      </c>
      <c r="V177" s="2">
        <v>0</v>
      </c>
      <c r="W177" s="2">
        <v>570</v>
      </c>
      <c r="AG177" s="16"/>
    </row>
    <row r="178" spans="2:33">
      <c r="B178" s="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" t="s">
        <v>43</v>
      </c>
      <c r="R178" s="2">
        <v>0</v>
      </c>
      <c r="S178" s="2">
        <v>0</v>
      </c>
      <c r="T178" s="2">
        <v>898</v>
      </c>
      <c r="U178" s="2">
        <v>803</v>
      </c>
      <c r="V178" s="2">
        <v>0</v>
      </c>
      <c r="W178" s="2">
        <v>382</v>
      </c>
      <c r="AG178" s="16"/>
    </row>
    <row r="179" spans="2:33">
      <c r="B179" s="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" t="s">
        <v>44</v>
      </c>
      <c r="R179" s="2">
        <v>0</v>
      </c>
      <c r="S179" s="2">
        <v>0</v>
      </c>
      <c r="T179" s="2">
        <v>0</v>
      </c>
      <c r="U179" s="2">
        <v>863</v>
      </c>
      <c r="V179" s="2">
        <v>806</v>
      </c>
      <c r="W179" s="2">
        <v>258</v>
      </c>
      <c r="AG179" s="16"/>
    </row>
    <row r="180" spans="2:33">
      <c r="B180" s="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" t="s">
        <v>45</v>
      </c>
      <c r="R180" s="2">
        <v>0</v>
      </c>
      <c r="S180" s="2">
        <v>1274</v>
      </c>
      <c r="T180" s="2">
        <v>1007</v>
      </c>
      <c r="U180" s="2">
        <v>0</v>
      </c>
      <c r="V180" s="2">
        <v>0</v>
      </c>
      <c r="W180" s="2">
        <v>366</v>
      </c>
      <c r="AG180" s="16"/>
    </row>
    <row r="181" spans="2:33">
      <c r="B181" s="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" t="s">
        <v>46</v>
      </c>
      <c r="R181" s="2">
        <v>1602</v>
      </c>
      <c r="S181" s="2">
        <v>1182</v>
      </c>
      <c r="T181" s="2">
        <v>0</v>
      </c>
      <c r="U181" s="2">
        <v>0</v>
      </c>
      <c r="V181" s="2">
        <v>0</v>
      </c>
      <c r="W181" s="2">
        <v>611</v>
      </c>
      <c r="AG181" s="16"/>
    </row>
    <row r="182" spans="2:33">
      <c r="B182" s="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"/>
      <c r="R182" s="2"/>
      <c r="S182" s="2"/>
      <c r="T182" s="2"/>
      <c r="U182" s="2"/>
      <c r="V182" s="2"/>
      <c r="W182" s="2"/>
      <c r="AG182" s="16"/>
    </row>
    <row r="183" spans="2:33">
      <c r="B183" s="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"/>
      <c r="R183" s="2"/>
      <c r="S183" s="2"/>
      <c r="T183" s="2"/>
      <c r="U183" s="2"/>
      <c r="V183" s="2"/>
      <c r="W183" s="2"/>
      <c r="AG183" s="16"/>
    </row>
    <row r="184" spans="2:33">
      <c r="B184" s="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"/>
      <c r="R184" s="2"/>
      <c r="S184" s="2"/>
      <c r="T184" s="2"/>
      <c r="U184" s="2"/>
      <c r="V184" s="2"/>
      <c r="W184" s="2"/>
      <c r="AG184" s="16"/>
    </row>
    <row r="185" spans="2:33" ht="15" thickBot="1"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1"/>
      <c r="R185" s="2"/>
      <c r="S185" s="2"/>
      <c r="T185" s="2"/>
      <c r="U185" s="2"/>
      <c r="V185" s="2"/>
      <c r="W185" s="2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</row>
    <row r="186" spans="2:3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"/>
      <c r="R186" s="2"/>
      <c r="S186" s="2"/>
      <c r="T186" s="2"/>
      <c r="U186" s="2"/>
      <c r="V186" s="2"/>
      <c r="W186" s="2"/>
    </row>
    <row r="187" spans="2:33" ht="15" thickBot="1">
      <c r="B187" s="25" t="s">
        <v>183</v>
      </c>
      <c r="C187" s="26" t="s">
        <v>184</v>
      </c>
      <c r="D187" s="26" t="s">
        <v>185</v>
      </c>
      <c r="E187" s="26" t="s">
        <v>186</v>
      </c>
      <c r="F187" s="26" t="s">
        <v>187</v>
      </c>
      <c r="G187" s="26" t="s">
        <v>188</v>
      </c>
      <c r="H187" s="27" t="s">
        <v>99</v>
      </c>
      <c r="I187" s="26" t="s">
        <v>189</v>
      </c>
      <c r="J187" s="27" t="s">
        <v>87</v>
      </c>
      <c r="K187" s="29">
        <v>30</v>
      </c>
      <c r="L187" s="29">
        <v>30</v>
      </c>
      <c r="M187" s="29">
        <v>35</v>
      </c>
      <c r="N187" s="29">
        <v>35</v>
      </c>
      <c r="O187" s="29">
        <v>35</v>
      </c>
      <c r="P187" s="40">
        <v>50</v>
      </c>
      <c r="Q187" s="1" t="s">
        <v>35</v>
      </c>
      <c r="R187" s="2">
        <v>1300</v>
      </c>
      <c r="S187" s="2">
        <v>952</v>
      </c>
      <c r="T187" s="2">
        <v>0</v>
      </c>
      <c r="U187" s="2">
        <v>0</v>
      </c>
      <c r="V187" s="2">
        <v>0</v>
      </c>
      <c r="W187" s="2">
        <v>3702</v>
      </c>
      <c r="X187" s="43">
        <f>SUM(R187:W197)</f>
        <v>73229</v>
      </c>
      <c r="Y187" s="10">
        <v>46204</v>
      </c>
      <c r="Z187" s="11">
        <v>0.22006544792690355</v>
      </c>
      <c r="AA187" s="11">
        <v>0.18365562595538923</v>
      </c>
      <c r="AB187" s="11">
        <v>0.14818158165541137</v>
      </c>
      <c r="AC187" s="11">
        <v>0.12966347363538697</v>
      </c>
      <c r="AD187" s="11">
        <v>0.11539190904646569</v>
      </c>
      <c r="AE187" s="11">
        <v>0.13241150648167116</v>
      </c>
      <c r="AF187" s="11">
        <v>1.1100000000000001</v>
      </c>
      <c r="AG187" s="13">
        <v>0.23899999999999999</v>
      </c>
    </row>
    <row r="188" spans="2:33"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1" t="s">
        <v>36</v>
      </c>
      <c r="R188" s="2">
        <v>1706</v>
      </c>
      <c r="S188" s="2">
        <v>1196</v>
      </c>
      <c r="T188" s="2">
        <v>0</v>
      </c>
      <c r="U188" s="2">
        <v>0</v>
      </c>
      <c r="V188" s="2">
        <v>0</v>
      </c>
      <c r="W188" s="2">
        <v>3789</v>
      </c>
      <c r="X188" s="14"/>
      <c r="Y188" s="14"/>
      <c r="Z188" s="14"/>
      <c r="AA188" s="14"/>
      <c r="AB188" s="14"/>
      <c r="AC188" s="14"/>
      <c r="AD188" s="14"/>
      <c r="AE188" s="14"/>
      <c r="AF188" s="14"/>
      <c r="AG188" s="16"/>
    </row>
    <row r="189" spans="2:33">
      <c r="B189" s="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" t="s">
        <v>37</v>
      </c>
      <c r="R189" s="2">
        <v>0</v>
      </c>
      <c r="S189" s="2">
        <v>1140</v>
      </c>
      <c r="T189" s="2">
        <v>838</v>
      </c>
      <c r="U189" s="2">
        <v>0</v>
      </c>
      <c r="V189" s="2">
        <v>0</v>
      </c>
      <c r="W189" s="2">
        <v>3370</v>
      </c>
      <c r="AG189" s="16"/>
    </row>
    <row r="190" spans="2:33">
      <c r="B190" s="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" t="s">
        <v>38</v>
      </c>
      <c r="R190" s="2">
        <v>0</v>
      </c>
      <c r="S190" s="2">
        <v>0</v>
      </c>
      <c r="T190" s="2">
        <v>0</v>
      </c>
      <c r="U190" s="2">
        <v>1832</v>
      </c>
      <c r="V190" s="2">
        <v>1239</v>
      </c>
      <c r="W190" s="2">
        <v>3650</v>
      </c>
      <c r="AG190" s="16"/>
    </row>
    <row r="191" spans="2:33">
      <c r="B191" s="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" t="s">
        <v>39</v>
      </c>
      <c r="R191" s="2">
        <v>0</v>
      </c>
      <c r="S191" s="2">
        <v>0</v>
      </c>
      <c r="T191" s="2">
        <v>0</v>
      </c>
      <c r="U191" s="2">
        <v>1472</v>
      </c>
      <c r="V191" s="2">
        <v>1098</v>
      </c>
      <c r="W191" s="2">
        <v>3879</v>
      </c>
      <c r="AG191" s="16"/>
    </row>
    <row r="192" spans="2:33">
      <c r="B192" s="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" t="s">
        <v>40</v>
      </c>
      <c r="R192" s="2">
        <v>0</v>
      </c>
      <c r="S192" s="2">
        <v>0</v>
      </c>
      <c r="T192" s="2">
        <v>1464</v>
      </c>
      <c r="U192" s="2">
        <v>1060</v>
      </c>
      <c r="V192" s="2">
        <v>0</v>
      </c>
      <c r="W192" s="2">
        <v>3254</v>
      </c>
      <c r="AG192" s="16"/>
    </row>
    <row r="193" spans="2:33">
      <c r="B193" s="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" t="s">
        <v>41</v>
      </c>
      <c r="R193" s="2">
        <v>2608</v>
      </c>
      <c r="S193" s="2">
        <v>1973</v>
      </c>
      <c r="T193" s="2">
        <v>0</v>
      </c>
      <c r="U193" s="2">
        <v>0</v>
      </c>
      <c r="V193" s="2">
        <v>0</v>
      </c>
      <c r="W193" s="2">
        <v>4659</v>
      </c>
      <c r="AG193" s="16"/>
    </row>
    <row r="194" spans="2:33">
      <c r="B194" s="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" t="s">
        <v>42</v>
      </c>
      <c r="R194" s="2">
        <v>0</v>
      </c>
      <c r="S194" s="2">
        <v>0</v>
      </c>
      <c r="T194" s="2">
        <v>2621</v>
      </c>
      <c r="U194" s="2">
        <v>2171</v>
      </c>
      <c r="V194" s="2">
        <v>0</v>
      </c>
      <c r="W194" s="2">
        <v>6654</v>
      </c>
      <c r="AG194" s="16"/>
    </row>
    <row r="195" spans="2:33">
      <c r="B195" s="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" t="s">
        <v>43</v>
      </c>
      <c r="R195" s="2">
        <v>0</v>
      </c>
      <c r="S195" s="2">
        <v>0</v>
      </c>
      <c r="T195" s="2">
        <v>1340</v>
      </c>
      <c r="U195" s="2">
        <v>950</v>
      </c>
      <c r="V195" s="2">
        <v>0</v>
      </c>
      <c r="W195" s="2">
        <v>2669</v>
      </c>
      <c r="AG195" s="16"/>
    </row>
    <row r="196" spans="2:33">
      <c r="B196" s="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" t="s">
        <v>44</v>
      </c>
      <c r="R196" s="2">
        <v>0</v>
      </c>
      <c r="S196" s="2">
        <v>0</v>
      </c>
      <c r="T196" s="2">
        <v>0</v>
      </c>
      <c r="U196" s="2">
        <v>1300</v>
      </c>
      <c r="V196" s="2">
        <v>917</v>
      </c>
      <c r="W196" s="2">
        <v>2469</v>
      </c>
      <c r="AG196" s="16"/>
    </row>
    <row r="197" spans="2:33">
      <c r="B197" s="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" t="s">
        <v>46</v>
      </c>
      <c r="R197" s="2">
        <v>1413</v>
      </c>
      <c r="S197" s="2">
        <v>1031</v>
      </c>
      <c r="T197" s="2">
        <v>0</v>
      </c>
      <c r="U197" s="2">
        <v>0</v>
      </c>
      <c r="V197" s="2">
        <v>0</v>
      </c>
      <c r="W197" s="2">
        <v>3513</v>
      </c>
      <c r="AG197" s="16"/>
    </row>
    <row r="198" spans="2:33">
      <c r="B198" s="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2"/>
      <c r="S198" s="2"/>
      <c r="T198" s="2"/>
      <c r="U198" s="2"/>
      <c r="V198" s="2"/>
      <c r="W198" s="2"/>
      <c r="AG198" s="16"/>
    </row>
    <row r="199" spans="2:33">
      <c r="B199" s="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1"/>
      <c r="R199" s="2"/>
      <c r="S199" s="2"/>
      <c r="T199" s="2"/>
      <c r="U199" s="2"/>
      <c r="V199" s="2"/>
      <c r="W199" s="2"/>
      <c r="AG199" s="16"/>
    </row>
    <row r="200" spans="2:33" ht="15" thickBot="1">
      <c r="B200" s="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1"/>
      <c r="R200" s="2"/>
      <c r="S200" s="2"/>
      <c r="T200" s="2"/>
      <c r="U200" s="2"/>
      <c r="V200" s="2"/>
      <c r="W200" s="2"/>
      <c r="X200" s="15"/>
      <c r="Y200" s="15"/>
      <c r="Z200" s="15"/>
      <c r="AA200" s="15"/>
      <c r="AB200" s="15"/>
      <c r="AC200" s="15"/>
      <c r="AD200" s="15"/>
      <c r="AE200" s="15"/>
      <c r="AF200" s="15"/>
      <c r="AG200" s="17"/>
    </row>
    <row r="201" spans="2:33" ht="15" thickBo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1"/>
      <c r="R201" s="2"/>
      <c r="S201" s="2"/>
      <c r="T201" s="2"/>
      <c r="U201" s="2"/>
      <c r="V201" s="2"/>
      <c r="W201" s="2"/>
    </row>
    <row r="202" spans="2:33" ht="15" thickBot="1">
      <c r="B202" s="33" t="s">
        <v>2187</v>
      </c>
      <c r="C202" s="26" t="s">
        <v>190</v>
      </c>
      <c r="D202" s="26" t="s">
        <v>191</v>
      </c>
      <c r="E202" s="26" t="s">
        <v>192</v>
      </c>
      <c r="F202" s="26" t="s">
        <v>179</v>
      </c>
      <c r="G202" s="26" t="s">
        <v>180</v>
      </c>
      <c r="H202" s="27" t="s">
        <v>33</v>
      </c>
      <c r="I202" s="26" t="s">
        <v>193</v>
      </c>
      <c r="J202" s="27" t="s">
        <v>87</v>
      </c>
      <c r="K202" s="29">
        <v>15.1000003814697</v>
      </c>
      <c r="L202" s="29">
        <v>15.1000003814697</v>
      </c>
      <c r="M202" s="29">
        <v>15.1000003814697</v>
      </c>
      <c r="N202" s="29">
        <v>15.1000003814697</v>
      </c>
      <c r="O202" s="29">
        <v>15.1000003814697</v>
      </c>
      <c r="P202" s="40">
        <v>15.1000003814697</v>
      </c>
      <c r="Q202" s="1" t="s">
        <v>35</v>
      </c>
      <c r="R202" s="2">
        <v>1445</v>
      </c>
      <c r="S202" s="2">
        <v>743</v>
      </c>
      <c r="T202" s="2">
        <v>0</v>
      </c>
      <c r="U202" s="2">
        <v>0</v>
      </c>
      <c r="V202" s="2">
        <v>0</v>
      </c>
      <c r="W202" s="2">
        <v>371</v>
      </c>
      <c r="X202" s="43">
        <f>SUM(R202:W210)</f>
        <v>15085</v>
      </c>
      <c r="Y202" s="10">
        <v>46204</v>
      </c>
      <c r="Z202" s="11">
        <v>0.21964920427208123</v>
      </c>
      <c r="AA202" s="11">
        <v>0.18323938230056691</v>
      </c>
      <c r="AB202" s="11">
        <v>0.14776533800058905</v>
      </c>
      <c r="AC202" s="11">
        <v>0.12924722998056465</v>
      </c>
      <c r="AD202" s="11">
        <v>0.11497566539164336</v>
      </c>
      <c r="AE202" s="11">
        <v>0.13199526282684884</v>
      </c>
      <c r="AF202" s="11">
        <v>0.8</v>
      </c>
      <c r="AG202" s="11">
        <v>0.23899999999999999</v>
      </c>
    </row>
    <row r="203" spans="2:33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1" t="s">
        <v>36</v>
      </c>
      <c r="R203" s="2">
        <v>1119</v>
      </c>
      <c r="S203" s="2">
        <v>548</v>
      </c>
      <c r="T203" s="2">
        <v>0</v>
      </c>
      <c r="U203" s="2">
        <v>0</v>
      </c>
      <c r="V203" s="2">
        <v>0</v>
      </c>
      <c r="W203" s="2">
        <v>660</v>
      </c>
      <c r="X203" s="14"/>
      <c r="Y203" s="14"/>
      <c r="Z203" s="14"/>
      <c r="AA203" s="14"/>
      <c r="AB203" s="14"/>
      <c r="AC203" s="14"/>
      <c r="AD203" s="14"/>
      <c r="AE203" s="14"/>
      <c r="AF203" s="14"/>
      <c r="AG203" s="16"/>
    </row>
    <row r="204" spans="2:33">
      <c r="B204" s="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1" t="s">
        <v>37</v>
      </c>
      <c r="R204" s="2">
        <v>0</v>
      </c>
      <c r="S204" s="2">
        <v>1204</v>
      </c>
      <c r="T204" s="2">
        <v>554</v>
      </c>
      <c r="U204" s="2">
        <v>0</v>
      </c>
      <c r="V204" s="2">
        <v>0</v>
      </c>
      <c r="W204" s="2">
        <v>341</v>
      </c>
      <c r="AG204" s="16"/>
    </row>
    <row r="205" spans="2:33">
      <c r="B205" s="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1" t="s">
        <v>38</v>
      </c>
      <c r="R205" s="2">
        <v>0</v>
      </c>
      <c r="S205" s="2">
        <v>0</v>
      </c>
      <c r="T205" s="2">
        <v>0</v>
      </c>
      <c r="U205" s="2">
        <v>669</v>
      </c>
      <c r="V205" s="2">
        <v>283</v>
      </c>
      <c r="W205" s="2">
        <v>136</v>
      </c>
      <c r="AG205" s="16"/>
    </row>
    <row r="206" spans="2:33">
      <c r="B206" s="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1" t="s">
        <v>39</v>
      </c>
      <c r="R206" s="2">
        <v>0</v>
      </c>
      <c r="S206" s="2">
        <v>0</v>
      </c>
      <c r="T206" s="2">
        <v>0</v>
      </c>
      <c r="U206" s="2">
        <v>566</v>
      </c>
      <c r="V206" s="2">
        <v>257</v>
      </c>
      <c r="W206" s="2">
        <v>71</v>
      </c>
      <c r="AG206" s="16"/>
    </row>
    <row r="207" spans="2:33">
      <c r="B207" s="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1" t="s">
        <v>40</v>
      </c>
      <c r="R207" s="2">
        <v>0</v>
      </c>
      <c r="S207" s="2">
        <v>0</v>
      </c>
      <c r="T207" s="2">
        <v>653</v>
      </c>
      <c r="U207" s="2">
        <v>316</v>
      </c>
      <c r="V207" s="2">
        <v>0</v>
      </c>
      <c r="W207" s="2">
        <v>62</v>
      </c>
      <c r="AG207" s="16"/>
    </row>
    <row r="208" spans="2:33">
      <c r="B208" s="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1" t="s">
        <v>41</v>
      </c>
      <c r="R208" s="2">
        <v>1179</v>
      </c>
      <c r="S208" s="2">
        <v>557</v>
      </c>
      <c r="T208" s="2">
        <v>211</v>
      </c>
      <c r="U208" s="2">
        <v>106</v>
      </c>
      <c r="V208" s="2">
        <v>0</v>
      </c>
      <c r="W208" s="2">
        <v>147</v>
      </c>
      <c r="AG208" s="16"/>
    </row>
    <row r="209" spans="2:33">
      <c r="B209" s="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1" t="s">
        <v>42</v>
      </c>
      <c r="R209" s="2">
        <v>0</v>
      </c>
      <c r="S209" s="2">
        <v>0</v>
      </c>
      <c r="T209" s="2">
        <v>770</v>
      </c>
      <c r="U209" s="2">
        <v>451</v>
      </c>
      <c r="V209" s="2">
        <v>0</v>
      </c>
      <c r="W209" s="2">
        <v>445</v>
      </c>
      <c r="AG209" s="16"/>
    </row>
    <row r="210" spans="2:33">
      <c r="B210" s="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1" t="s">
        <v>43</v>
      </c>
      <c r="R210" s="2">
        <v>0</v>
      </c>
      <c r="S210" s="2">
        <v>0</v>
      </c>
      <c r="T210" s="2">
        <v>726</v>
      </c>
      <c r="U210" s="2">
        <v>338</v>
      </c>
      <c r="V210" s="2">
        <v>0</v>
      </c>
      <c r="W210" s="2">
        <v>157</v>
      </c>
      <c r="AG210" s="16"/>
    </row>
    <row r="211" spans="2:33">
      <c r="B211" s="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1"/>
      <c r="R211" s="2"/>
      <c r="S211" s="2"/>
      <c r="T211" s="2"/>
      <c r="U211" s="2"/>
      <c r="V211" s="2"/>
      <c r="W211" s="2"/>
      <c r="AG211" s="16"/>
    </row>
    <row r="212" spans="2:33">
      <c r="B212" s="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1"/>
      <c r="R212" s="2"/>
      <c r="S212" s="2"/>
      <c r="T212" s="2"/>
      <c r="U212" s="2"/>
      <c r="V212" s="2"/>
      <c r="W212" s="2"/>
      <c r="AG212" s="16"/>
    </row>
    <row r="213" spans="2:33">
      <c r="B213" s="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1"/>
      <c r="R213" s="2"/>
      <c r="S213" s="2"/>
      <c r="T213" s="2"/>
      <c r="U213" s="2"/>
      <c r="V213" s="2"/>
      <c r="W213" s="2"/>
      <c r="AG213" s="16"/>
    </row>
    <row r="214" spans="2:33">
      <c r="B214" s="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1"/>
      <c r="R214" s="2"/>
      <c r="S214" s="2"/>
      <c r="T214" s="2"/>
      <c r="U214" s="2"/>
      <c r="V214" s="2"/>
      <c r="W214" s="2"/>
      <c r="AG214" s="16"/>
    </row>
    <row r="215" spans="2:33" ht="15" thickBot="1"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1"/>
      <c r="R215" s="2"/>
      <c r="S215" s="2"/>
      <c r="T215" s="2"/>
      <c r="U215" s="2"/>
      <c r="V215" s="2"/>
      <c r="W215" s="2"/>
      <c r="X215" s="15"/>
      <c r="Y215" s="15"/>
      <c r="Z215" s="15"/>
      <c r="AA215" s="15"/>
      <c r="AB215" s="15"/>
      <c r="AC215" s="15"/>
      <c r="AD215" s="15"/>
      <c r="AE215" s="15"/>
      <c r="AF215" s="15"/>
      <c r="AG215" s="17"/>
    </row>
    <row r="216" spans="2:33" ht="15" thickBo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1"/>
      <c r="R216" s="2"/>
      <c r="S216" s="2"/>
      <c r="T216" s="2"/>
      <c r="U216" s="2"/>
      <c r="V216" s="2"/>
      <c r="W216" s="2"/>
    </row>
    <row r="217" spans="2:33" ht="18" customHeight="1" thickBot="1">
      <c r="B217" s="33" t="s">
        <v>2187</v>
      </c>
      <c r="C217" s="26" t="s">
        <v>190</v>
      </c>
      <c r="D217" s="26" t="s">
        <v>194</v>
      </c>
      <c r="E217" s="26" t="s">
        <v>195</v>
      </c>
      <c r="F217" s="26" t="s">
        <v>196</v>
      </c>
      <c r="G217" s="26" t="s">
        <v>33</v>
      </c>
      <c r="H217" s="27" t="s">
        <v>33</v>
      </c>
      <c r="I217" s="26" t="s">
        <v>197</v>
      </c>
      <c r="J217" s="27" t="s">
        <v>56</v>
      </c>
      <c r="K217" s="29">
        <v>14</v>
      </c>
      <c r="L217" s="29">
        <v>14</v>
      </c>
      <c r="M217" s="29">
        <v>14</v>
      </c>
      <c r="N217" s="29">
        <v>0</v>
      </c>
      <c r="O217" s="29">
        <v>0</v>
      </c>
      <c r="P217" s="40">
        <v>0</v>
      </c>
      <c r="Q217" s="1" t="s">
        <v>198</v>
      </c>
      <c r="R217" s="2">
        <v>2474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43">
        <f>SUM(R217:W229)</f>
        <v>37990</v>
      </c>
      <c r="Y217" s="10">
        <v>46204</v>
      </c>
      <c r="Z217" s="11">
        <v>0.23982933470114767</v>
      </c>
      <c r="AA217" s="11">
        <v>0.16331488490945434</v>
      </c>
      <c r="AB217" s="11">
        <v>0.13558926282684883</v>
      </c>
      <c r="AC217" s="11"/>
      <c r="AD217" s="11"/>
      <c r="AE217" s="11"/>
      <c r="AF217" s="11">
        <v>0.8</v>
      </c>
      <c r="AG217" s="11">
        <v>0.23899999999999999</v>
      </c>
    </row>
    <row r="218" spans="2:33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1" t="s">
        <v>199</v>
      </c>
      <c r="R218" s="2">
        <v>859</v>
      </c>
      <c r="S218" s="2">
        <v>748</v>
      </c>
      <c r="T218" s="2">
        <v>1573</v>
      </c>
      <c r="U218" s="2">
        <v>0</v>
      </c>
      <c r="V218" s="2">
        <v>0</v>
      </c>
      <c r="W218" s="2">
        <v>0</v>
      </c>
      <c r="X218" s="14"/>
      <c r="Y218" s="14"/>
      <c r="Z218" s="14"/>
      <c r="AA218" s="14"/>
      <c r="AB218" s="14"/>
      <c r="AC218" s="14"/>
      <c r="AD218" s="14"/>
      <c r="AE218" s="14"/>
      <c r="AF218" s="14"/>
      <c r="AG218" s="16"/>
    </row>
    <row r="219" spans="2:33">
      <c r="B219" s="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1" t="s">
        <v>53</v>
      </c>
      <c r="R219" s="2">
        <v>1212</v>
      </c>
      <c r="S219" s="2">
        <v>1088</v>
      </c>
      <c r="T219" s="2">
        <v>2133</v>
      </c>
      <c r="U219" s="2">
        <v>0</v>
      </c>
      <c r="V219" s="2">
        <v>0</v>
      </c>
      <c r="W219" s="2">
        <v>0</v>
      </c>
      <c r="AG219" s="16"/>
    </row>
    <row r="220" spans="2:33">
      <c r="B220" s="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1" t="s">
        <v>200</v>
      </c>
      <c r="R220" s="2">
        <v>1343</v>
      </c>
      <c r="S220" s="2">
        <v>1158</v>
      </c>
      <c r="T220" s="2">
        <v>1822</v>
      </c>
      <c r="U220" s="2">
        <v>0</v>
      </c>
      <c r="V220" s="2">
        <v>0</v>
      </c>
      <c r="W220" s="2">
        <v>0</v>
      </c>
      <c r="AG220" s="16"/>
    </row>
    <row r="221" spans="2:33">
      <c r="B221" s="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1" t="s">
        <v>201</v>
      </c>
      <c r="R221" s="2">
        <v>794</v>
      </c>
      <c r="S221" s="2">
        <v>632</v>
      </c>
      <c r="T221" s="2">
        <v>1084</v>
      </c>
      <c r="U221" s="2">
        <v>0</v>
      </c>
      <c r="V221" s="2">
        <v>0</v>
      </c>
      <c r="W221" s="2">
        <v>0</v>
      </c>
      <c r="AG221" s="16"/>
    </row>
    <row r="222" spans="2:33">
      <c r="B222" s="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1" t="s">
        <v>202</v>
      </c>
      <c r="R222" s="2">
        <v>642</v>
      </c>
      <c r="S222" s="2">
        <v>468</v>
      </c>
      <c r="T222" s="2">
        <v>480</v>
      </c>
      <c r="U222" s="2">
        <v>0</v>
      </c>
      <c r="V222" s="2">
        <v>0</v>
      </c>
      <c r="W222" s="2">
        <v>0</v>
      </c>
      <c r="AG222" s="16"/>
    </row>
    <row r="223" spans="2:33">
      <c r="B223" s="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1" t="s">
        <v>203</v>
      </c>
      <c r="R223" s="2">
        <v>1153</v>
      </c>
      <c r="S223" s="2">
        <v>838</v>
      </c>
      <c r="T223" s="2">
        <v>936</v>
      </c>
      <c r="U223" s="2">
        <v>0</v>
      </c>
      <c r="V223" s="2">
        <v>0</v>
      </c>
      <c r="W223" s="2">
        <v>0</v>
      </c>
      <c r="AG223" s="16"/>
    </row>
    <row r="224" spans="2:33">
      <c r="B224" s="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1" t="s">
        <v>204</v>
      </c>
      <c r="R224" s="2">
        <v>1175</v>
      </c>
      <c r="S224" s="2">
        <v>882</v>
      </c>
      <c r="T224" s="2">
        <v>915</v>
      </c>
      <c r="U224" s="2">
        <v>0</v>
      </c>
      <c r="V224" s="2">
        <v>0</v>
      </c>
      <c r="W224" s="2">
        <v>0</v>
      </c>
      <c r="AG224" s="16"/>
    </row>
    <row r="225" spans="2:33">
      <c r="B225" s="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1" t="s">
        <v>205</v>
      </c>
      <c r="R225" s="2">
        <v>995</v>
      </c>
      <c r="S225" s="2">
        <v>773</v>
      </c>
      <c r="T225" s="2">
        <v>1033</v>
      </c>
      <c r="U225" s="2">
        <v>0</v>
      </c>
      <c r="V225" s="2">
        <v>0</v>
      </c>
      <c r="W225" s="2">
        <v>0</v>
      </c>
      <c r="AG225" s="16"/>
    </row>
    <row r="226" spans="2:33">
      <c r="B226" s="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1" t="s">
        <v>206</v>
      </c>
      <c r="R226" s="2">
        <v>1077</v>
      </c>
      <c r="S226" s="2">
        <v>807</v>
      </c>
      <c r="T226" s="2">
        <v>1039</v>
      </c>
      <c r="U226" s="2">
        <v>0</v>
      </c>
      <c r="V226" s="2">
        <v>0</v>
      </c>
      <c r="W226" s="2">
        <v>0</v>
      </c>
      <c r="AG226" s="16"/>
    </row>
    <row r="227" spans="2:33">
      <c r="B227" s="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1" t="s">
        <v>207</v>
      </c>
      <c r="R227" s="2">
        <v>689</v>
      </c>
      <c r="S227" s="2">
        <v>547</v>
      </c>
      <c r="T227" s="2">
        <v>743</v>
      </c>
      <c r="U227" s="2">
        <v>0</v>
      </c>
      <c r="V227" s="2">
        <v>0</v>
      </c>
      <c r="W227" s="2">
        <v>0</v>
      </c>
      <c r="AG227" s="16"/>
    </row>
    <row r="228" spans="2:33">
      <c r="B228" s="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" t="s">
        <v>208</v>
      </c>
      <c r="R228" s="2">
        <v>843</v>
      </c>
      <c r="S228" s="2">
        <v>685</v>
      </c>
      <c r="T228" s="2">
        <v>865</v>
      </c>
      <c r="U228" s="2">
        <v>0</v>
      </c>
      <c r="V228" s="2">
        <v>0</v>
      </c>
      <c r="W228" s="2">
        <v>0</v>
      </c>
      <c r="AG228" s="16"/>
    </row>
    <row r="229" spans="2:33">
      <c r="B229" s="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1" t="s">
        <v>209</v>
      </c>
      <c r="R229" s="2">
        <v>976</v>
      </c>
      <c r="S229" s="2">
        <v>867</v>
      </c>
      <c r="T229" s="2">
        <v>1642</v>
      </c>
      <c r="U229" s="2">
        <v>0</v>
      </c>
      <c r="V229" s="2">
        <v>0</v>
      </c>
      <c r="W229" s="2">
        <v>0</v>
      </c>
      <c r="AG229" s="16"/>
    </row>
    <row r="230" spans="2:33" ht="15" thickBot="1">
      <c r="B230" s="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1"/>
      <c r="R230" s="2"/>
      <c r="S230" s="2"/>
      <c r="T230" s="2"/>
      <c r="U230" s="2"/>
      <c r="V230" s="2"/>
      <c r="W230" s="2"/>
      <c r="X230" s="15"/>
      <c r="Y230" s="15"/>
      <c r="Z230" s="15"/>
      <c r="AA230" s="15"/>
      <c r="AB230" s="15"/>
      <c r="AC230" s="15"/>
      <c r="AD230" s="15"/>
      <c r="AE230" s="15"/>
      <c r="AF230" s="15"/>
      <c r="AG230" s="17"/>
    </row>
    <row r="231" spans="2:33" ht="15" thickBo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1"/>
      <c r="R231" s="2"/>
      <c r="S231" s="2"/>
      <c r="T231" s="2"/>
      <c r="U231" s="2"/>
      <c r="V231" s="2"/>
      <c r="W231" s="2"/>
    </row>
    <row r="232" spans="2:33" ht="15.75" customHeight="1" thickBot="1">
      <c r="B232" s="33" t="s">
        <v>2187</v>
      </c>
      <c r="C232" s="26" t="s">
        <v>190</v>
      </c>
      <c r="D232" s="26" t="s">
        <v>210</v>
      </c>
      <c r="E232" s="26" t="s">
        <v>211</v>
      </c>
      <c r="F232" s="26" t="s">
        <v>88</v>
      </c>
      <c r="G232" s="26" t="s">
        <v>89</v>
      </c>
      <c r="H232" s="27" t="s">
        <v>33</v>
      </c>
      <c r="I232" s="26" t="s">
        <v>212</v>
      </c>
      <c r="J232" s="27" t="s">
        <v>56</v>
      </c>
      <c r="K232" s="29">
        <v>9.1999998092651403</v>
      </c>
      <c r="L232" s="29">
        <v>9.1999998092651403</v>
      </c>
      <c r="M232" s="29">
        <v>9.1999998092651403</v>
      </c>
      <c r="N232" s="29">
        <v>0</v>
      </c>
      <c r="O232" s="29">
        <v>0</v>
      </c>
      <c r="P232" s="40">
        <v>0</v>
      </c>
      <c r="Q232" s="1" t="s">
        <v>213</v>
      </c>
      <c r="R232" s="2">
        <v>2017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43">
        <f>SUM(R232:W244)</f>
        <v>17362</v>
      </c>
      <c r="Y232" s="10">
        <v>46204</v>
      </c>
      <c r="Z232" s="11">
        <v>0.23982933470114767</v>
      </c>
      <c r="AA232" s="11">
        <v>0.16331488490945434</v>
      </c>
      <c r="AB232" s="11">
        <v>0.13558926282684883</v>
      </c>
      <c r="AC232" s="11"/>
      <c r="AD232" s="11"/>
      <c r="AE232" s="11"/>
      <c r="AF232" s="11">
        <v>0.8</v>
      </c>
      <c r="AG232" s="11">
        <v>0.23899999999999999</v>
      </c>
    </row>
    <row r="233" spans="2:33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1" t="s">
        <v>214</v>
      </c>
      <c r="R233" s="2">
        <v>1688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6"/>
    </row>
    <row r="234" spans="2:33">
      <c r="B234" s="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1" t="s">
        <v>215</v>
      </c>
      <c r="R234" s="2">
        <v>1781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AG234" s="16"/>
    </row>
    <row r="235" spans="2:33">
      <c r="B235" s="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1" t="s">
        <v>216</v>
      </c>
      <c r="R235" s="2">
        <v>957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AG235" s="16"/>
    </row>
    <row r="236" spans="2:33">
      <c r="B236" s="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1" t="s">
        <v>217</v>
      </c>
      <c r="R236" s="2">
        <v>69</v>
      </c>
      <c r="S236" s="2">
        <v>47</v>
      </c>
      <c r="T236" s="2">
        <v>74</v>
      </c>
      <c r="U236" s="2">
        <v>0</v>
      </c>
      <c r="V236" s="2">
        <v>0</v>
      </c>
      <c r="W236" s="2">
        <v>0</v>
      </c>
      <c r="AG236" s="16"/>
    </row>
    <row r="237" spans="2:33">
      <c r="B237" s="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1" t="s">
        <v>218</v>
      </c>
      <c r="R237" s="2">
        <v>525</v>
      </c>
      <c r="S237" s="2">
        <v>342</v>
      </c>
      <c r="T237" s="2">
        <v>223</v>
      </c>
      <c r="U237" s="2">
        <v>0</v>
      </c>
      <c r="V237" s="2">
        <v>0</v>
      </c>
      <c r="W237" s="2">
        <v>0</v>
      </c>
      <c r="AG237" s="16"/>
    </row>
    <row r="238" spans="2:33">
      <c r="B238" s="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1" t="s">
        <v>219</v>
      </c>
      <c r="R238" s="2">
        <v>764</v>
      </c>
      <c r="S238" s="2">
        <v>531</v>
      </c>
      <c r="T238" s="2">
        <v>254</v>
      </c>
      <c r="U238" s="2">
        <v>0</v>
      </c>
      <c r="V238" s="2">
        <v>0</v>
      </c>
      <c r="W238" s="2">
        <v>0</v>
      </c>
      <c r="AG238" s="16"/>
    </row>
    <row r="239" spans="2:33">
      <c r="B239" s="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1" t="s">
        <v>220</v>
      </c>
      <c r="R239" s="2">
        <v>774</v>
      </c>
      <c r="S239" s="2">
        <v>532</v>
      </c>
      <c r="T239" s="2">
        <v>275</v>
      </c>
      <c r="U239" s="2">
        <v>0</v>
      </c>
      <c r="V239" s="2">
        <v>0</v>
      </c>
      <c r="W239" s="2">
        <v>0</v>
      </c>
      <c r="AG239" s="16"/>
    </row>
    <row r="240" spans="2:33">
      <c r="B240" s="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1" t="s">
        <v>221</v>
      </c>
      <c r="R240" s="2">
        <v>514</v>
      </c>
      <c r="S240" s="2">
        <v>325</v>
      </c>
      <c r="T240" s="2">
        <v>148</v>
      </c>
      <c r="U240" s="2">
        <v>0</v>
      </c>
      <c r="V240" s="2">
        <v>0</v>
      </c>
      <c r="W240" s="2">
        <v>0</v>
      </c>
      <c r="AG240" s="16"/>
    </row>
    <row r="241" spans="2:33">
      <c r="B241" s="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1" t="s">
        <v>222</v>
      </c>
      <c r="R241" s="2">
        <v>497</v>
      </c>
      <c r="S241" s="2">
        <v>301</v>
      </c>
      <c r="T241" s="2">
        <v>132</v>
      </c>
      <c r="U241" s="2">
        <v>0</v>
      </c>
      <c r="V241" s="2">
        <v>0</v>
      </c>
      <c r="W241" s="2">
        <v>0</v>
      </c>
      <c r="AG241" s="16"/>
    </row>
    <row r="242" spans="2:33">
      <c r="B242" s="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1" t="s">
        <v>223</v>
      </c>
      <c r="R242" s="2">
        <v>430</v>
      </c>
      <c r="S242" s="2">
        <v>272</v>
      </c>
      <c r="T242" s="2">
        <v>146</v>
      </c>
      <c r="U242" s="2">
        <v>0</v>
      </c>
      <c r="V242" s="2">
        <v>0</v>
      </c>
      <c r="W242" s="2">
        <v>0</v>
      </c>
      <c r="AG242" s="16"/>
    </row>
    <row r="243" spans="2:33">
      <c r="B243" s="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1" t="s">
        <v>224</v>
      </c>
      <c r="R243" s="2">
        <v>670</v>
      </c>
      <c r="S243" s="2">
        <v>520</v>
      </c>
      <c r="T243" s="2">
        <v>333</v>
      </c>
      <c r="U243" s="2">
        <v>0</v>
      </c>
      <c r="V243" s="2">
        <v>0</v>
      </c>
      <c r="W243" s="2">
        <v>0</v>
      </c>
      <c r="AG243" s="16"/>
    </row>
    <row r="244" spans="2:33">
      <c r="B244" s="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1" t="s">
        <v>225</v>
      </c>
      <c r="R244" s="2">
        <v>883</v>
      </c>
      <c r="S244" s="2">
        <v>675</v>
      </c>
      <c r="T244" s="2">
        <v>663</v>
      </c>
      <c r="U244" s="2">
        <v>0</v>
      </c>
      <c r="V244" s="2">
        <v>0</v>
      </c>
      <c r="W244" s="2">
        <v>0</v>
      </c>
      <c r="AG244" s="16"/>
    </row>
    <row r="245" spans="2:33" ht="15" thickBot="1"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1"/>
      <c r="R245" s="2"/>
      <c r="S245" s="2"/>
      <c r="T245" s="2"/>
      <c r="U245" s="2"/>
      <c r="V245" s="2"/>
      <c r="W245" s="2"/>
      <c r="X245" s="15"/>
      <c r="Y245" s="15"/>
      <c r="Z245" s="15"/>
      <c r="AA245" s="15"/>
      <c r="AB245" s="15"/>
      <c r="AC245" s="15"/>
      <c r="AD245" s="15"/>
      <c r="AE245" s="15"/>
      <c r="AF245" s="15"/>
      <c r="AG245" s="17"/>
    </row>
    <row r="246" spans="2:33" ht="15" thickBo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1"/>
      <c r="R246" s="2"/>
      <c r="S246" s="2"/>
      <c r="T246" s="2"/>
      <c r="U246" s="2"/>
      <c r="V246" s="2"/>
      <c r="W246" s="2"/>
    </row>
    <row r="247" spans="2:33" ht="15" thickBot="1">
      <c r="B247" s="33" t="s">
        <v>2187</v>
      </c>
      <c r="C247" s="26" t="s">
        <v>190</v>
      </c>
      <c r="D247" s="26" t="s">
        <v>226</v>
      </c>
      <c r="E247" s="26" t="s">
        <v>227</v>
      </c>
      <c r="F247" s="26" t="s">
        <v>228</v>
      </c>
      <c r="G247" s="26" t="s">
        <v>92</v>
      </c>
      <c r="H247" s="27" t="s">
        <v>33</v>
      </c>
      <c r="I247" s="26" t="s">
        <v>229</v>
      </c>
      <c r="J247" s="27" t="s">
        <v>87</v>
      </c>
      <c r="K247" s="29">
        <v>10</v>
      </c>
      <c r="L247" s="29">
        <v>10</v>
      </c>
      <c r="M247" s="29">
        <v>10</v>
      </c>
      <c r="N247" s="29">
        <v>10</v>
      </c>
      <c r="O247" s="29">
        <v>10</v>
      </c>
      <c r="P247" s="40">
        <v>15.001000404357899</v>
      </c>
      <c r="Q247" s="1" t="s">
        <v>35</v>
      </c>
      <c r="R247" s="2">
        <v>737</v>
      </c>
      <c r="S247" s="2">
        <v>438</v>
      </c>
      <c r="T247" s="2">
        <v>0</v>
      </c>
      <c r="U247" s="2">
        <v>0</v>
      </c>
      <c r="V247" s="2">
        <v>0</v>
      </c>
      <c r="W247" s="2">
        <v>629</v>
      </c>
      <c r="X247" s="43">
        <f>SUM(R247:W260)</f>
        <v>19552</v>
      </c>
      <c r="Y247" s="10">
        <v>46204</v>
      </c>
      <c r="Z247" s="11">
        <v>0.21964920427208123</v>
      </c>
      <c r="AA247" s="11">
        <v>0.18323938230056691</v>
      </c>
      <c r="AB247" s="11">
        <v>0.14776533800058905</v>
      </c>
      <c r="AC247" s="11">
        <v>0.12924722998056465</v>
      </c>
      <c r="AD247" s="11">
        <v>0.11497566539164336</v>
      </c>
      <c r="AE247" s="11">
        <v>0.13199526282684884</v>
      </c>
      <c r="AF247" s="11">
        <v>0.8</v>
      </c>
      <c r="AG247" s="11">
        <v>0.23899999999999999</v>
      </c>
    </row>
    <row r="248" spans="2:33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1" t="s">
        <v>36</v>
      </c>
      <c r="R248" s="2">
        <v>605</v>
      </c>
      <c r="S248" s="2">
        <v>350</v>
      </c>
      <c r="T248" s="2">
        <v>0</v>
      </c>
      <c r="U248" s="2">
        <v>0</v>
      </c>
      <c r="V248" s="2">
        <v>0</v>
      </c>
      <c r="W248" s="2">
        <v>540</v>
      </c>
      <c r="X248" s="14"/>
      <c r="Y248" s="14"/>
      <c r="Z248" s="14"/>
      <c r="AA248" s="14"/>
      <c r="AB248" s="14"/>
      <c r="AC248" s="14"/>
      <c r="AD248" s="14"/>
      <c r="AE248" s="14"/>
      <c r="AF248" s="14"/>
      <c r="AG248" s="16"/>
    </row>
    <row r="249" spans="2:33">
      <c r="B249" s="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1" t="s">
        <v>230</v>
      </c>
      <c r="R249" s="2">
        <v>0</v>
      </c>
      <c r="S249" s="2">
        <v>133</v>
      </c>
      <c r="T249" s="2">
        <v>78</v>
      </c>
      <c r="U249" s="2">
        <v>0</v>
      </c>
      <c r="V249" s="2">
        <v>0</v>
      </c>
      <c r="W249" s="2">
        <v>195</v>
      </c>
      <c r="AG249" s="16"/>
    </row>
    <row r="250" spans="2:33">
      <c r="B250" s="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1" t="s">
        <v>231</v>
      </c>
      <c r="R250" s="2">
        <v>0</v>
      </c>
      <c r="S250" s="2">
        <v>331</v>
      </c>
      <c r="T250" s="2">
        <v>197</v>
      </c>
      <c r="U250" s="2">
        <v>0</v>
      </c>
      <c r="V250" s="2">
        <v>0</v>
      </c>
      <c r="W250" s="2">
        <v>230</v>
      </c>
      <c r="AG250" s="16"/>
    </row>
    <row r="251" spans="2:33">
      <c r="B251" s="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1" t="s">
        <v>232</v>
      </c>
      <c r="R251" s="2">
        <v>0</v>
      </c>
      <c r="S251" s="2">
        <v>251</v>
      </c>
      <c r="T251" s="2">
        <v>156</v>
      </c>
      <c r="U251" s="2">
        <v>0</v>
      </c>
      <c r="V251" s="2">
        <v>0</v>
      </c>
      <c r="W251" s="2">
        <v>273</v>
      </c>
      <c r="AG251" s="16"/>
    </row>
    <row r="252" spans="2:33">
      <c r="B252" s="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1" t="s">
        <v>38</v>
      </c>
      <c r="R252" s="2">
        <v>0</v>
      </c>
      <c r="S252" s="2">
        <v>0</v>
      </c>
      <c r="T252" s="2">
        <v>0</v>
      </c>
      <c r="U252" s="2">
        <v>554</v>
      </c>
      <c r="V252" s="2">
        <v>330</v>
      </c>
      <c r="W252" s="2">
        <v>604</v>
      </c>
      <c r="AG252" s="16"/>
    </row>
    <row r="253" spans="2:33">
      <c r="B253" s="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1" t="s">
        <v>39</v>
      </c>
      <c r="R253" s="2">
        <v>0</v>
      </c>
      <c r="S253" s="2">
        <v>0</v>
      </c>
      <c r="T253" s="2">
        <v>0</v>
      </c>
      <c r="U253" s="2">
        <v>504</v>
      </c>
      <c r="V253" s="2">
        <v>287</v>
      </c>
      <c r="W253" s="2">
        <v>418</v>
      </c>
      <c r="AG253" s="16"/>
    </row>
    <row r="254" spans="2:33">
      <c r="B254" s="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1" t="s">
        <v>40</v>
      </c>
      <c r="R254" s="2">
        <v>0</v>
      </c>
      <c r="S254" s="2">
        <v>0</v>
      </c>
      <c r="T254" s="2">
        <v>738</v>
      </c>
      <c r="U254" s="2">
        <v>473</v>
      </c>
      <c r="V254" s="2">
        <v>0</v>
      </c>
      <c r="W254" s="2">
        <v>481</v>
      </c>
      <c r="AG254" s="16"/>
    </row>
    <row r="255" spans="2:33">
      <c r="B255" s="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1" t="s">
        <v>41</v>
      </c>
      <c r="R255" s="2">
        <v>897</v>
      </c>
      <c r="S255" s="2">
        <v>594</v>
      </c>
      <c r="T255" s="2">
        <v>0</v>
      </c>
      <c r="U255" s="2">
        <v>0</v>
      </c>
      <c r="V255" s="2">
        <v>0</v>
      </c>
      <c r="W255" s="2">
        <v>496</v>
      </c>
      <c r="AG255" s="16"/>
    </row>
    <row r="256" spans="2:33">
      <c r="B256" s="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1" t="s">
        <v>42</v>
      </c>
      <c r="R256" s="2">
        <v>0</v>
      </c>
      <c r="S256" s="2">
        <v>0</v>
      </c>
      <c r="T256" s="2">
        <v>786</v>
      </c>
      <c r="U256" s="2">
        <v>494</v>
      </c>
      <c r="V256" s="2">
        <v>0</v>
      </c>
      <c r="W256" s="2">
        <v>645</v>
      </c>
      <c r="AG256" s="16"/>
    </row>
    <row r="257" spans="2:33">
      <c r="B257" s="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1" t="s">
        <v>43</v>
      </c>
      <c r="R257" s="2">
        <v>0</v>
      </c>
      <c r="S257" s="2">
        <v>0</v>
      </c>
      <c r="T257" s="2">
        <v>653</v>
      </c>
      <c r="U257" s="2">
        <v>424</v>
      </c>
      <c r="V257" s="2">
        <v>0</v>
      </c>
      <c r="W257" s="2">
        <v>412</v>
      </c>
      <c r="AG257" s="16"/>
    </row>
    <row r="258" spans="2:33">
      <c r="B258" s="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1" t="s">
        <v>44</v>
      </c>
      <c r="R258" s="2">
        <v>0</v>
      </c>
      <c r="S258" s="2">
        <v>0</v>
      </c>
      <c r="T258" s="2">
        <v>0</v>
      </c>
      <c r="U258" s="2">
        <v>574</v>
      </c>
      <c r="V258" s="2">
        <v>372</v>
      </c>
      <c r="W258" s="2">
        <v>378</v>
      </c>
      <c r="AG258" s="16"/>
    </row>
    <row r="259" spans="2:33">
      <c r="B259" s="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1" t="s">
        <v>45</v>
      </c>
      <c r="R259" s="2">
        <v>0</v>
      </c>
      <c r="S259" s="2">
        <v>650</v>
      </c>
      <c r="T259" s="2">
        <v>377</v>
      </c>
      <c r="U259" s="2">
        <v>0</v>
      </c>
      <c r="V259" s="2">
        <v>0</v>
      </c>
      <c r="W259" s="2">
        <v>584</v>
      </c>
      <c r="AG259" s="16"/>
    </row>
    <row r="260" spans="2:33" ht="15" thickBot="1">
      <c r="B260" s="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1" t="s">
        <v>46</v>
      </c>
      <c r="R260" s="2">
        <v>759</v>
      </c>
      <c r="S260" s="2">
        <v>423</v>
      </c>
      <c r="T260" s="2">
        <v>0</v>
      </c>
      <c r="U260" s="2">
        <v>0</v>
      </c>
      <c r="V260" s="2">
        <v>0</v>
      </c>
      <c r="W260" s="2">
        <v>502</v>
      </c>
      <c r="X260" s="15"/>
      <c r="Y260" s="15"/>
      <c r="Z260" s="15"/>
      <c r="AA260" s="15"/>
      <c r="AB260" s="15"/>
      <c r="AC260" s="15"/>
      <c r="AD260" s="15"/>
      <c r="AE260" s="15"/>
      <c r="AF260" s="15"/>
      <c r="AG260" s="17"/>
    </row>
    <row r="261" spans="2:33" ht="15" thickBo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1"/>
      <c r="R261" s="2"/>
      <c r="S261" s="2"/>
      <c r="T261" s="2"/>
      <c r="U261" s="2"/>
      <c r="V261" s="2"/>
      <c r="W261" s="2"/>
    </row>
    <row r="262" spans="2:33" ht="15" thickBot="1">
      <c r="B262" s="33" t="s">
        <v>2187</v>
      </c>
      <c r="C262" s="26" t="s">
        <v>190</v>
      </c>
      <c r="D262" s="26" t="s">
        <v>233</v>
      </c>
      <c r="E262" s="26" t="s">
        <v>234</v>
      </c>
      <c r="F262" s="26" t="s">
        <v>235</v>
      </c>
      <c r="G262" s="26" t="s">
        <v>236</v>
      </c>
      <c r="H262" s="27" t="s">
        <v>33</v>
      </c>
      <c r="I262" s="26" t="s">
        <v>237</v>
      </c>
      <c r="J262" s="27" t="s">
        <v>87</v>
      </c>
      <c r="K262" s="29">
        <v>15.1000003814697</v>
      </c>
      <c r="L262" s="29">
        <v>15.1000003814697</v>
      </c>
      <c r="M262" s="29">
        <v>15.1000003814697</v>
      </c>
      <c r="N262" s="29">
        <v>15.1000003814697</v>
      </c>
      <c r="O262" s="29">
        <v>15.1000003814697</v>
      </c>
      <c r="P262" s="40">
        <v>15.1000003814697</v>
      </c>
      <c r="Q262" s="1" t="s">
        <v>35</v>
      </c>
      <c r="R262" s="2">
        <v>1675</v>
      </c>
      <c r="S262" s="2">
        <v>917</v>
      </c>
      <c r="T262" s="2">
        <v>0</v>
      </c>
      <c r="U262" s="2">
        <v>0</v>
      </c>
      <c r="V262" s="2">
        <v>0</v>
      </c>
      <c r="W262" s="2">
        <v>395</v>
      </c>
      <c r="X262" s="43">
        <f>SUM(R262:W274)</f>
        <v>28440</v>
      </c>
      <c r="Y262" s="10">
        <v>46204</v>
      </c>
      <c r="Z262" s="11">
        <v>0.21964920427208123</v>
      </c>
      <c r="AA262" s="11">
        <v>0.18323938230056691</v>
      </c>
      <c r="AB262" s="11">
        <v>0.14776533800058905</v>
      </c>
      <c r="AC262" s="11">
        <v>0.12924722998056465</v>
      </c>
      <c r="AD262" s="11">
        <v>0.11497566539164336</v>
      </c>
      <c r="AE262" s="11">
        <v>0.13199526282684884</v>
      </c>
      <c r="AF262" s="11">
        <v>0.8</v>
      </c>
      <c r="AG262" s="11">
        <v>0.23899999999999999</v>
      </c>
    </row>
    <row r="263" spans="2:33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1" t="s">
        <v>36</v>
      </c>
      <c r="R263" s="2">
        <v>1430</v>
      </c>
      <c r="S263" s="2">
        <v>743</v>
      </c>
      <c r="T263" s="2">
        <v>0</v>
      </c>
      <c r="U263" s="2">
        <v>0</v>
      </c>
      <c r="V263" s="2">
        <v>0</v>
      </c>
      <c r="W263" s="2">
        <v>416</v>
      </c>
      <c r="X263" s="14"/>
      <c r="Y263" s="14"/>
      <c r="Z263" s="14"/>
      <c r="AA263" s="14"/>
      <c r="AB263" s="14"/>
      <c r="AC263" s="14"/>
      <c r="AD263" s="14"/>
      <c r="AE263" s="14"/>
      <c r="AF263" s="14"/>
      <c r="AG263" s="16"/>
    </row>
    <row r="264" spans="2:33">
      <c r="B264" s="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1" t="s">
        <v>37</v>
      </c>
      <c r="R264" s="2">
        <v>0</v>
      </c>
      <c r="S264" s="2">
        <v>1631</v>
      </c>
      <c r="T264" s="2">
        <v>898</v>
      </c>
      <c r="U264" s="2">
        <v>0</v>
      </c>
      <c r="V264" s="2">
        <v>0</v>
      </c>
      <c r="W264" s="2">
        <v>414</v>
      </c>
      <c r="AG264" s="16"/>
    </row>
    <row r="265" spans="2:33">
      <c r="B265" s="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1" t="s">
        <v>38</v>
      </c>
      <c r="R265" s="2">
        <v>0</v>
      </c>
      <c r="S265" s="2">
        <v>0</v>
      </c>
      <c r="T265" s="2">
        <v>0</v>
      </c>
      <c r="U265" s="2">
        <v>888</v>
      </c>
      <c r="V265" s="2">
        <v>509</v>
      </c>
      <c r="W265" s="2">
        <v>411</v>
      </c>
      <c r="AG265" s="16"/>
    </row>
    <row r="266" spans="2:33">
      <c r="B266" s="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1" t="s">
        <v>39</v>
      </c>
      <c r="R266" s="2">
        <v>0</v>
      </c>
      <c r="S266" s="2">
        <v>0</v>
      </c>
      <c r="T266" s="2">
        <v>0</v>
      </c>
      <c r="U266" s="2">
        <v>764</v>
      </c>
      <c r="V266" s="2">
        <v>446</v>
      </c>
      <c r="W266" s="2">
        <v>426</v>
      </c>
      <c r="AG266" s="16"/>
    </row>
    <row r="267" spans="2:33">
      <c r="B267" s="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1" t="s">
        <v>238</v>
      </c>
      <c r="R267" s="2">
        <v>0</v>
      </c>
      <c r="S267" s="2">
        <v>0</v>
      </c>
      <c r="T267" s="2">
        <v>302</v>
      </c>
      <c r="U267" s="2">
        <v>183</v>
      </c>
      <c r="V267" s="2">
        <v>0</v>
      </c>
      <c r="W267" s="2">
        <v>131</v>
      </c>
      <c r="AG267" s="16"/>
    </row>
    <row r="268" spans="2:33">
      <c r="B268" s="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1" t="s">
        <v>239</v>
      </c>
      <c r="R268" s="2">
        <v>0</v>
      </c>
      <c r="S268" s="2">
        <v>0</v>
      </c>
      <c r="T268" s="2">
        <v>798</v>
      </c>
      <c r="U268" s="2">
        <v>464</v>
      </c>
      <c r="V268" s="2">
        <v>0</v>
      </c>
      <c r="W268" s="2">
        <v>447</v>
      </c>
      <c r="AG268" s="16"/>
    </row>
    <row r="269" spans="2:33">
      <c r="B269" s="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1" t="s">
        <v>41</v>
      </c>
      <c r="R269" s="2">
        <v>1243</v>
      </c>
      <c r="S269" s="2">
        <v>703</v>
      </c>
      <c r="T269" s="2">
        <v>0</v>
      </c>
      <c r="U269" s="2">
        <v>0</v>
      </c>
      <c r="V269" s="2">
        <v>0</v>
      </c>
      <c r="W269" s="2">
        <v>467</v>
      </c>
      <c r="AG269" s="16"/>
    </row>
    <row r="270" spans="2:33">
      <c r="B270" s="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1" t="s">
        <v>42</v>
      </c>
      <c r="R270" s="2">
        <v>0</v>
      </c>
      <c r="S270" s="2">
        <v>0</v>
      </c>
      <c r="T270" s="2">
        <v>875</v>
      </c>
      <c r="U270" s="2">
        <v>533</v>
      </c>
      <c r="V270" s="2">
        <v>0</v>
      </c>
      <c r="W270" s="2">
        <v>480</v>
      </c>
      <c r="AG270" s="16"/>
    </row>
    <row r="271" spans="2:33">
      <c r="B271" s="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1" t="s">
        <v>43</v>
      </c>
      <c r="R271" s="2">
        <v>0</v>
      </c>
      <c r="S271" s="2">
        <v>0</v>
      </c>
      <c r="T271" s="2">
        <v>724</v>
      </c>
      <c r="U271" s="2">
        <v>431</v>
      </c>
      <c r="V271" s="2">
        <v>0</v>
      </c>
      <c r="W271" s="2">
        <v>403</v>
      </c>
      <c r="AG271" s="16"/>
    </row>
    <row r="272" spans="2:33">
      <c r="B272" s="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1" t="s">
        <v>44</v>
      </c>
      <c r="R272" s="2">
        <v>0</v>
      </c>
      <c r="S272" s="2">
        <v>0</v>
      </c>
      <c r="T272" s="2">
        <v>0</v>
      </c>
      <c r="U272" s="2">
        <v>733</v>
      </c>
      <c r="V272" s="2">
        <v>442</v>
      </c>
      <c r="W272" s="2">
        <v>388</v>
      </c>
      <c r="AG272" s="16"/>
    </row>
    <row r="273" spans="2:33">
      <c r="B273" s="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1" t="s">
        <v>45</v>
      </c>
      <c r="R273" s="2">
        <v>0</v>
      </c>
      <c r="S273" s="2">
        <v>1323</v>
      </c>
      <c r="T273" s="2">
        <v>721</v>
      </c>
      <c r="U273" s="2">
        <v>0</v>
      </c>
      <c r="V273" s="2">
        <v>0</v>
      </c>
      <c r="W273" s="2">
        <v>722</v>
      </c>
      <c r="AG273" s="16"/>
    </row>
    <row r="274" spans="2:33">
      <c r="B274" s="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1" t="s">
        <v>46</v>
      </c>
      <c r="R274" s="2">
        <v>1541</v>
      </c>
      <c r="S274" s="2">
        <v>946</v>
      </c>
      <c r="T274" s="2">
        <v>0</v>
      </c>
      <c r="U274" s="2">
        <v>0</v>
      </c>
      <c r="V274" s="2">
        <v>0</v>
      </c>
      <c r="W274" s="2">
        <v>1477</v>
      </c>
      <c r="AG274" s="16"/>
    </row>
    <row r="275" spans="2:33" ht="15" thickBot="1">
      <c r="B275" s="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1"/>
      <c r="R275" s="2"/>
      <c r="S275" s="2"/>
      <c r="T275" s="2"/>
      <c r="U275" s="2"/>
      <c r="V275" s="2"/>
      <c r="W275" s="2"/>
      <c r="X275" s="15"/>
      <c r="Y275" s="15"/>
      <c r="Z275" s="15"/>
      <c r="AA275" s="15"/>
      <c r="AB275" s="15"/>
      <c r="AC275" s="15"/>
      <c r="AD275" s="15"/>
      <c r="AE275" s="15"/>
      <c r="AF275" s="15"/>
      <c r="AG275" s="17"/>
    </row>
    <row r="276" spans="2:3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1"/>
      <c r="R276" s="2"/>
      <c r="S276" s="2"/>
      <c r="T276" s="2"/>
      <c r="U276" s="2"/>
      <c r="V276" s="2"/>
      <c r="W276" s="2"/>
    </row>
    <row r="277" spans="2:33" ht="15" thickBot="1">
      <c r="B277" s="25" t="s">
        <v>240</v>
      </c>
      <c r="C277" s="26" t="s">
        <v>241</v>
      </c>
      <c r="D277" s="26" t="s">
        <v>242</v>
      </c>
      <c r="E277" s="26" t="s">
        <v>243</v>
      </c>
      <c r="F277" s="26" t="s">
        <v>244</v>
      </c>
      <c r="G277" s="26" t="s">
        <v>245</v>
      </c>
      <c r="H277" s="27" t="s">
        <v>246</v>
      </c>
      <c r="I277" s="26" t="s">
        <v>247</v>
      </c>
      <c r="J277" s="27" t="s">
        <v>87</v>
      </c>
      <c r="K277" s="29">
        <v>60</v>
      </c>
      <c r="L277" s="29">
        <v>60</v>
      </c>
      <c r="M277" s="29">
        <v>60</v>
      </c>
      <c r="N277" s="29">
        <v>60</v>
      </c>
      <c r="O277" s="29">
        <v>60</v>
      </c>
      <c r="P277" s="40">
        <v>80</v>
      </c>
      <c r="Q277" s="1" t="s">
        <v>35</v>
      </c>
      <c r="R277" s="2">
        <v>917</v>
      </c>
      <c r="S277" s="2">
        <v>821</v>
      </c>
      <c r="T277" s="2">
        <v>0</v>
      </c>
      <c r="U277" s="2">
        <v>0</v>
      </c>
      <c r="V277" s="2">
        <v>0</v>
      </c>
      <c r="W277" s="2">
        <v>2158</v>
      </c>
      <c r="X277" s="43">
        <f>SUM(R277:W288)</f>
        <v>113709</v>
      </c>
      <c r="Y277" s="10">
        <v>46204</v>
      </c>
      <c r="Z277" s="11">
        <v>0.21988270681015232</v>
      </c>
      <c r="AA277" s="11">
        <v>0.18347288483863797</v>
      </c>
      <c r="AB277" s="11">
        <v>0.14799884053866011</v>
      </c>
      <c r="AC277" s="11">
        <v>0.1294807325186357</v>
      </c>
      <c r="AD277" s="11">
        <v>0.11520916792971442</v>
      </c>
      <c r="AE277" s="11">
        <v>0.1322287653649199</v>
      </c>
      <c r="AF277" s="11">
        <v>1</v>
      </c>
      <c r="AG277" s="13">
        <v>0.23899999999999999</v>
      </c>
    </row>
    <row r="278" spans="2:33">
      <c r="B278" s="3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1" t="s">
        <v>36</v>
      </c>
      <c r="R278" s="2">
        <v>777</v>
      </c>
      <c r="S278" s="2">
        <v>555</v>
      </c>
      <c r="T278" s="2">
        <v>0</v>
      </c>
      <c r="U278" s="2">
        <v>0</v>
      </c>
      <c r="V278" s="2">
        <v>0</v>
      </c>
      <c r="W278" s="2">
        <v>1304</v>
      </c>
      <c r="X278" s="14"/>
      <c r="Y278" s="14"/>
      <c r="Z278" s="14"/>
      <c r="AA278" s="14"/>
      <c r="AB278" s="14"/>
      <c r="AC278" s="14"/>
      <c r="AD278" s="14"/>
      <c r="AE278" s="14"/>
      <c r="AF278" s="14"/>
      <c r="AG278" s="16"/>
    </row>
    <row r="279" spans="2:33">
      <c r="B279" s="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1" t="s">
        <v>37</v>
      </c>
      <c r="R279" s="2">
        <v>0</v>
      </c>
      <c r="S279" s="2">
        <v>1596</v>
      </c>
      <c r="T279" s="2">
        <v>1124</v>
      </c>
      <c r="U279" s="2">
        <v>0</v>
      </c>
      <c r="V279" s="2">
        <v>0</v>
      </c>
      <c r="W279" s="2">
        <v>4406</v>
      </c>
      <c r="AG279" s="16"/>
    </row>
    <row r="280" spans="2:33">
      <c r="B280" s="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1" t="s">
        <v>38</v>
      </c>
      <c r="R280" s="2">
        <v>0</v>
      </c>
      <c r="S280" s="2">
        <v>0</v>
      </c>
      <c r="T280" s="2">
        <v>0</v>
      </c>
      <c r="U280" s="2">
        <v>2095</v>
      </c>
      <c r="V280" s="2">
        <v>1603</v>
      </c>
      <c r="W280" s="2">
        <v>5486</v>
      </c>
      <c r="AG280" s="16"/>
    </row>
    <row r="281" spans="2:33">
      <c r="B281" s="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1" t="s">
        <v>39</v>
      </c>
      <c r="R281" s="2">
        <v>0</v>
      </c>
      <c r="S281" s="2">
        <v>0</v>
      </c>
      <c r="T281" s="2">
        <v>0</v>
      </c>
      <c r="U281" s="2">
        <v>1841</v>
      </c>
      <c r="V281" s="2">
        <v>1430</v>
      </c>
      <c r="W281" s="2">
        <v>4833</v>
      </c>
      <c r="AG281" s="16"/>
    </row>
    <row r="282" spans="2:33">
      <c r="B282" s="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1" t="s">
        <v>40</v>
      </c>
      <c r="R282" s="2">
        <v>0</v>
      </c>
      <c r="S282" s="2">
        <v>0</v>
      </c>
      <c r="T282" s="2">
        <v>2709</v>
      </c>
      <c r="U282" s="2">
        <v>2174</v>
      </c>
      <c r="V282" s="2">
        <v>0</v>
      </c>
      <c r="W282" s="2">
        <v>6239</v>
      </c>
      <c r="AG282" s="16"/>
    </row>
    <row r="283" spans="2:33">
      <c r="B283" s="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1" t="s">
        <v>41</v>
      </c>
      <c r="R283" s="2">
        <v>4933</v>
      </c>
      <c r="S283" s="2">
        <v>4166</v>
      </c>
      <c r="T283" s="2">
        <v>0</v>
      </c>
      <c r="U283" s="2">
        <v>0</v>
      </c>
      <c r="V283" s="2">
        <v>0</v>
      </c>
      <c r="W283" s="2">
        <v>9270</v>
      </c>
      <c r="AG283" s="16"/>
    </row>
    <row r="284" spans="2:33">
      <c r="B284" s="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1" t="s">
        <v>42</v>
      </c>
      <c r="R284" s="2">
        <v>0</v>
      </c>
      <c r="S284" s="2">
        <v>0</v>
      </c>
      <c r="T284" s="2">
        <v>5650</v>
      </c>
      <c r="U284" s="2">
        <v>5046</v>
      </c>
      <c r="V284" s="2">
        <v>0</v>
      </c>
      <c r="W284" s="2">
        <v>12398</v>
      </c>
      <c r="AG284" s="16"/>
    </row>
    <row r="285" spans="2:33">
      <c r="B285" s="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1" t="s">
        <v>43</v>
      </c>
      <c r="R285" s="2">
        <v>0</v>
      </c>
      <c r="S285" s="2">
        <v>0</v>
      </c>
      <c r="T285" s="2">
        <v>2851</v>
      </c>
      <c r="U285" s="2">
        <v>2154</v>
      </c>
      <c r="V285" s="2">
        <v>0</v>
      </c>
      <c r="W285" s="2">
        <v>5891</v>
      </c>
      <c r="AG285" s="16"/>
    </row>
    <row r="286" spans="2:33">
      <c r="B286" s="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1" t="s">
        <v>44</v>
      </c>
      <c r="R286" s="2">
        <v>0</v>
      </c>
      <c r="S286" s="2">
        <v>0</v>
      </c>
      <c r="T286" s="2">
        <v>0</v>
      </c>
      <c r="U286" s="2">
        <v>2361</v>
      </c>
      <c r="V286" s="2">
        <v>2279</v>
      </c>
      <c r="W286" s="2">
        <v>5006</v>
      </c>
      <c r="AG286" s="16"/>
    </row>
    <row r="287" spans="2:33">
      <c r="B287" s="6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" t="s">
        <v>45</v>
      </c>
      <c r="R287" s="2">
        <v>0</v>
      </c>
      <c r="S287" s="2">
        <v>1117</v>
      </c>
      <c r="T287" s="2">
        <v>951</v>
      </c>
      <c r="U287" s="2">
        <v>0</v>
      </c>
      <c r="V287" s="2">
        <v>0</v>
      </c>
      <c r="W287" s="2">
        <v>3296</v>
      </c>
      <c r="AG287" s="16"/>
    </row>
    <row r="288" spans="2:33">
      <c r="B288" s="6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" t="s">
        <v>46</v>
      </c>
      <c r="R288" s="2">
        <v>956</v>
      </c>
      <c r="S288" s="2">
        <v>866</v>
      </c>
      <c r="T288" s="2">
        <v>0</v>
      </c>
      <c r="U288" s="2">
        <v>0</v>
      </c>
      <c r="V288" s="2">
        <v>0</v>
      </c>
      <c r="W288" s="2">
        <v>2450</v>
      </c>
      <c r="AG288" s="16"/>
    </row>
    <row r="289" spans="2:33">
      <c r="B289" s="6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1"/>
      <c r="R289" s="2"/>
      <c r="S289" s="2"/>
      <c r="T289" s="2"/>
      <c r="U289" s="2"/>
      <c r="V289" s="2"/>
      <c r="W289" s="2"/>
      <c r="AG289" s="16"/>
    </row>
    <row r="290" spans="2:33" ht="15" thickBot="1">
      <c r="B290" s="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1"/>
      <c r="R290" s="2"/>
      <c r="S290" s="2"/>
      <c r="T290" s="2"/>
      <c r="U290" s="2"/>
      <c r="V290" s="2"/>
      <c r="W290" s="2"/>
      <c r="X290" s="15"/>
      <c r="Y290" s="15"/>
      <c r="Z290" s="15"/>
      <c r="AA290" s="15"/>
      <c r="AB290" s="15"/>
      <c r="AC290" s="15"/>
      <c r="AD290" s="15"/>
      <c r="AE290" s="15"/>
      <c r="AF290" s="15"/>
      <c r="AG290" s="17"/>
    </row>
    <row r="291" spans="2:33" ht="15" thickBo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2"/>
      <c r="S291" s="2"/>
      <c r="T291" s="2"/>
      <c r="U291" s="2"/>
      <c r="V291" s="2"/>
      <c r="W291" s="2"/>
    </row>
    <row r="292" spans="2:33" ht="15" thickBot="1">
      <c r="B292" s="33" t="s">
        <v>2196</v>
      </c>
      <c r="C292" s="26" t="s">
        <v>248</v>
      </c>
      <c r="D292" s="26" t="s">
        <v>249</v>
      </c>
      <c r="E292" s="26" t="s">
        <v>250</v>
      </c>
      <c r="F292" s="26" t="s">
        <v>251</v>
      </c>
      <c r="G292" s="26" t="s">
        <v>252</v>
      </c>
      <c r="H292" s="27" t="s">
        <v>253</v>
      </c>
      <c r="I292" s="26" t="s">
        <v>254</v>
      </c>
      <c r="J292" s="27" t="s">
        <v>34</v>
      </c>
      <c r="K292" s="29">
        <v>25</v>
      </c>
      <c r="L292" s="29">
        <v>30</v>
      </c>
      <c r="M292" s="29">
        <v>30</v>
      </c>
      <c r="N292" s="29">
        <v>30</v>
      </c>
      <c r="O292" s="29">
        <v>30</v>
      </c>
      <c r="P292" s="40">
        <v>108</v>
      </c>
      <c r="Q292" s="1" t="s">
        <v>35</v>
      </c>
      <c r="R292" s="2">
        <v>1105</v>
      </c>
      <c r="S292" s="2">
        <v>862</v>
      </c>
      <c r="T292" s="2">
        <v>0</v>
      </c>
      <c r="U292" s="2">
        <v>0</v>
      </c>
      <c r="V292" s="2">
        <v>0</v>
      </c>
      <c r="W292" s="2">
        <v>1749</v>
      </c>
      <c r="X292" s="43">
        <f>SUM(R292:W304)</f>
        <v>76668</v>
      </c>
      <c r="Y292" s="10">
        <v>46204</v>
      </c>
      <c r="Z292" s="11">
        <v>0.18944179940637271</v>
      </c>
      <c r="AA292" s="11">
        <v>0.15835358124143273</v>
      </c>
      <c r="AB292" s="11">
        <v>0.13112092502991979</v>
      </c>
      <c r="AC292" s="11">
        <v>0.11711967035536473</v>
      </c>
      <c r="AD292" s="11">
        <v>0.10620551120181751</v>
      </c>
      <c r="AE292" s="11">
        <v>0.12187624542640918</v>
      </c>
      <c r="AF292" s="11">
        <v>0.15</v>
      </c>
      <c r="AG292" s="13">
        <v>0.23899999999999999</v>
      </c>
    </row>
    <row r="293" spans="2:33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1" t="s">
        <v>36</v>
      </c>
      <c r="R293" s="2">
        <v>1037</v>
      </c>
      <c r="S293" s="2">
        <v>810</v>
      </c>
      <c r="T293" s="2">
        <v>0</v>
      </c>
      <c r="U293" s="2">
        <v>0</v>
      </c>
      <c r="V293" s="2">
        <v>0</v>
      </c>
      <c r="W293" s="2">
        <v>1439</v>
      </c>
      <c r="X293" s="14"/>
      <c r="Y293" s="14"/>
      <c r="Z293" s="14"/>
      <c r="AA293" s="14"/>
      <c r="AB293" s="14"/>
      <c r="AC293" s="14"/>
      <c r="AD293" s="14"/>
      <c r="AE293" s="14"/>
      <c r="AF293" s="14"/>
      <c r="AG293" s="16"/>
    </row>
    <row r="294" spans="2:33">
      <c r="B294" s="6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1" t="s">
        <v>37</v>
      </c>
      <c r="R294" s="2">
        <v>0</v>
      </c>
      <c r="S294" s="2">
        <v>1084</v>
      </c>
      <c r="T294" s="2">
        <v>848</v>
      </c>
      <c r="U294" s="2">
        <v>0</v>
      </c>
      <c r="V294" s="2">
        <v>0</v>
      </c>
      <c r="W294" s="2">
        <v>1687</v>
      </c>
      <c r="AG294" s="16"/>
    </row>
    <row r="295" spans="2:33">
      <c r="B295" s="6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1" t="s">
        <v>38</v>
      </c>
      <c r="R295" s="2">
        <v>0</v>
      </c>
      <c r="S295" s="2">
        <v>0</v>
      </c>
      <c r="T295" s="2">
        <v>0</v>
      </c>
      <c r="U295" s="2">
        <v>930</v>
      </c>
      <c r="V295" s="2">
        <v>715</v>
      </c>
      <c r="W295" s="2">
        <v>1245</v>
      </c>
      <c r="AG295" s="16"/>
    </row>
    <row r="296" spans="2:33">
      <c r="B296" s="6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1" t="s">
        <v>255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109</v>
      </c>
      <c r="AG296" s="16"/>
    </row>
    <row r="297" spans="2:33">
      <c r="B297" s="6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1" t="s">
        <v>256</v>
      </c>
      <c r="R297" s="2">
        <v>0</v>
      </c>
      <c r="S297" s="2">
        <v>0</v>
      </c>
      <c r="T297" s="2">
        <v>0</v>
      </c>
      <c r="U297" s="2">
        <v>1434</v>
      </c>
      <c r="V297" s="2">
        <v>1046</v>
      </c>
      <c r="W297" s="2">
        <v>1905</v>
      </c>
      <c r="AG297" s="16"/>
    </row>
    <row r="298" spans="2:33">
      <c r="B298" s="6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1" t="s">
        <v>40</v>
      </c>
      <c r="R298" s="2">
        <v>0</v>
      </c>
      <c r="S298" s="2">
        <v>0</v>
      </c>
      <c r="T298" s="2">
        <v>2923</v>
      </c>
      <c r="U298" s="2">
        <v>2283</v>
      </c>
      <c r="V298" s="2">
        <v>0</v>
      </c>
      <c r="W298" s="2">
        <v>4859</v>
      </c>
      <c r="AG298" s="16"/>
    </row>
    <row r="299" spans="2:33">
      <c r="B299" s="6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1" t="s">
        <v>41</v>
      </c>
      <c r="R299" s="2">
        <v>5103</v>
      </c>
      <c r="S299" s="2">
        <v>3904</v>
      </c>
      <c r="T299" s="2">
        <v>0</v>
      </c>
      <c r="U299" s="2">
        <v>0</v>
      </c>
      <c r="V299" s="2">
        <v>0</v>
      </c>
      <c r="W299" s="2">
        <v>6250</v>
      </c>
      <c r="AG299" s="16"/>
    </row>
    <row r="300" spans="2:33">
      <c r="B300" s="6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1" t="s">
        <v>42</v>
      </c>
      <c r="R300" s="2">
        <v>0</v>
      </c>
      <c r="S300" s="2">
        <v>0</v>
      </c>
      <c r="T300" s="2">
        <v>4455</v>
      </c>
      <c r="U300" s="2">
        <v>3529</v>
      </c>
      <c r="V300" s="2">
        <v>0</v>
      </c>
      <c r="W300" s="2">
        <v>7899</v>
      </c>
      <c r="AG300" s="16"/>
    </row>
    <row r="301" spans="2:33">
      <c r="B301" s="6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1" t="s">
        <v>43</v>
      </c>
      <c r="R301" s="2">
        <v>0</v>
      </c>
      <c r="S301" s="2">
        <v>0</v>
      </c>
      <c r="T301" s="2">
        <v>2680</v>
      </c>
      <c r="U301" s="2">
        <v>2031</v>
      </c>
      <c r="V301" s="2">
        <v>0</v>
      </c>
      <c r="W301" s="2">
        <v>4397</v>
      </c>
      <c r="AG301" s="16"/>
    </row>
    <row r="302" spans="2:33">
      <c r="B302" s="6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1" t="s">
        <v>44</v>
      </c>
      <c r="R302" s="2">
        <v>0</v>
      </c>
      <c r="S302" s="2">
        <v>0</v>
      </c>
      <c r="T302" s="2">
        <v>0</v>
      </c>
      <c r="U302" s="2">
        <v>1132</v>
      </c>
      <c r="V302" s="2">
        <v>899</v>
      </c>
      <c r="W302" s="2">
        <v>1673</v>
      </c>
      <c r="AG302" s="16"/>
    </row>
    <row r="303" spans="2:33">
      <c r="B303" s="6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1" t="s">
        <v>45</v>
      </c>
      <c r="R303" s="2">
        <v>0</v>
      </c>
      <c r="S303" s="2">
        <v>536</v>
      </c>
      <c r="T303" s="2">
        <v>417</v>
      </c>
      <c r="U303" s="2">
        <v>0</v>
      </c>
      <c r="V303" s="2">
        <v>0</v>
      </c>
      <c r="W303" s="2">
        <v>1135</v>
      </c>
      <c r="AG303" s="16"/>
    </row>
    <row r="304" spans="2:33">
      <c r="B304" s="6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1" t="s">
        <v>46</v>
      </c>
      <c r="R304" s="2">
        <v>796</v>
      </c>
      <c r="S304" s="2">
        <v>636</v>
      </c>
      <c r="T304" s="2">
        <v>0</v>
      </c>
      <c r="U304" s="2">
        <v>0</v>
      </c>
      <c r="V304" s="2">
        <v>0</v>
      </c>
      <c r="W304" s="2">
        <v>1126</v>
      </c>
      <c r="AG304" s="16"/>
    </row>
    <row r="305" spans="2:33" ht="15" thickBot="1">
      <c r="B305" s="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1"/>
      <c r="R305" s="2"/>
      <c r="S305" s="2"/>
      <c r="T305" s="2"/>
      <c r="U305" s="2"/>
      <c r="V305" s="2"/>
      <c r="W305" s="2"/>
      <c r="X305" s="15"/>
      <c r="Y305" s="15"/>
      <c r="Z305" s="15"/>
      <c r="AA305" s="15"/>
      <c r="AB305" s="15"/>
      <c r="AC305" s="15"/>
      <c r="AD305" s="15"/>
      <c r="AE305" s="15"/>
      <c r="AF305" s="15"/>
      <c r="AG305" s="17"/>
    </row>
    <row r="306" spans="2:33" ht="15" thickBo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1"/>
      <c r="R306" s="2"/>
      <c r="S306" s="2"/>
      <c r="T306" s="2"/>
      <c r="U306" s="2"/>
      <c r="V306" s="2"/>
      <c r="W306" s="2"/>
    </row>
    <row r="307" spans="2:33" ht="15" thickBot="1">
      <c r="B307" s="33" t="s">
        <v>2196</v>
      </c>
      <c r="C307" s="26" t="s">
        <v>248</v>
      </c>
      <c r="D307" s="26" t="s">
        <v>257</v>
      </c>
      <c r="E307" s="26" t="s">
        <v>258</v>
      </c>
      <c r="F307" s="26" t="s">
        <v>251</v>
      </c>
      <c r="G307" s="26" t="s">
        <v>252</v>
      </c>
      <c r="H307" s="27" t="s">
        <v>253</v>
      </c>
      <c r="I307" s="26" t="s">
        <v>259</v>
      </c>
      <c r="J307" s="27" t="s">
        <v>56</v>
      </c>
      <c r="K307" s="29">
        <v>9.1999998092651403</v>
      </c>
      <c r="L307" s="29">
        <v>9.1999998092651403</v>
      </c>
      <c r="M307" s="29">
        <v>9.1999998092651403</v>
      </c>
      <c r="N307" s="29">
        <v>0</v>
      </c>
      <c r="O307" s="29">
        <v>0</v>
      </c>
      <c r="P307" s="40">
        <v>0</v>
      </c>
      <c r="Q307" s="1" t="s">
        <v>260</v>
      </c>
      <c r="R307" s="2">
        <v>501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43">
        <f>SUM(R307:W318)</f>
        <v>11398</v>
      </c>
      <c r="Y307" s="10">
        <v>46204</v>
      </c>
      <c r="Z307" s="11">
        <v>0.23914913165546237</v>
      </c>
      <c r="AA307" s="11">
        <v>0.16263468186376903</v>
      </c>
      <c r="AB307" s="11">
        <v>0.13490905978116355</v>
      </c>
      <c r="AC307" s="11"/>
      <c r="AD307" s="11"/>
      <c r="AE307" s="11"/>
      <c r="AF307" s="11">
        <v>0.15</v>
      </c>
      <c r="AG307" s="13">
        <v>0.23899999999999999</v>
      </c>
    </row>
    <row r="308" spans="2:33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1" t="s">
        <v>261</v>
      </c>
      <c r="R308" s="2">
        <v>787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14"/>
      <c r="Y308" s="14"/>
      <c r="Z308" s="14"/>
      <c r="AA308" s="14"/>
      <c r="AB308" s="14"/>
      <c r="AC308" s="14"/>
      <c r="AD308" s="14"/>
      <c r="AE308" s="14"/>
      <c r="AF308" s="14"/>
      <c r="AG308" s="16"/>
    </row>
    <row r="309" spans="2:33">
      <c r="B309" s="6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1" t="s">
        <v>262</v>
      </c>
      <c r="R309" s="2">
        <v>582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AG309" s="16"/>
    </row>
    <row r="310" spans="2:33">
      <c r="B310" s="6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1" t="s">
        <v>263</v>
      </c>
      <c r="R310" s="2">
        <v>698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AG310" s="16"/>
    </row>
    <row r="311" spans="2:33">
      <c r="B311" s="6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1" t="s">
        <v>264</v>
      </c>
      <c r="R311" s="2">
        <v>962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AG311" s="16"/>
    </row>
    <row r="312" spans="2:33">
      <c r="B312" s="6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1" t="s">
        <v>265</v>
      </c>
      <c r="R312" s="2">
        <v>1513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AG312" s="16"/>
    </row>
    <row r="313" spans="2:33">
      <c r="B313" s="6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1" t="s">
        <v>266</v>
      </c>
      <c r="R313" s="2">
        <v>2052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AG313" s="16"/>
    </row>
    <row r="314" spans="2:33">
      <c r="B314" s="6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1" t="s">
        <v>267</v>
      </c>
      <c r="R314" s="2">
        <v>1174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AG314" s="16"/>
    </row>
    <row r="315" spans="2:33">
      <c r="B315" s="6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1" t="s">
        <v>85</v>
      </c>
      <c r="R315" s="2">
        <v>759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AG315" s="16"/>
    </row>
    <row r="316" spans="2:33">
      <c r="B316" s="6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1" t="s">
        <v>268</v>
      </c>
      <c r="R316" s="2">
        <v>611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AG316" s="16"/>
    </row>
    <row r="317" spans="2:33">
      <c r="B317" s="6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1" t="s">
        <v>269</v>
      </c>
      <c r="R317" s="2">
        <v>808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AG317" s="16"/>
    </row>
    <row r="318" spans="2:33">
      <c r="B318" s="6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1" t="s">
        <v>270</v>
      </c>
      <c r="R318" s="2">
        <v>951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AG318" s="16"/>
    </row>
    <row r="319" spans="2:33">
      <c r="B319" s="6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2"/>
      <c r="S319" s="2"/>
      <c r="T319" s="2"/>
      <c r="U319" s="2"/>
      <c r="V319" s="2"/>
      <c r="W319" s="2"/>
      <c r="AG319" s="16"/>
    </row>
    <row r="320" spans="2:33" ht="15" thickBot="1">
      <c r="B320" s="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1"/>
      <c r="R320" s="2"/>
      <c r="S320" s="2"/>
      <c r="T320" s="2"/>
      <c r="U320" s="2"/>
      <c r="V320" s="2"/>
      <c r="W320" s="2"/>
      <c r="X320" s="15"/>
      <c r="Y320" s="15"/>
      <c r="Z320" s="15"/>
      <c r="AA320" s="15"/>
      <c r="AB320" s="15"/>
      <c r="AC320" s="15"/>
      <c r="AD320" s="15"/>
      <c r="AE320" s="15"/>
      <c r="AF320" s="15"/>
      <c r="AG320" s="17"/>
    </row>
    <row r="321" spans="2:33" ht="15" thickBo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1"/>
      <c r="R321" s="2"/>
      <c r="S321" s="2"/>
      <c r="T321" s="2"/>
      <c r="U321" s="2"/>
      <c r="V321" s="2"/>
      <c r="W321" s="2"/>
    </row>
    <row r="322" spans="2:33" ht="15" thickBot="1">
      <c r="B322" s="33" t="s">
        <v>2196</v>
      </c>
      <c r="C322" s="26" t="s">
        <v>248</v>
      </c>
      <c r="D322" s="26" t="s">
        <v>271</v>
      </c>
      <c r="E322" s="26" t="s">
        <v>272</v>
      </c>
      <c r="F322" s="26" t="s">
        <v>251</v>
      </c>
      <c r="G322" s="26" t="s">
        <v>252</v>
      </c>
      <c r="H322" s="27" t="s">
        <v>253</v>
      </c>
      <c r="I322" s="26" t="s">
        <v>273</v>
      </c>
      <c r="J322" s="27" t="s">
        <v>56</v>
      </c>
      <c r="K322" s="29">
        <v>9.1999998092651403</v>
      </c>
      <c r="L322" s="29">
        <v>9.1999998092651403</v>
      </c>
      <c r="M322" s="29">
        <v>9.1999998092651403</v>
      </c>
      <c r="N322" s="29">
        <v>0</v>
      </c>
      <c r="O322" s="29">
        <v>0</v>
      </c>
      <c r="P322" s="40">
        <v>0</v>
      </c>
      <c r="Q322" s="1" t="s">
        <v>274</v>
      </c>
      <c r="R322" s="2">
        <v>126</v>
      </c>
      <c r="S322" s="2">
        <v>139</v>
      </c>
      <c r="T322" s="2">
        <v>193</v>
      </c>
      <c r="U322" s="2">
        <v>0</v>
      </c>
      <c r="V322" s="2">
        <v>0</v>
      </c>
      <c r="W322" s="2">
        <v>0</v>
      </c>
      <c r="X322" s="43">
        <f>SUM(R322:W329)</f>
        <v>5119</v>
      </c>
      <c r="Y322" s="10">
        <v>46204</v>
      </c>
      <c r="Z322" s="11">
        <v>0.23914913165546237</v>
      </c>
      <c r="AA322" s="11">
        <v>0.16263468186376903</v>
      </c>
      <c r="AB322" s="11">
        <v>0.13490905978116355</v>
      </c>
      <c r="AC322" s="11"/>
      <c r="AD322" s="11"/>
      <c r="AE322" s="11"/>
      <c r="AF322" s="11">
        <v>0.15</v>
      </c>
      <c r="AG322" s="13">
        <v>0.23899999999999999</v>
      </c>
    </row>
    <row r="323" spans="2:33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1" t="s">
        <v>275</v>
      </c>
      <c r="R323" s="2">
        <v>107</v>
      </c>
      <c r="S323" s="2">
        <v>135</v>
      </c>
      <c r="T323" s="2">
        <v>156</v>
      </c>
      <c r="U323" s="2">
        <v>0</v>
      </c>
      <c r="V323" s="2">
        <v>0</v>
      </c>
      <c r="W323" s="2">
        <v>0</v>
      </c>
      <c r="X323" s="14"/>
      <c r="Y323" s="14"/>
      <c r="Z323" s="14"/>
      <c r="AA323" s="14"/>
      <c r="AB323" s="14"/>
      <c r="AC323" s="14"/>
      <c r="AD323" s="14"/>
      <c r="AE323" s="14"/>
      <c r="AF323" s="14"/>
      <c r="AG323" s="16"/>
    </row>
    <row r="324" spans="2:33">
      <c r="B324" s="6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1" t="s">
        <v>262</v>
      </c>
      <c r="R324" s="2">
        <v>80</v>
      </c>
      <c r="S324" s="2">
        <v>86</v>
      </c>
      <c r="T324" s="2">
        <v>149</v>
      </c>
      <c r="U324" s="2">
        <v>0</v>
      </c>
      <c r="V324" s="2">
        <v>0</v>
      </c>
      <c r="W324" s="2">
        <v>0</v>
      </c>
      <c r="AG324" s="16"/>
    </row>
    <row r="325" spans="2:33">
      <c r="B325" s="6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1" t="s">
        <v>276</v>
      </c>
      <c r="R325" s="2">
        <v>34</v>
      </c>
      <c r="S325" s="2">
        <v>49</v>
      </c>
      <c r="T325" s="2">
        <v>79</v>
      </c>
      <c r="U325" s="2">
        <v>0</v>
      </c>
      <c r="V325" s="2">
        <v>0</v>
      </c>
      <c r="W325" s="2">
        <v>0</v>
      </c>
      <c r="AG325" s="16"/>
    </row>
    <row r="326" spans="2:33">
      <c r="B326" s="6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1" t="s">
        <v>277</v>
      </c>
      <c r="R326" s="2">
        <v>250</v>
      </c>
      <c r="S326" s="2">
        <v>247</v>
      </c>
      <c r="T326" s="2">
        <v>425</v>
      </c>
      <c r="U326" s="2">
        <v>0</v>
      </c>
      <c r="V326" s="2">
        <v>0</v>
      </c>
      <c r="W326" s="2">
        <v>0</v>
      </c>
      <c r="AG326" s="16"/>
    </row>
    <row r="327" spans="2:33">
      <c r="B327" s="6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1" t="s">
        <v>278</v>
      </c>
      <c r="R327" s="2">
        <v>333</v>
      </c>
      <c r="S327" s="2">
        <v>298</v>
      </c>
      <c r="T327" s="2">
        <v>513</v>
      </c>
      <c r="U327" s="2">
        <v>0</v>
      </c>
      <c r="V327" s="2">
        <v>0</v>
      </c>
      <c r="W327" s="2">
        <v>0</v>
      </c>
      <c r="AG327" s="16"/>
    </row>
    <row r="328" spans="2:33">
      <c r="B328" s="6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1" t="s">
        <v>279</v>
      </c>
      <c r="R328" s="2">
        <v>192</v>
      </c>
      <c r="S328" s="2">
        <v>166</v>
      </c>
      <c r="T328" s="2">
        <v>355</v>
      </c>
      <c r="U328" s="2">
        <v>0</v>
      </c>
      <c r="V328" s="2">
        <v>0</v>
      </c>
      <c r="W328" s="2">
        <v>0</v>
      </c>
      <c r="AG328" s="16"/>
    </row>
    <row r="329" spans="2:33">
      <c r="B329" s="6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1" t="s">
        <v>280</v>
      </c>
      <c r="R329" s="2">
        <v>234</v>
      </c>
      <c r="S329" s="2">
        <v>239</v>
      </c>
      <c r="T329" s="2">
        <v>534</v>
      </c>
      <c r="U329" s="2">
        <v>0</v>
      </c>
      <c r="V329" s="2">
        <v>0</v>
      </c>
      <c r="W329" s="2">
        <v>0</v>
      </c>
      <c r="AG329" s="16"/>
    </row>
    <row r="330" spans="2:33">
      <c r="B330" s="6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1"/>
      <c r="R330" s="2"/>
      <c r="S330" s="2"/>
      <c r="T330" s="2"/>
      <c r="U330" s="2"/>
      <c r="V330" s="2"/>
      <c r="W330" s="2"/>
      <c r="AG330" s="16"/>
    </row>
    <row r="331" spans="2:33">
      <c r="B331" s="6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1"/>
      <c r="R331" s="2"/>
      <c r="S331" s="2"/>
      <c r="T331" s="2"/>
      <c r="U331" s="2"/>
      <c r="V331" s="2"/>
      <c r="W331" s="2"/>
      <c r="AG331" s="16"/>
    </row>
    <row r="332" spans="2:33">
      <c r="B332" s="6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1"/>
      <c r="R332" s="2"/>
      <c r="S332" s="2"/>
      <c r="T332" s="2"/>
      <c r="U332" s="2"/>
      <c r="V332" s="2"/>
      <c r="W332" s="2"/>
      <c r="AG332" s="16"/>
    </row>
    <row r="333" spans="2:33">
      <c r="B333" s="6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1"/>
      <c r="R333" s="2"/>
      <c r="S333" s="2"/>
      <c r="T333" s="2"/>
      <c r="U333" s="2"/>
      <c r="V333" s="2"/>
      <c r="W333" s="2"/>
      <c r="AG333" s="16"/>
    </row>
    <row r="334" spans="2:33">
      <c r="B334" s="6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1"/>
      <c r="R334" s="2"/>
      <c r="S334" s="2"/>
      <c r="T334" s="2"/>
      <c r="U334" s="2"/>
      <c r="V334" s="2"/>
      <c r="W334" s="2"/>
      <c r="AG334" s="16"/>
    </row>
    <row r="335" spans="2:33" ht="15" thickBot="1"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1"/>
      <c r="R335" s="2"/>
      <c r="S335" s="2"/>
      <c r="T335" s="2"/>
      <c r="U335" s="2"/>
      <c r="V335" s="2"/>
      <c r="W335" s="2"/>
      <c r="X335" s="15"/>
      <c r="Y335" s="15"/>
      <c r="Z335" s="15"/>
      <c r="AA335" s="15"/>
      <c r="AB335" s="15"/>
      <c r="AC335" s="15"/>
      <c r="AD335" s="15"/>
      <c r="AE335" s="15"/>
      <c r="AF335" s="15"/>
      <c r="AG335" s="17"/>
    </row>
    <row r="336" spans="2:33" ht="15" thickBo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1"/>
      <c r="R336" s="2"/>
      <c r="S336" s="2"/>
      <c r="T336" s="2"/>
      <c r="U336" s="2"/>
      <c r="V336" s="2"/>
      <c r="W336" s="2"/>
    </row>
    <row r="337" spans="2:33" ht="15" thickBot="1">
      <c r="B337" s="33" t="s">
        <v>2196</v>
      </c>
      <c r="C337" s="26" t="s">
        <v>248</v>
      </c>
      <c r="D337" s="26" t="s">
        <v>281</v>
      </c>
      <c r="E337" s="26" t="s">
        <v>282</v>
      </c>
      <c r="F337" s="26" t="s">
        <v>251</v>
      </c>
      <c r="G337" s="26" t="s">
        <v>252</v>
      </c>
      <c r="H337" s="27" t="s">
        <v>253</v>
      </c>
      <c r="I337" s="26" t="s">
        <v>283</v>
      </c>
      <c r="J337" s="27" t="s">
        <v>56</v>
      </c>
      <c r="K337" s="29">
        <v>9.1999998092651403</v>
      </c>
      <c r="L337" s="29">
        <v>9.1999998092651403</v>
      </c>
      <c r="M337" s="29">
        <v>9.1999998092651403</v>
      </c>
      <c r="N337" s="29">
        <v>0</v>
      </c>
      <c r="O337" s="29">
        <v>0</v>
      </c>
      <c r="P337" s="40">
        <v>0</v>
      </c>
      <c r="Q337" s="1" t="s">
        <v>274</v>
      </c>
      <c r="R337" s="2">
        <v>192</v>
      </c>
      <c r="S337" s="2">
        <v>191</v>
      </c>
      <c r="T337" s="2">
        <v>495</v>
      </c>
      <c r="U337" s="2">
        <v>0</v>
      </c>
      <c r="V337" s="2">
        <v>0</v>
      </c>
      <c r="W337" s="2">
        <v>0</v>
      </c>
      <c r="X337" s="43">
        <f>SUM(R337:W344)</f>
        <v>7556</v>
      </c>
      <c r="Y337" s="10">
        <v>46204</v>
      </c>
      <c r="Z337" s="11">
        <v>0.23914913165546237</v>
      </c>
      <c r="AA337" s="11">
        <v>0.16263468186376903</v>
      </c>
      <c r="AB337" s="11">
        <v>0.13490905978116355</v>
      </c>
      <c r="AC337" s="11"/>
      <c r="AD337" s="11"/>
      <c r="AE337" s="11"/>
      <c r="AF337" s="11">
        <v>0.15</v>
      </c>
      <c r="AG337" s="13">
        <v>0.23899999999999999</v>
      </c>
    </row>
    <row r="338" spans="2:33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1" t="s">
        <v>275</v>
      </c>
      <c r="R338" s="2">
        <v>181</v>
      </c>
      <c r="S338" s="2">
        <v>171</v>
      </c>
      <c r="T338" s="2">
        <v>334</v>
      </c>
      <c r="U338" s="2">
        <v>0</v>
      </c>
      <c r="V338" s="2">
        <v>0</v>
      </c>
      <c r="W338" s="2">
        <v>0</v>
      </c>
      <c r="X338" s="14"/>
      <c r="Y338" s="14"/>
      <c r="Z338" s="14"/>
      <c r="AA338" s="14"/>
      <c r="AB338" s="14"/>
      <c r="AC338" s="14"/>
      <c r="AD338" s="14"/>
      <c r="AE338" s="14"/>
      <c r="AF338" s="14"/>
      <c r="AG338" s="16"/>
    </row>
    <row r="339" spans="2:33">
      <c r="B339" s="6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1" t="s">
        <v>262</v>
      </c>
      <c r="R339" s="2">
        <v>83</v>
      </c>
      <c r="S339" s="2">
        <v>46</v>
      </c>
      <c r="T339" s="2">
        <v>186</v>
      </c>
      <c r="U339" s="2">
        <v>0</v>
      </c>
      <c r="V339" s="2">
        <v>0</v>
      </c>
      <c r="W339" s="2">
        <v>0</v>
      </c>
      <c r="AG339" s="16"/>
    </row>
    <row r="340" spans="2:33">
      <c r="B340" s="6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1" t="s">
        <v>276</v>
      </c>
      <c r="R340" s="2">
        <v>40</v>
      </c>
      <c r="S340" s="2">
        <v>30</v>
      </c>
      <c r="T340" s="2">
        <v>73</v>
      </c>
      <c r="U340" s="2">
        <v>0</v>
      </c>
      <c r="V340" s="2">
        <v>0</v>
      </c>
      <c r="W340" s="2">
        <v>0</v>
      </c>
      <c r="AG340" s="16"/>
    </row>
    <row r="341" spans="2:33">
      <c r="B341" s="6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1" t="s">
        <v>277</v>
      </c>
      <c r="R341" s="2">
        <v>370</v>
      </c>
      <c r="S341" s="2">
        <v>378</v>
      </c>
      <c r="T341" s="2">
        <v>767</v>
      </c>
      <c r="U341" s="2">
        <v>0</v>
      </c>
      <c r="V341" s="2">
        <v>0</v>
      </c>
      <c r="W341" s="2">
        <v>0</v>
      </c>
      <c r="AG341" s="16"/>
    </row>
    <row r="342" spans="2:33">
      <c r="B342" s="6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1" t="s">
        <v>278</v>
      </c>
      <c r="R342" s="2">
        <v>469</v>
      </c>
      <c r="S342" s="2">
        <v>452</v>
      </c>
      <c r="T342" s="2">
        <v>694</v>
      </c>
      <c r="U342" s="2">
        <v>0</v>
      </c>
      <c r="V342" s="2">
        <v>0</v>
      </c>
      <c r="W342" s="2">
        <v>0</v>
      </c>
      <c r="AG342" s="16"/>
    </row>
    <row r="343" spans="2:33">
      <c r="B343" s="6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1" t="s">
        <v>279</v>
      </c>
      <c r="R343" s="2">
        <v>236</v>
      </c>
      <c r="S343" s="2">
        <v>200</v>
      </c>
      <c r="T343" s="2">
        <v>367</v>
      </c>
      <c r="U343" s="2">
        <v>0</v>
      </c>
      <c r="V343" s="2">
        <v>0</v>
      </c>
      <c r="W343" s="2">
        <v>0</v>
      </c>
      <c r="AG343" s="16"/>
    </row>
    <row r="344" spans="2:33">
      <c r="B344" s="6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1" t="s">
        <v>280</v>
      </c>
      <c r="R344" s="2">
        <v>396</v>
      </c>
      <c r="S344" s="2">
        <v>341</v>
      </c>
      <c r="T344" s="2">
        <v>864</v>
      </c>
      <c r="U344" s="2">
        <v>0</v>
      </c>
      <c r="V344" s="2">
        <v>0</v>
      </c>
      <c r="W344" s="2">
        <v>0</v>
      </c>
      <c r="AG344" s="16"/>
    </row>
    <row r="345" spans="2:33">
      <c r="B345" s="6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1"/>
      <c r="R345" s="2"/>
      <c r="S345" s="2"/>
      <c r="T345" s="2"/>
      <c r="U345" s="2"/>
      <c r="V345" s="2"/>
      <c r="W345" s="2"/>
      <c r="AG345" s="16"/>
    </row>
    <row r="346" spans="2:33">
      <c r="B346" s="6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1"/>
      <c r="R346" s="2"/>
      <c r="S346" s="2"/>
      <c r="T346" s="2"/>
      <c r="U346" s="2"/>
      <c r="V346" s="2"/>
      <c r="W346" s="2"/>
      <c r="AG346" s="16"/>
    </row>
    <row r="347" spans="2:33">
      <c r="B347" s="6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1"/>
      <c r="R347" s="2"/>
      <c r="S347" s="2"/>
      <c r="T347" s="2"/>
      <c r="U347" s="2"/>
      <c r="V347" s="2"/>
      <c r="W347" s="2"/>
      <c r="AG347" s="16"/>
    </row>
    <row r="348" spans="2:33">
      <c r="B348" s="6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1"/>
      <c r="R348" s="2"/>
      <c r="S348" s="2"/>
      <c r="T348" s="2"/>
      <c r="U348" s="2"/>
      <c r="V348" s="2"/>
      <c r="W348" s="2"/>
      <c r="AG348" s="16"/>
    </row>
    <row r="349" spans="2:33">
      <c r="B349" s="6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1"/>
      <c r="R349" s="2"/>
      <c r="S349" s="2"/>
      <c r="T349" s="2"/>
      <c r="U349" s="2"/>
      <c r="V349" s="2"/>
      <c r="W349" s="2"/>
      <c r="AG349" s="16"/>
    </row>
    <row r="350" spans="2:33" ht="15" thickBot="1">
      <c r="B350" s="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1"/>
      <c r="R350" s="2"/>
      <c r="S350" s="2"/>
      <c r="T350" s="2"/>
      <c r="U350" s="2"/>
      <c r="V350" s="2"/>
      <c r="W350" s="2"/>
      <c r="X350" s="15"/>
      <c r="Y350" s="15"/>
      <c r="Z350" s="15"/>
      <c r="AA350" s="15"/>
      <c r="AB350" s="15"/>
      <c r="AC350" s="15"/>
      <c r="AD350" s="15"/>
      <c r="AE350" s="15"/>
      <c r="AF350" s="15"/>
      <c r="AG350" s="17"/>
    </row>
    <row r="351" spans="2:33" ht="15" thickBo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1"/>
      <c r="R351" s="2"/>
      <c r="S351" s="2"/>
      <c r="T351" s="2"/>
      <c r="U351" s="2"/>
      <c r="V351" s="2"/>
      <c r="W351" s="2"/>
    </row>
    <row r="352" spans="2:33" ht="15" thickBot="1">
      <c r="B352" s="33" t="s">
        <v>2196</v>
      </c>
      <c r="C352" s="26" t="s">
        <v>248</v>
      </c>
      <c r="D352" s="26" t="s">
        <v>284</v>
      </c>
      <c r="E352" s="26" t="s">
        <v>285</v>
      </c>
      <c r="F352" s="26" t="s">
        <v>251</v>
      </c>
      <c r="G352" s="26" t="s">
        <v>252</v>
      </c>
      <c r="H352" s="27" t="s">
        <v>253</v>
      </c>
      <c r="I352" s="26" t="s">
        <v>286</v>
      </c>
      <c r="J352" s="27" t="s">
        <v>56</v>
      </c>
      <c r="K352" s="29">
        <v>9.1999998092651403</v>
      </c>
      <c r="L352" s="29">
        <v>9.1999998092651403</v>
      </c>
      <c r="M352" s="29">
        <v>9.1999998092651403</v>
      </c>
      <c r="N352" s="29">
        <v>0</v>
      </c>
      <c r="O352" s="29">
        <v>0</v>
      </c>
      <c r="P352" s="40">
        <v>0</v>
      </c>
      <c r="Q352" s="1" t="s">
        <v>274</v>
      </c>
      <c r="R352" s="2">
        <v>44</v>
      </c>
      <c r="S352" s="2">
        <v>52</v>
      </c>
      <c r="T352" s="2">
        <v>181</v>
      </c>
      <c r="U352" s="2">
        <v>0</v>
      </c>
      <c r="V352" s="2">
        <v>0</v>
      </c>
      <c r="W352" s="2">
        <v>0</v>
      </c>
      <c r="X352" s="43">
        <f>SUM(R352:W364)</f>
        <v>3478</v>
      </c>
      <c r="Y352" s="10">
        <v>46204</v>
      </c>
      <c r="Z352" s="11">
        <v>0.23914913165546237</v>
      </c>
      <c r="AA352" s="11">
        <v>0.16263468186376903</v>
      </c>
      <c r="AB352" s="11">
        <v>0.13490905978116355</v>
      </c>
      <c r="AC352" s="11"/>
      <c r="AD352" s="11"/>
      <c r="AE352" s="11"/>
      <c r="AF352" s="11">
        <v>0.15</v>
      </c>
      <c r="AG352" s="13">
        <v>0.23899999999999999</v>
      </c>
    </row>
    <row r="353" spans="2:33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1" t="s">
        <v>275</v>
      </c>
      <c r="R353" s="2">
        <v>66</v>
      </c>
      <c r="S353" s="2">
        <v>49</v>
      </c>
      <c r="T353" s="2">
        <v>128</v>
      </c>
      <c r="U353" s="2">
        <v>0</v>
      </c>
      <c r="V353" s="2">
        <v>0</v>
      </c>
      <c r="W353" s="2">
        <v>0</v>
      </c>
      <c r="X353" s="14"/>
      <c r="Y353" s="14"/>
      <c r="Z353" s="14"/>
      <c r="AA353" s="14"/>
      <c r="AB353" s="14"/>
      <c r="AC353" s="14"/>
      <c r="AD353" s="14"/>
      <c r="AE353" s="14"/>
      <c r="AF353" s="14"/>
      <c r="AG353" s="16"/>
    </row>
    <row r="354" spans="2:33"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1" t="s">
        <v>262</v>
      </c>
      <c r="R354" s="2">
        <v>69</v>
      </c>
      <c r="S354" s="2">
        <v>48</v>
      </c>
      <c r="T354" s="2">
        <v>108</v>
      </c>
      <c r="U354" s="2">
        <v>0</v>
      </c>
      <c r="V354" s="2">
        <v>0</v>
      </c>
      <c r="W354" s="2">
        <v>0</v>
      </c>
      <c r="AG354" s="16"/>
    </row>
    <row r="355" spans="2:33"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1" t="s">
        <v>287</v>
      </c>
      <c r="R355" s="2">
        <v>31</v>
      </c>
      <c r="S355" s="2">
        <v>35</v>
      </c>
      <c r="T355" s="2">
        <v>65</v>
      </c>
      <c r="U355" s="2">
        <v>0</v>
      </c>
      <c r="V355" s="2">
        <v>0</v>
      </c>
      <c r="W355" s="2">
        <v>0</v>
      </c>
      <c r="AG355" s="16"/>
    </row>
    <row r="356" spans="2:33"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1" t="s">
        <v>288</v>
      </c>
      <c r="R356" s="2">
        <v>6</v>
      </c>
      <c r="S356" s="2">
        <v>7</v>
      </c>
      <c r="T356" s="2">
        <v>8</v>
      </c>
      <c r="U356" s="2">
        <v>0</v>
      </c>
      <c r="V356" s="2">
        <v>0</v>
      </c>
      <c r="W356" s="2">
        <v>0</v>
      </c>
      <c r="AG356" s="16"/>
    </row>
    <row r="357" spans="2:33"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1" t="s">
        <v>289</v>
      </c>
      <c r="R357" s="2">
        <v>56</v>
      </c>
      <c r="S357" s="2">
        <v>73</v>
      </c>
      <c r="T357" s="2">
        <v>86</v>
      </c>
      <c r="U357" s="2">
        <v>0</v>
      </c>
      <c r="V357" s="2">
        <v>0</v>
      </c>
      <c r="W357" s="2">
        <v>0</v>
      </c>
      <c r="AG357" s="16"/>
    </row>
    <row r="358" spans="2:33">
      <c r="B358" s="6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1" t="s">
        <v>290</v>
      </c>
      <c r="R358" s="2">
        <v>157</v>
      </c>
      <c r="S358" s="2">
        <v>116</v>
      </c>
      <c r="T358" s="2">
        <v>223</v>
      </c>
      <c r="U358" s="2">
        <v>0</v>
      </c>
      <c r="V358" s="2">
        <v>0</v>
      </c>
      <c r="W358" s="2">
        <v>0</v>
      </c>
      <c r="AG358" s="16"/>
    </row>
    <row r="359" spans="2:33">
      <c r="B359" s="6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1" t="s">
        <v>291</v>
      </c>
      <c r="R359" s="2">
        <v>152</v>
      </c>
      <c r="S359" s="2">
        <v>162</v>
      </c>
      <c r="T359" s="2">
        <v>281</v>
      </c>
      <c r="U359" s="2">
        <v>0</v>
      </c>
      <c r="V359" s="2">
        <v>0</v>
      </c>
      <c r="W359" s="2">
        <v>0</v>
      </c>
      <c r="AG359" s="16"/>
    </row>
    <row r="360" spans="2:33">
      <c r="B360" s="6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1" t="s">
        <v>292</v>
      </c>
      <c r="R360" s="2">
        <v>106</v>
      </c>
      <c r="S360" s="2">
        <v>106</v>
      </c>
      <c r="T360" s="2">
        <v>128</v>
      </c>
      <c r="U360" s="2">
        <v>0</v>
      </c>
      <c r="V360" s="2">
        <v>0</v>
      </c>
      <c r="W360" s="2">
        <v>0</v>
      </c>
      <c r="AG360" s="16"/>
    </row>
    <row r="361" spans="2:33">
      <c r="B361" s="6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1" t="s">
        <v>293</v>
      </c>
      <c r="R361" s="2">
        <v>107</v>
      </c>
      <c r="S361" s="2">
        <v>112</v>
      </c>
      <c r="T361" s="2">
        <v>165</v>
      </c>
      <c r="U361" s="2">
        <v>0</v>
      </c>
      <c r="V361" s="2">
        <v>0</v>
      </c>
      <c r="W361" s="2">
        <v>0</v>
      </c>
      <c r="AG361" s="16"/>
    </row>
    <row r="362" spans="2:33">
      <c r="B362" s="6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1" t="s">
        <v>268</v>
      </c>
      <c r="R362" s="2">
        <v>34</v>
      </c>
      <c r="S362" s="2">
        <v>35</v>
      </c>
      <c r="T362" s="2">
        <v>76</v>
      </c>
      <c r="U362" s="2">
        <v>0</v>
      </c>
      <c r="V362" s="2">
        <v>0</v>
      </c>
      <c r="W362" s="2">
        <v>0</v>
      </c>
      <c r="AG362" s="16"/>
    </row>
    <row r="363" spans="2:33">
      <c r="B363" s="6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1" t="s">
        <v>269</v>
      </c>
      <c r="R363" s="2">
        <v>40</v>
      </c>
      <c r="S363" s="2">
        <v>31</v>
      </c>
      <c r="T363" s="2">
        <v>93</v>
      </c>
      <c r="U363" s="2">
        <v>0</v>
      </c>
      <c r="V363" s="2">
        <v>0</v>
      </c>
      <c r="W363" s="2">
        <v>0</v>
      </c>
      <c r="AG363" s="16"/>
    </row>
    <row r="364" spans="2:33">
      <c r="B364" s="6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1" t="s">
        <v>294</v>
      </c>
      <c r="R364" s="2">
        <v>50</v>
      </c>
      <c r="S364" s="2">
        <v>45</v>
      </c>
      <c r="T364" s="2">
        <v>147</v>
      </c>
      <c r="U364" s="2">
        <v>0</v>
      </c>
      <c r="V364" s="2">
        <v>0</v>
      </c>
      <c r="W364" s="2">
        <v>0</v>
      </c>
      <c r="AG364" s="16"/>
    </row>
    <row r="365" spans="2:33" ht="15" thickBot="1">
      <c r="B365" s="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1"/>
      <c r="R365" s="2"/>
      <c r="S365" s="2"/>
      <c r="T365" s="2"/>
      <c r="U365" s="2"/>
      <c r="V365" s="2"/>
      <c r="W365" s="2"/>
      <c r="X365" s="15"/>
      <c r="Y365" s="15"/>
      <c r="Z365" s="15"/>
      <c r="AA365" s="15"/>
      <c r="AB365" s="15"/>
      <c r="AC365" s="15"/>
      <c r="AD365" s="15"/>
      <c r="AE365" s="15"/>
      <c r="AF365" s="15"/>
      <c r="AG365" s="17"/>
    </row>
    <row r="366" spans="2:33" ht="15" thickBo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1"/>
      <c r="R366" s="2"/>
      <c r="S366" s="2"/>
      <c r="T366" s="2"/>
      <c r="U366" s="2"/>
      <c r="V366" s="2"/>
      <c r="W366" s="2"/>
    </row>
    <row r="367" spans="2:33" ht="15" thickBot="1">
      <c r="B367" s="33" t="s">
        <v>2196</v>
      </c>
      <c r="C367" s="26" t="s">
        <v>248</v>
      </c>
      <c r="D367" s="26" t="s">
        <v>295</v>
      </c>
      <c r="E367" s="26" t="s">
        <v>296</v>
      </c>
      <c r="F367" s="26" t="s">
        <v>251</v>
      </c>
      <c r="G367" s="26" t="s">
        <v>252</v>
      </c>
      <c r="H367" s="27" t="s">
        <v>253</v>
      </c>
      <c r="I367" s="26" t="s">
        <v>297</v>
      </c>
      <c r="J367" s="27" t="s">
        <v>56</v>
      </c>
      <c r="K367" s="29">
        <v>9.1999998092651403</v>
      </c>
      <c r="L367" s="29">
        <v>9.1999998092651403</v>
      </c>
      <c r="M367" s="29">
        <v>9.1999998092651403</v>
      </c>
      <c r="N367" s="29">
        <v>0</v>
      </c>
      <c r="O367" s="29">
        <v>0</v>
      </c>
      <c r="P367" s="40">
        <v>0</v>
      </c>
      <c r="Q367" s="1" t="s">
        <v>274</v>
      </c>
      <c r="R367" s="2">
        <v>122</v>
      </c>
      <c r="S367" s="2">
        <v>109</v>
      </c>
      <c r="T367" s="2">
        <v>166</v>
      </c>
      <c r="U367" s="2">
        <v>0</v>
      </c>
      <c r="V367" s="2">
        <v>0</v>
      </c>
      <c r="W367" s="2">
        <v>0</v>
      </c>
      <c r="X367" s="43">
        <f>SUM(R367:W379)</f>
        <v>5280</v>
      </c>
      <c r="Y367" s="10">
        <v>46204</v>
      </c>
      <c r="Z367" s="11">
        <v>0.23914913165546237</v>
      </c>
      <c r="AA367" s="11">
        <v>0.16263468186376903</v>
      </c>
      <c r="AB367" s="11">
        <v>0.13490905978116355</v>
      </c>
      <c r="AC367" s="11"/>
      <c r="AD367" s="11"/>
      <c r="AE367" s="11"/>
      <c r="AF367" s="11">
        <v>0.15</v>
      </c>
      <c r="AG367" s="13">
        <v>0.23899999999999999</v>
      </c>
    </row>
    <row r="368" spans="2:33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1" t="s">
        <v>275</v>
      </c>
      <c r="R368" s="2">
        <v>136</v>
      </c>
      <c r="S368" s="2">
        <v>116</v>
      </c>
      <c r="T368" s="2">
        <v>268</v>
      </c>
      <c r="U368" s="2">
        <v>0</v>
      </c>
      <c r="V368" s="2">
        <v>0</v>
      </c>
      <c r="W368" s="2">
        <v>0</v>
      </c>
      <c r="X368" s="14"/>
      <c r="Y368" s="14"/>
      <c r="Z368" s="14"/>
      <c r="AA368" s="14"/>
      <c r="AB368" s="14"/>
      <c r="AC368" s="14"/>
      <c r="AD368" s="14"/>
      <c r="AE368" s="14"/>
      <c r="AF368" s="14"/>
      <c r="AG368" s="16"/>
    </row>
    <row r="369" spans="2:33">
      <c r="B369" s="6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1" t="s">
        <v>262</v>
      </c>
      <c r="R369" s="2">
        <v>65</v>
      </c>
      <c r="S369" s="2">
        <v>68</v>
      </c>
      <c r="T369" s="2">
        <v>150</v>
      </c>
      <c r="U369" s="2">
        <v>0</v>
      </c>
      <c r="V369" s="2">
        <v>0</v>
      </c>
      <c r="W369" s="2">
        <v>0</v>
      </c>
      <c r="AG369" s="16"/>
    </row>
    <row r="370" spans="2:33">
      <c r="B370" s="6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1" t="s">
        <v>287</v>
      </c>
      <c r="R370" s="2">
        <v>56</v>
      </c>
      <c r="S370" s="2">
        <v>39</v>
      </c>
      <c r="T370" s="2">
        <v>120</v>
      </c>
      <c r="U370" s="2">
        <v>0</v>
      </c>
      <c r="V370" s="2">
        <v>0</v>
      </c>
      <c r="W370" s="2">
        <v>0</v>
      </c>
      <c r="AG370" s="16"/>
    </row>
    <row r="371" spans="2:33">
      <c r="B371" s="6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1" t="s">
        <v>288</v>
      </c>
      <c r="R371" s="2">
        <v>17</v>
      </c>
      <c r="S371" s="2">
        <v>11</v>
      </c>
      <c r="T371" s="2">
        <v>39</v>
      </c>
      <c r="U371" s="2">
        <v>0</v>
      </c>
      <c r="V371" s="2">
        <v>0</v>
      </c>
      <c r="W371" s="2">
        <v>0</v>
      </c>
      <c r="AG371" s="16"/>
    </row>
    <row r="372" spans="2:33">
      <c r="B372" s="6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1" t="s">
        <v>289</v>
      </c>
      <c r="R372" s="2">
        <v>53</v>
      </c>
      <c r="S372" s="2">
        <v>65</v>
      </c>
      <c r="T372" s="2">
        <v>93</v>
      </c>
      <c r="U372" s="2">
        <v>0</v>
      </c>
      <c r="V372" s="2">
        <v>0</v>
      </c>
      <c r="W372" s="2">
        <v>0</v>
      </c>
      <c r="AG372" s="16"/>
    </row>
    <row r="373" spans="2:33">
      <c r="B373" s="6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1" t="s">
        <v>290</v>
      </c>
      <c r="R373" s="2">
        <v>175</v>
      </c>
      <c r="S373" s="2">
        <v>174</v>
      </c>
      <c r="T373" s="2">
        <v>325</v>
      </c>
      <c r="U373" s="2">
        <v>0</v>
      </c>
      <c r="V373" s="2">
        <v>0</v>
      </c>
      <c r="W373" s="2">
        <v>0</v>
      </c>
      <c r="AG373" s="16"/>
    </row>
    <row r="374" spans="2:33">
      <c r="B374" s="6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1" t="s">
        <v>291</v>
      </c>
      <c r="R374" s="2">
        <v>283</v>
      </c>
      <c r="S374" s="2">
        <v>235</v>
      </c>
      <c r="T374" s="2">
        <v>383</v>
      </c>
      <c r="U374" s="2">
        <v>0</v>
      </c>
      <c r="V374" s="2">
        <v>0</v>
      </c>
      <c r="W374" s="2">
        <v>0</v>
      </c>
      <c r="AG374" s="16"/>
    </row>
    <row r="375" spans="2:33">
      <c r="B375" s="6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1" t="s">
        <v>292</v>
      </c>
      <c r="R375" s="2">
        <v>290</v>
      </c>
      <c r="S375" s="2">
        <v>232</v>
      </c>
      <c r="T375" s="2">
        <v>118</v>
      </c>
      <c r="U375" s="2">
        <v>0</v>
      </c>
      <c r="V375" s="2">
        <v>0</v>
      </c>
      <c r="W375" s="2">
        <v>0</v>
      </c>
      <c r="AG375" s="16"/>
    </row>
    <row r="376" spans="2:33">
      <c r="B376" s="6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1" t="s">
        <v>293</v>
      </c>
      <c r="R376" s="2">
        <v>119</v>
      </c>
      <c r="S376" s="2">
        <v>126</v>
      </c>
      <c r="T376" s="2">
        <v>208</v>
      </c>
      <c r="U376" s="2">
        <v>0</v>
      </c>
      <c r="V376" s="2">
        <v>0</v>
      </c>
      <c r="W376" s="2">
        <v>0</v>
      </c>
      <c r="AG376" s="16"/>
    </row>
    <row r="377" spans="2:33">
      <c r="B377" s="6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1" t="s">
        <v>268</v>
      </c>
      <c r="R377" s="2">
        <v>82</v>
      </c>
      <c r="S377" s="2">
        <v>98</v>
      </c>
      <c r="T377" s="2">
        <v>104</v>
      </c>
      <c r="U377" s="2">
        <v>0</v>
      </c>
      <c r="V377" s="2">
        <v>0</v>
      </c>
      <c r="W377" s="2">
        <v>0</v>
      </c>
      <c r="AG377" s="16"/>
    </row>
    <row r="378" spans="2:33">
      <c r="B378" s="6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1" t="s">
        <v>269</v>
      </c>
      <c r="R378" s="2">
        <v>60</v>
      </c>
      <c r="S378" s="2">
        <v>53</v>
      </c>
      <c r="T378" s="2">
        <v>196</v>
      </c>
      <c r="U378" s="2">
        <v>0</v>
      </c>
      <c r="V378" s="2">
        <v>0</v>
      </c>
      <c r="W378" s="2">
        <v>0</v>
      </c>
      <c r="AG378" s="16"/>
    </row>
    <row r="379" spans="2:33">
      <c r="B379" s="6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1" t="s">
        <v>294</v>
      </c>
      <c r="R379" s="2">
        <v>60</v>
      </c>
      <c r="S379" s="2">
        <v>49</v>
      </c>
      <c r="T379" s="2">
        <v>217</v>
      </c>
      <c r="U379" s="2">
        <v>0</v>
      </c>
      <c r="V379" s="2">
        <v>0</v>
      </c>
      <c r="W379" s="2">
        <v>0</v>
      </c>
      <c r="AG379" s="16"/>
    </row>
    <row r="380" spans="2:33" ht="15" thickBot="1">
      <c r="B380" s="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1"/>
      <c r="R380" s="2"/>
      <c r="S380" s="2"/>
      <c r="T380" s="2"/>
      <c r="U380" s="2"/>
      <c r="V380" s="2"/>
      <c r="W380" s="2"/>
      <c r="X380" s="15"/>
      <c r="Y380" s="15"/>
      <c r="Z380" s="15"/>
      <c r="AA380" s="15"/>
      <c r="AB380" s="15"/>
      <c r="AC380" s="15"/>
      <c r="AD380" s="15"/>
      <c r="AE380" s="15"/>
      <c r="AF380" s="15"/>
      <c r="AG380" s="17"/>
    </row>
    <row r="381" spans="2:33" ht="15" thickBo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1"/>
      <c r="R381" s="2"/>
      <c r="S381" s="2"/>
      <c r="T381" s="2"/>
      <c r="U381" s="2"/>
      <c r="V381" s="2"/>
      <c r="W381" s="2"/>
    </row>
    <row r="382" spans="2:33" ht="15" thickBot="1">
      <c r="B382" s="33" t="s">
        <v>2196</v>
      </c>
      <c r="C382" s="26" t="s">
        <v>248</v>
      </c>
      <c r="D382" s="26" t="s">
        <v>298</v>
      </c>
      <c r="E382" s="26" t="s">
        <v>299</v>
      </c>
      <c r="F382" s="26" t="s">
        <v>251</v>
      </c>
      <c r="G382" s="26" t="s">
        <v>252</v>
      </c>
      <c r="H382" s="27" t="s">
        <v>253</v>
      </c>
      <c r="I382" s="26" t="s">
        <v>300</v>
      </c>
      <c r="J382" s="27" t="s">
        <v>56</v>
      </c>
      <c r="K382" s="29">
        <v>9.1999998092651403</v>
      </c>
      <c r="L382" s="29">
        <v>9.1999998092651403</v>
      </c>
      <c r="M382" s="29">
        <v>9.1999998092651403</v>
      </c>
      <c r="N382" s="29">
        <v>0</v>
      </c>
      <c r="O382" s="29">
        <v>0</v>
      </c>
      <c r="P382" s="40">
        <v>0</v>
      </c>
      <c r="Q382" s="1" t="s">
        <v>274</v>
      </c>
      <c r="R382" s="2">
        <v>282</v>
      </c>
      <c r="S382" s="2">
        <v>260</v>
      </c>
      <c r="T382" s="2">
        <v>553</v>
      </c>
      <c r="U382" s="2">
        <v>0</v>
      </c>
      <c r="V382" s="2">
        <v>0</v>
      </c>
      <c r="W382" s="2">
        <v>0</v>
      </c>
      <c r="X382" s="43">
        <f>SUM(R382:W389)</f>
        <v>7954</v>
      </c>
      <c r="Y382" s="10">
        <v>46204</v>
      </c>
      <c r="Z382" s="11">
        <v>0.23914913165546237</v>
      </c>
      <c r="AA382" s="11">
        <v>0.16263468186376903</v>
      </c>
      <c r="AB382" s="11">
        <v>0.13490905978116355</v>
      </c>
      <c r="AC382" s="11"/>
      <c r="AD382" s="11"/>
      <c r="AE382" s="11"/>
      <c r="AF382" s="11">
        <v>0.15</v>
      </c>
      <c r="AG382" s="13">
        <v>0.23899999999999999</v>
      </c>
    </row>
    <row r="383" spans="2:33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1" t="s">
        <v>275</v>
      </c>
      <c r="R383" s="2">
        <v>233</v>
      </c>
      <c r="S383" s="2">
        <v>206</v>
      </c>
      <c r="T383" s="2">
        <v>358</v>
      </c>
      <c r="U383" s="2">
        <v>0</v>
      </c>
      <c r="V383" s="2">
        <v>0</v>
      </c>
      <c r="W383" s="2">
        <v>0</v>
      </c>
      <c r="X383" s="14"/>
      <c r="Y383" s="14"/>
      <c r="Z383" s="14"/>
      <c r="AA383" s="14"/>
      <c r="AB383" s="14"/>
      <c r="AC383" s="14"/>
      <c r="AD383" s="14"/>
      <c r="AE383" s="14"/>
      <c r="AF383" s="14"/>
      <c r="AG383" s="16"/>
    </row>
    <row r="384" spans="2:33">
      <c r="B384" s="6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1" t="s">
        <v>262</v>
      </c>
      <c r="R384" s="2">
        <v>119</v>
      </c>
      <c r="S384" s="2">
        <v>101</v>
      </c>
      <c r="T384" s="2">
        <v>241</v>
      </c>
      <c r="U384" s="2">
        <v>0</v>
      </c>
      <c r="V384" s="2">
        <v>0</v>
      </c>
      <c r="W384" s="2">
        <v>0</v>
      </c>
      <c r="AG384" s="16"/>
    </row>
    <row r="385" spans="2:33">
      <c r="B385" s="6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1" t="s">
        <v>276</v>
      </c>
      <c r="R385" s="2">
        <v>41</v>
      </c>
      <c r="S385" s="2">
        <v>38</v>
      </c>
      <c r="T385" s="2">
        <v>155</v>
      </c>
      <c r="U385" s="2">
        <v>0</v>
      </c>
      <c r="V385" s="2">
        <v>0</v>
      </c>
      <c r="W385" s="2">
        <v>0</v>
      </c>
      <c r="AG385" s="16"/>
    </row>
    <row r="386" spans="2:33">
      <c r="B386" s="6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1" t="s">
        <v>277</v>
      </c>
      <c r="R386" s="2">
        <v>341</v>
      </c>
      <c r="S386" s="2">
        <v>337</v>
      </c>
      <c r="T386" s="2">
        <v>682</v>
      </c>
      <c r="U386" s="2">
        <v>0</v>
      </c>
      <c r="V386" s="2">
        <v>0</v>
      </c>
      <c r="W386" s="2">
        <v>0</v>
      </c>
      <c r="AG386" s="16"/>
    </row>
    <row r="387" spans="2:33">
      <c r="B387" s="6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1" t="s">
        <v>278</v>
      </c>
      <c r="R387" s="2">
        <v>447</v>
      </c>
      <c r="S387" s="2">
        <v>399</v>
      </c>
      <c r="T387" s="2">
        <v>725</v>
      </c>
      <c r="U387" s="2">
        <v>0</v>
      </c>
      <c r="V387" s="2">
        <v>0</v>
      </c>
      <c r="W387" s="2">
        <v>0</v>
      </c>
      <c r="AG387" s="16"/>
    </row>
    <row r="388" spans="2:33">
      <c r="B388" s="6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1" t="s">
        <v>279</v>
      </c>
      <c r="R388" s="2">
        <v>188</v>
      </c>
      <c r="S388" s="2">
        <v>202</v>
      </c>
      <c r="T388" s="2">
        <v>543</v>
      </c>
      <c r="U388" s="2">
        <v>0</v>
      </c>
      <c r="V388" s="2">
        <v>0</v>
      </c>
      <c r="W388" s="2">
        <v>0</v>
      </c>
      <c r="AG388" s="16"/>
    </row>
    <row r="389" spans="2:33">
      <c r="B389" s="6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1" t="s">
        <v>280</v>
      </c>
      <c r="R389" s="2">
        <v>419</v>
      </c>
      <c r="S389" s="2">
        <v>322</v>
      </c>
      <c r="T389" s="2">
        <v>762</v>
      </c>
      <c r="U389" s="2">
        <v>0</v>
      </c>
      <c r="V389" s="2">
        <v>0</v>
      </c>
      <c r="W389" s="2">
        <v>0</v>
      </c>
      <c r="AG389" s="16"/>
    </row>
    <row r="390" spans="2:33">
      <c r="B390" s="6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1"/>
      <c r="R390" s="2"/>
      <c r="S390" s="2"/>
      <c r="T390" s="2"/>
      <c r="U390" s="2"/>
      <c r="V390" s="2"/>
      <c r="W390" s="2"/>
      <c r="AG390" s="16"/>
    </row>
    <row r="391" spans="2:33">
      <c r="B391" s="6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1"/>
      <c r="R391" s="2"/>
      <c r="S391" s="2"/>
      <c r="T391" s="2"/>
      <c r="U391" s="2"/>
      <c r="V391" s="2"/>
      <c r="W391" s="2"/>
      <c r="AG391" s="16"/>
    </row>
    <row r="392" spans="2:33">
      <c r="B392" s="6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1"/>
      <c r="R392" s="2"/>
      <c r="S392" s="2"/>
      <c r="T392" s="2"/>
      <c r="U392" s="2"/>
      <c r="V392" s="2"/>
      <c r="W392" s="2"/>
      <c r="AG392" s="16"/>
    </row>
    <row r="393" spans="2:33">
      <c r="B393" s="6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1"/>
      <c r="R393" s="2"/>
      <c r="S393" s="2"/>
      <c r="T393" s="2"/>
      <c r="U393" s="2"/>
      <c r="V393" s="2"/>
      <c r="W393" s="2"/>
      <c r="AG393" s="16"/>
    </row>
    <row r="394" spans="2:33">
      <c r="B394" s="6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1"/>
      <c r="R394" s="2"/>
      <c r="S394" s="2"/>
      <c r="T394" s="2"/>
      <c r="U394" s="2"/>
      <c r="V394" s="2"/>
      <c r="W394" s="2"/>
      <c r="AG394" s="16"/>
    </row>
    <row r="395" spans="2:33" ht="15" thickBot="1">
      <c r="B395" s="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1"/>
      <c r="R395" s="2"/>
      <c r="S395" s="2"/>
      <c r="T395" s="2"/>
      <c r="U395" s="2"/>
      <c r="V395" s="2"/>
      <c r="W395" s="2"/>
      <c r="X395" s="15"/>
      <c r="Y395" s="15"/>
      <c r="Z395" s="15"/>
      <c r="AA395" s="15"/>
      <c r="AB395" s="15"/>
      <c r="AC395" s="15"/>
      <c r="AD395" s="15"/>
      <c r="AE395" s="15"/>
      <c r="AF395" s="15"/>
      <c r="AG395" s="17"/>
    </row>
    <row r="396" spans="2:33" ht="15" thickBo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1"/>
      <c r="R396" s="2"/>
      <c r="S396" s="2"/>
      <c r="T396" s="2"/>
      <c r="U396" s="2"/>
      <c r="V396" s="2"/>
      <c r="W396" s="2"/>
    </row>
    <row r="397" spans="2:33" ht="15" thickBot="1">
      <c r="B397" s="33" t="s">
        <v>2196</v>
      </c>
      <c r="C397" s="26" t="s">
        <v>248</v>
      </c>
      <c r="D397" s="26" t="s">
        <v>301</v>
      </c>
      <c r="E397" s="26" t="s">
        <v>302</v>
      </c>
      <c r="F397" s="26" t="s">
        <v>251</v>
      </c>
      <c r="G397" s="26" t="s">
        <v>252</v>
      </c>
      <c r="H397" s="27" t="s">
        <v>253</v>
      </c>
      <c r="I397" s="26" t="s">
        <v>303</v>
      </c>
      <c r="J397" s="27" t="s">
        <v>56</v>
      </c>
      <c r="K397" s="29">
        <v>9.1999998092651403</v>
      </c>
      <c r="L397" s="29">
        <v>9.1999998092651403</v>
      </c>
      <c r="M397" s="29">
        <v>9.1999998092651403</v>
      </c>
      <c r="N397" s="29">
        <v>0</v>
      </c>
      <c r="O397" s="29">
        <v>0</v>
      </c>
      <c r="P397" s="40">
        <v>0</v>
      </c>
      <c r="Q397" s="1" t="s">
        <v>274</v>
      </c>
      <c r="R397" s="2">
        <v>124</v>
      </c>
      <c r="S397" s="2">
        <v>105</v>
      </c>
      <c r="T397" s="2">
        <v>218</v>
      </c>
      <c r="U397" s="2">
        <v>0</v>
      </c>
      <c r="V397" s="2">
        <v>0</v>
      </c>
      <c r="W397" s="2">
        <v>0</v>
      </c>
      <c r="X397" s="43">
        <f>SUM(R397:W404)</f>
        <v>6205</v>
      </c>
      <c r="Y397" s="10">
        <v>46204</v>
      </c>
      <c r="Z397" s="11">
        <v>0.23914913165546237</v>
      </c>
      <c r="AA397" s="11">
        <v>0.16263468186376903</v>
      </c>
      <c r="AB397" s="11">
        <v>0.13490905978116355</v>
      </c>
      <c r="AC397" s="11"/>
      <c r="AD397" s="11"/>
      <c r="AE397" s="11"/>
      <c r="AF397" s="11">
        <v>0.15</v>
      </c>
      <c r="AG397" s="13">
        <v>0.23899999999999999</v>
      </c>
    </row>
    <row r="398" spans="2:33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1" t="s">
        <v>275</v>
      </c>
      <c r="R398" s="2">
        <v>163</v>
      </c>
      <c r="S398" s="2">
        <v>151</v>
      </c>
      <c r="T398" s="2">
        <v>308</v>
      </c>
      <c r="U398" s="2">
        <v>0</v>
      </c>
      <c r="V398" s="2">
        <v>0</v>
      </c>
      <c r="W398" s="2">
        <v>0</v>
      </c>
      <c r="X398" s="14"/>
      <c r="Y398" s="14"/>
      <c r="Z398" s="14"/>
      <c r="AA398" s="14"/>
      <c r="AB398" s="14"/>
      <c r="AC398" s="14"/>
      <c r="AD398" s="14"/>
      <c r="AE398" s="14"/>
      <c r="AF398" s="14"/>
      <c r="AG398" s="16"/>
    </row>
    <row r="399" spans="2:33">
      <c r="B399" s="6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1" t="s">
        <v>262</v>
      </c>
      <c r="R399" s="2">
        <v>80</v>
      </c>
      <c r="S399" s="2">
        <v>81</v>
      </c>
      <c r="T399" s="2">
        <v>184</v>
      </c>
      <c r="U399" s="2">
        <v>0</v>
      </c>
      <c r="V399" s="2">
        <v>0</v>
      </c>
      <c r="W399" s="2">
        <v>0</v>
      </c>
      <c r="AG399" s="16"/>
    </row>
    <row r="400" spans="2:33">
      <c r="B400" s="6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1" t="s">
        <v>276</v>
      </c>
      <c r="R400" s="2">
        <v>37</v>
      </c>
      <c r="S400" s="2">
        <v>40</v>
      </c>
      <c r="T400" s="2">
        <v>146</v>
      </c>
      <c r="U400" s="2">
        <v>0</v>
      </c>
      <c r="V400" s="2">
        <v>0</v>
      </c>
      <c r="W400" s="2">
        <v>0</v>
      </c>
      <c r="AG400" s="16"/>
    </row>
    <row r="401" spans="2:33">
      <c r="B401" s="6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1" t="s">
        <v>277</v>
      </c>
      <c r="R401" s="2">
        <v>313</v>
      </c>
      <c r="S401" s="2">
        <v>313</v>
      </c>
      <c r="T401" s="2">
        <v>622</v>
      </c>
      <c r="U401" s="2">
        <v>0</v>
      </c>
      <c r="V401" s="2">
        <v>0</v>
      </c>
      <c r="W401" s="2">
        <v>0</v>
      </c>
      <c r="AG401" s="16"/>
    </row>
    <row r="402" spans="2:33">
      <c r="B402" s="6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1" t="s">
        <v>278</v>
      </c>
      <c r="R402" s="2">
        <v>358</v>
      </c>
      <c r="S402" s="2">
        <v>302</v>
      </c>
      <c r="T402" s="2">
        <v>512</v>
      </c>
      <c r="U402" s="2">
        <v>0</v>
      </c>
      <c r="V402" s="2">
        <v>0</v>
      </c>
      <c r="W402" s="2">
        <v>0</v>
      </c>
      <c r="AG402" s="16"/>
    </row>
    <row r="403" spans="2:33">
      <c r="B403" s="6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1" t="s">
        <v>279</v>
      </c>
      <c r="R403" s="2">
        <v>229</v>
      </c>
      <c r="S403" s="2">
        <v>220</v>
      </c>
      <c r="T403" s="2">
        <v>417</v>
      </c>
      <c r="U403" s="2">
        <v>0</v>
      </c>
      <c r="V403" s="2">
        <v>0</v>
      </c>
      <c r="W403" s="2">
        <v>0</v>
      </c>
      <c r="AG403" s="16"/>
    </row>
    <row r="404" spans="2:33">
      <c r="B404" s="6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1" t="s">
        <v>280</v>
      </c>
      <c r="R404" s="2">
        <v>288</v>
      </c>
      <c r="S404" s="2">
        <v>251</v>
      </c>
      <c r="T404" s="2">
        <v>743</v>
      </c>
      <c r="U404" s="2">
        <v>0</v>
      </c>
      <c r="V404" s="2">
        <v>0</v>
      </c>
      <c r="W404" s="2">
        <v>0</v>
      </c>
      <c r="AG404" s="16"/>
    </row>
    <row r="405" spans="2:33">
      <c r="B405" s="6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1"/>
      <c r="R405" s="2"/>
      <c r="S405" s="2"/>
      <c r="T405" s="2"/>
      <c r="U405" s="2"/>
      <c r="V405" s="2"/>
      <c r="W405" s="2"/>
      <c r="AG405" s="16"/>
    </row>
    <row r="406" spans="2:33">
      <c r="B406" s="6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1"/>
      <c r="R406" s="2"/>
      <c r="S406" s="2"/>
      <c r="T406" s="2"/>
      <c r="U406" s="2"/>
      <c r="V406" s="2"/>
      <c r="W406" s="2"/>
      <c r="AG406" s="16"/>
    </row>
    <row r="407" spans="2:33">
      <c r="B407" s="6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1"/>
      <c r="R407" s="2"/>
      <c r="S407" s="2"/>
      <c r="T407" s="2"/>
      <c r="U407" s="2"/>
      <c r="V407" s="2"/>
      <c r="W407" s="2"/>
      <c r="AG407" s="16"/>
    </row>
    <row r="408" spans="2:33">
      <c r="B408" s="6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1"/>
      <c r="R408" s="2"/>
      <c r="S408" s="2"/>
      <c r="T408" s="2"/>
      <c r="U408" s="2"/>
      <c r="V408" s="2"/>
      <c r="W408" s="2"/>
      <c r="AG408" s="16"/>
    </row>
    <row r="409" spans="2:33">
      <c r="B409" s="6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1"/>
      <c r="R409" s="2"/>
      <c r="S409" s="2"/>
      <c r="T409" s="2"/>
      <c r="U409" s="2"/>
      <c r="V409" s="2"/>
      <c r="W409" s="2"/>
      <c r="AG409" s="16"/>
    </row>
    <row r="410" spans="2:33" ht="15" thickBot="1">
      <c r="B410" s="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1"/>
      <c r="R410" s="2"/>
      <c r="S410" s="2"/>
      <c r="T410" s="2"/>
      <c r="U410" s="2"/>
      <c r="V410" s="2"/>
      <c r="W410" s="2"/>
      <c r="X410" s="15"/>
      <c r="Y410" s="15"/>
      <c r="Z410" s="15"/>
      <c r="AA410" s="15"/>
      <c r="AB410" s="15"/>
      <c r="AC410" s="15"/>
      <c r="AD410" s="15"/>
      <c r="AE410" s="15"/>
      <c r="AF410" s="15"/>
      <c r="AG410" s="17"/>
    </row>
    <row r="411" spans="2:33" ht="15" thickBo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1"/>
      <c r="R411" s="2"/>
      <c r="S411" s="2"/>
      <c r="T411" s="2"/>
      <c r="U411" s="2"/>
      <c r="V411" s="2"/>
      <c r="W411" s="2"/>
    </row>
    <row r="412" spans="2:33" ht="15" thickBot="1">
      <c r="B412" s="33" t="s">
        <v>2196</v>
      </c>
      <c r="C412" s="26" t="s">
        <v>248</v>
      </c>
      <c r="D412" s="26" t="s">
        <v>304</v>
      </c>
      <c r="E412" s="26" t="s">
        <v>305</v>
      </c>
      <c r="F412" s="26" t="s">
        <v>251</v>
      </c>
      <c r="G412" s="26" t="s">
        <v>252</v>
      </c>
      <c r="H412" s="27" t="s">
        <v>253</v>
      </c>
      <c r="I412" s="26" t="s">
        <v>306</v>
      </c>
      <c r="J412" s="27" t="s">
        <v>56</v>
      </c>
      <c r="K412" s="29">
        <v>9.1999998092651403</v>
      </c>
      <c r="L412" s="29">
        <v>9.1999998092651403</v>
      </c>
      <c r="M412" s="29">
        <v>9.1999998092651403</v>
      </c>
      <c r="N412" s="29">
        <v>0</v>
      </c>
      <c r="O412" s="29">
        <v>0</v>
      </c>
      <c r="P412" s="40">
        <v>0</v>
      </c>
      <c r="Q412" s="1" t="s">
        <v>274</v>
      </c>
      <c r="R412" s="2">
        <v>105</v>
      </c>
      <c r="S412" s="2">
        <v>108</v>
      </c>
      <c r="T412" s="2">
        <v>198</v>
      </c>
      <c r="U412" s="2">
        <v>0</v>
      </c>
      <c r="V412" s="2">
        <v>0</v>
      </c>
      <c r="W412" s="2">
        <v>0</v>
      </c>
      <c r="X412" s="43">
        <f>SUM(R412:W418)</f>
        <v>4044</v>
      </c>
      <c r="Y412" s="10">
        <v>46204</v>
      </c>
      <c r="Z412" s="11">
        <v>0.23914913165546237</v>
      </c>
      <c r="AA412" s="11">
        <v>0.16263468186376903</v>
      </c>
      <c r="AB412" s="11">
        <v>0.13490905978116355</v>
      </c>
      <c r="AC412" s="11"/>
      <c r="AD412" s="11"/>
      <c r="AE412" s="11"/>
      <c r="AF412" s="11">
        <v>0.15</v>
      </c>
      <c r="AG412" s="13">
        <v>0.23899999999999999</v>
      </c>
    </row>
    <row r="413" spans="2:33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1" t="s">
        <v>275</v>
      </c>
      <c r="R413" s="2">
        <v>107</v>
      </c>
      <c r="S413" s="2">
        <v>114</v>
      </c>
      <c r="T413" s="2">
        <v>148</v>
      </c>
      <c r="U413" s="2">
        <v>0</v>
      </c>
      <c r="V413" s="2">
        <v>0</v>
      </c>
      <c r="W413" s="2">
        <v>0</v>
      </c>
      <c r="X413" s="14"/>
      <c r="Y413" s="14"/>
      <c r="Z413" s="14"/>
      <c r="AA413" s="14"/>
      <c r="AB413" s="14"/>
      <c r="AC413" s="14"/>
      <c r="AD413" s="14"/>
      <c r="AE413" s="14"/>
      <c r="AF413" s="14"/>
      <c r="AG413" s="16"/>
    </row>
    <row r="414" spans="2:33">
      <c r="B414" s="6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1" t="s">
        <v>262</v>
      </c>
      <c r="R414" s="2">
        <v>110</v>
      </c>
      <c r="S414" s="2">
        <v>107</v>
      </c>
      <c r="T414" s="2">
        <v>157</v>
      </c>
      <c r="U414" s="2">
        <v>0</v>
      </c>
      <c r="V414" s="2">
        <v>0</v>
      </c>
      <c r="W414" s="2">
        <v>0</v>
      </c>
      <c r="AG414" s="16"/>
    </row>
    <row r="415" spans="2:33">
      <c r="B415" s="6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1" t="s">
        <v>276</v>
      </c>
      <c r="R415" s="2">
        <v>33</v>
      </c>
      <c r="S415" s="2">
        <v>30</v>
      </c>
      <c r="T415" s="2">
        <v>98</v>
      </c>
      <c r="U415" s="2">
        <v>0</v>
      </c>
      <c r="V415" s="2">
        <v>0</v>
      </c>
      <c r="W415" s="2">
        <v>0</v>
      </c>
      <c r="AG415" s="16"/>
    </row>
    <row r="416" spans="2:33">
      <c r="B416" s="6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1" t="s">
        <v>277</v>
      </c>
      <c r="R416" s="2">
        <v>262</v>
      </c>
      <c r="S416" s="2">
        <v>314</v>
      </c>
      <c r="T416" s="2">
        <v>442</v>
      </c>
      <c r="U416" s="2">
        <v>0</v>
      </c>
      <c r="V416" s="2">
        <v>0</v>
      </c>
      <c r="W416" s="2">
        <v>0</v>
      </c>
      <c r="AG416" s="16"/>
    </row>
    <row r="417" spans="2:33">
      <c r="B417" s="6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1" t="s">
        <v>278</v>
      </c>
      <c r="R417" s="2">
        <v>373</v>
      </c>
      <c r="S417" s="2">
        <v>235</v>
      </c>
      <c r="T417" s="2">
        <v>416</v>
      </c>
      <c r="U417" s="2">
        <v>0</v>
      </c>
      <c r="V417" s="2">
        <v>0</v>
      </c>
      <c r="W417" s="2">
        <v>0</v>
      </c>
      <c r="AG417" s="16"/>
    </row>
    <row r="418" spans="2:33">
      <c r="B418" s="6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1" t="s">
        <v>279</v>
      </c>
      <c r="R418" s="2">
        <v>157</v>
      </c>
      <c r="S418" s="2">
        <v>161</v>
      </c>
      <c r="T418" s="2">
        <v>369</v>
      </c>
      <c r="U418" s="2">
        <v>0</v>
      </c>
      <c r="V418" s="2">
        <v>0</v>
      </c>
      <c r="W418" s="2">
        <v>0</v>
      </c>
      <c r="AG418" s="16"/>
    </row>
    <row r="419" spans="2:33">
      <c r="B419" s="6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1"/>
      <c r="R419" s="2"/>
      <c r="S419" s="2"/>
      <c r="T419" s="2"/>
      <c r="U419" s="2"/>
      <c r="V419" s="2"/>
      <c r="W419" s="2"/>
      <c r="AG419" s="16"/>
    </row>
    <row r="420" spans="2:33">
      <c r="B420" s="6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1"/>
      <c r="R420" s="2"/>
      <c r="S420" s="2"/>
      <c r="T420" s="2"/>
      <c r="U420" s="2"/>
      <c r="V420" s="2"/>
      <c r="W420" s="2"/>
      <c r="AG420" s="16"/>
    </row>
    <row r="421" spans="2:33">
      <c r="B421" s="6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1"/>
      <c r="R421" s="2"/>
      <c r="S421" s="2"/>
      <c r="T421" s="2"/>
      <c r="U421" s="2"/>
      <c r="V421" s="2"/>
      <c r="W421" s="2"/>
      <c r="AG421" s="16"/>
    </row>
    <row r="422" spans="2:33">
      <c r="B422" s="6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1"/>
      <c r="R422" s="2"/>
      <c r="S422" s="2"/>
      <c r="T422" s="2"/>
      <c r="U422" s="2"/>
      <c r="V422" s="2"/>
      <c r="W422" s="2"/>
      <c r="AG422" s="16"/>
    </row>
    <row r="423" spans="2:33">
      <c r="B423" s="6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1"/>
      <c r="R423" s="2"/>
      <c r="S423" s="2"/>
      <c r="T423" s="2"/>
      <c r="U423" s="2"/>
      <c r="V423" s="2"/>
      <c r="W423" s="2"/>
      <c r="AG423" s="16"/>
    </row>
    <row r="424" spans="2:33">
      <c r="B424" s="6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1"/>
      <c r="R424" s="2"/>
      <c r="S424" s="2"/>
      <c r="T424" s="2"/>
      <c r="U424" s="2"/>
      <c r="V424" s="2"/>
      <c r="W424" s="2"/>
      <c r="AG424" s="16"/>
    </row>
    <row r="425" spans="2:33" ht="15" thickBot="1">
      <c r="B425" s="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1"/>
      <c r="R425" s="2"/>
      <c r="S425" s="2"/>
      <c r="T425" s="2"/>
      <c r="U425" s="2"/>
      <c r="V425" s="2"/>
      <c r="W425" s="2"/>
      <c r="X425" s="15"/>
      <c r="Y425" s="15"/>
      <c r="Z425" s="15"/>
      <c r="AA425" s="15"/>
      <c r="AB425" s="15"/>
      <c r="AC425" s="15"/>
      <c r="AD425" s="15"/>
      <c r="AE425" s="15"/>
      <c r="AF425" s="15"/>
      <c r="AG425" s="17"/>
    </row>
    <row r="426" spans="2:33" ht="15" thickBo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1"/>
      <c r="R426" s="2"/>
      <c r="S426" s="2"/>
      <c r="T426" s="2"/>
      <c r="U426" s="2"/>
      <c r="V426" s="2"/>
      <c r="W426" s="2"/>
    </row>
    <row r="427" spans="2:33" ht="15" thickBot="1">
      <c r="B427" s="33" t="s">
        <v>2196</v>
      </c>
      <c r="C427" s="26" t="s">
        <v>248</v>
      </c>
      <c r="D427" s="26" t="s">
        <v>307</v>
      </c>
      <c r="E427" s="26" t="s">
        <v>308</v>
      </c>
      <c r="F427" s="26" t="s">
        <v>251</v>
      </c>
      <c r="G427" s="26" t="s">
        <v>252</v>
      </c>
      <c r="H427" s="27" t="s">
        <v>253</v>
      </c>
      <c r="I427" s="26" t="s">
        <v>309</v>
      </c>
      <c r="J427" s="27" t="s">
        <v>56</v>
      </c>
      <c r="K427" s="29">
        <v>9.1999998092651403</v>
      </c>
      <c r="L427" s="29">
        <v>9.1999998092651403</v>
      </c>
      <c r="M427" s="29">
        <v>9.1999998092651403</v>
      </c>
      <c r="N427" s="29">
        <v>0</v>
      </c>
      <c r="O427" s="29">
        <v>0</v>
      </c>
      <c r="P427" s="40">
        <v>0</v>
      </c>
      <c r="Q427" s="1" t="s">
        <v>274</v>
      </c>
      <c r="R427" s="2">
        <v>178</v>
      </c>
      <c r="S427" s="2">
        <v>156</v>
      </c>
      <c r="T427" s="2">
        <v>290</v>
      </c>
      <c r="U427" s="2">
        <v>0</v>
      </c>
      <c r="V427" s="2">
        <v>0</v>
      </c>
      <c r="W427" s="2">
        <v>0</v>
      </c>
      <c r="X427" s="43">
        <f>SUM(R427:W434)</f>
        <v>6890</v>
      </c>
      <c r="Y427" s="10">
        <v>46204</v>
      </c>
      <c r="Z427" s="11">
        <v>0.23914913165546237</v>
      </c>
      <c r="AA427" s="11">
        <v>0.16263468186376903</v>
      </c>
      <c r="AB427" s="11">
        <v>0.13490905978116355</v>
      </c>
      <c r="AC427" s="11"/>
      <c r="AD427" s="11"/>
      <c r="AE427" s="11"/>
      <c r="AF427" s="11">
        <v>0.15</v>
      </c>
      <c r="AG427" s="13">
        <v>0.23899999999999999</v>
      </c>
    </row>
    <row r="428" spans="2:33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1" t="s">
        <v>275</v>
      </c>
      <c r="R428" s="2">
        <v>118</v>
      </c>
      <c r="S428" s="2">
        <v>101</v>
      </c>
      <c r="T428" s="2">
        <v>164</v>
      </c>
      <c r="U428" s="2">
        <v>0</v>
      </c>
      <c r="V428" s="2">
        <v>0</v>
      </c>
      <c r="W428" s="2">
        <v>0</v>
      </c>
      <c r="X428" s="14"/>
      <c r="Y428" s="14"/>
      <c r="Z428" s="14"/>
      <c r="AA428" s="14"/>
      <c r="AB428" s="14"/>
      <c r="AC428" s="14"/>
      <c r="AD428" s="14"/>
      <c r="AE428" s="14"/>
      <c r="AF428" s="14"/>
      <c r="AG428" s="16"/>
    </row>
    <row r="429" spans="2:33">
      <c r="B429" s="6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1" t="s">
        <v>262</v>
      </c>
      <c r="R429" s="2">
        <v>150</v>
      </c>
      <c r="S429" s="2">
        <v>126</v>
      </c>
      <c r="T429" s="2">
        <v>198</v>
      </c>
      <c r="U429" s="2">
        <v>0</v>
      </c>
      <c r="V429" s="2">
        <v>0</v>
      </c>
      <c r="W429" s="2">
        <v>0</v>
      </c>
      <c r="AG429" s="16"/>
    </row>
    <row r="430" spans="2:33">
      <c r="B430" s="6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1" t="s">
        <v>276</v>
      </c>
      <c r="R430" s="2">
        <v>52</v>
      </c>
      <c r="S430" s="2">
        <v>34</v>
      </c>
      <c r="T430" s="2">
        <v>106</v>
      </c>
      <c r="U430" s="2">
        <v>0</v>
      </c>
      <c r="V430" s="2">
        <v>0</v>
      </c>
      <c r="W430" s="2">
        <v>0</v>
      </c>
      <c r="AG430" s="16"/>
    </row>
    <row r="431" spans="2:33">
      <c r="B431" s="6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1" t="s">
        <v>277</v>
      </c>
      <c r="R431" s="2">
        <v>354</v>
      </c>
      <c r="S431" s="2">
        <v>297</v>
      </c>
      <c r="T431" s="2">
        <v>624</v>
      </c>
      <c r="U431" s="2">
        <v>0</v>
      </c>
      <c r="V431" s="2">
        <v>0</v>
      </c>
      <c r="W431" s="2">
        <v>0</v>
      </c>
      <c r="AG431" s="16"/>
    </row>
    <row r="432" spans="2:33">
      <c r="B432" s="6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1" t="s">
        <v>278</v>
      </c>
      <c r="R432" s="2">
        <v>606</v>
      </c>
      <c r="S432" s="2">
        <v>442</v>
      </c>
      <c r="T432" s="2">
        <v>606</v>
      </c>
      <c r="U432" s="2">
        <v>0</v>
      </c>
      <c r="V432" s="2">
        <v>0</v>
      </c>
      <c r="W432" s="2">
        <v>0</v>
      </c>
      <c r="AG432" s="16"/>
    </row>
    <row r="433" spans="2:33">
      <c r="B433" s="6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1" t="s">
        <v>279</v>
      </c>
      <c r="R433" s="2">
        <v>253</v>
      </c>
      <c r="S433" s="2">
        <v>201</v>
      </c>
      <c r="T433" s="2">
        <v>430</v>
      </c>
      <c r="U433" s="2">
        <v>0</v>
      </c>
      <c r="V433" s="2">
        <v>0</v>
      </c>
      <c r="W433" s="2">
        <v>0</v>
      </c>
      <c r="AG433" s="16"/>
    </row>
    <row r="434" spans="2:33">
      <c r="B434" s="6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1" t="s">
        <v>280</v>
      </c>
      <c r="R434" s="2">
        <v>328</v>
      </c>
      <c r="S434" s="2">
        <v>278</v>
      </c>
      <c r="T434" s="2">
        <v>798</v>
      </c>
      <c r="U434" s="2">
        <v>0</v>
      </c>
      <c r="V434" s="2">
        <v>0</v>
      </c>
      <c r="W434" s="2">
        <v>0</v>
      </c>
      <c r="AG434" s="16"/>
    </row>
    <row r="435" spans="2:33">
      <c r="B435" s="6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1"/>
      <c r="R435" s="2"/>
      <c r="S435" s="2"/>
      <c r="T435" s="2"/>
      <c r="U435" s="2"/>
      <c r="V435" s="2"/>
      <c r="W435" s="2"/>
      <c r="AG435" s="16"/>
    </row>
    <row r="436" spans="2:33">
      <c r="B436" s="6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1"/>
      <c r="R436" s="2"/>
      <c r="S436" s="2"/>
      <c r="T436" s="2"/>
      <c r="U436" s="2"/>
      <c r="V436" s="2"/>
      <c r="W436" s="2"/>
      <c r="AG436" s="16"/>
    </row>
    <row r="437" spans="2:33">
      <c r="B437" s="6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1"/>
      <c r="R437" s="2"/>
      <c r="S437" s="2"/>
      <c r="T437" s="2"/>
      <c r="U437" s="2"/>
      <c r="V437" s="2"/>
      <c r="W437" s="2"/>
      <c r="AG437" s="16"/>
    </row>
    <row r="438" spans="2:33">
      <c r="B438" s="6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1"/>
      <c r="R438" s="2"/>
      <c r="S438" s="2"/>
      <c r="T438" s="2"/>
      <c r="U438" s="2"/>
      <c r="V438" s="2"/>
      <c r="W438" s="2"/>
      <c r="AG438" s="16"/>
    </row>
    <row r="439" spans="2:33">
      <c r="B439" s="6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1"/>
      <c r="R439" s="2"/>
      <c r="S439" s="2"/>
      <c r="T439" s="2"/>
      <c r="U439" s="2"/>
      <c r="V439" s="2"/>
      <c r="W439" s="2"/>
      <c r="AG439" s="16"/>
    </row>
    <row r="440" spans="2:33" ht="15" thickBot="1">
      <c r="B440" s="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1"/>
      <c r="R440" s="2"/>
      <c r="S440" s="2"/>
      <c r="T440" s="2"/>
      <c r="U440" s="2"/>
      <c r="V440" s="2"/>
      <c r="W440" s="2"/>
      <c r="X440" s="15"/>
      <c r="Y440" s="15"/>
      <c r="Z440" s="15"/>
      <c r="AA440" s="15"/>
      <c r="AB440" s="15"/>
      <c r="AC440" s="15"/>
      <c r="AD440" s="15"/>
      <c r="AE440" s="15"/>
      <c r="AF440" s="15"/>
      <c r="AG440" s="17"/>
    </row>
    <row r="441" spans="2:33" ht="15" thickBo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1"/>
      <c r="R441" s="2"/>
      <c r="S441" s="2"/>
      <c r="T441" s="2"/>
      <c r="U441" s="2"/>
      <c r="V441" s="2"/>
      <c r="W441" s="2"/>
    </row>
    <row r="442" spans="2:33" ht="15" thickBot="1">
      <c r="B442" s="33" t="s">
        <v>2196</v>
      </c>
      <c r="C442" s="26" t="s">
        <v>248</v>
      </c>
      <c r="D442" s="26" t="s">
        <v>310</v>
      </c>
      <c r="E442" s="26" t="s">
        <v>311</v>
      </c>
      <c r="F442" s="26" t="s">
        <v>251</v>
      </c>
      <c r="G442" s="26" t="s">
        <v>252</v>
      </c>
      <c r="H442" s="27" t="s">
        <v>253</v>
      </c>
      <c r="I442" s="26" t="s">
        <v>312</v>
      </c>
      <c r="J442" s="27" t="s">
        <v>56</v>
      </c>
      <c r="K442" s="29">
        <v>9.1999998092651403</v>
      </c>
      <c r="L442" s="29">
        <v>9.1999998092651403</v>
      </c>
      <c r="M442" s="29">
        <v>9.1999998092651403</v>
      </c>
      <c r="N442" s="29">
        <v>0</v>
      </c>
      <c r="O442" s="29">
        <v>0</v>
      </c>
      <c r="P442" s="40">
        <v>0</v>
      </c>
      <c r="Q442" s="1" t="s">
        <v>274</v>
      </c>
      <c r="R442" s="2">
        <v>162</v>
      </c>
      <c r="S442" s="2">
        <v>166</v>
      </c>
      <c r="T442" s="2">
        <v>287</v>
      </c>
      <c r="U442" s="2">
        <v>0</v>
      </c>
      <c r="V442" s="2">
        <v>0</v>
      </c>
      <c r="W442" s="2">
        <v>0</v>
      </c>
      <c r="X442" s="43">
        <f>SUM(R442:W449)</f>
        <v>5866</v>
      </c>
      <c r="Y442" s="10">
        <v>46204</v>
      </c>
      <c r="Z442" s="11">
        <v>0.23914913165546237</v>
      </c>
      <c r="AA442" s="11">
        <v>0.16263468186376903</v>
      </c>
      <c r="AB442" s="11">
        <v>0.13490905978116355</v>
      </c>
      <c r="AC442" s="11"/>
      <c r="AD442" s="11"/>
      <c r="AE442" s="11"/>
      <c r="AF442" s="11">
        <v>0.15</v>
      </c>
      <c r="AG442" s="13">
        <v>0.23899999999999999</v>
      </c>
    </row>
    <row r="443" spans="2:33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1" t="s">
        <v>275</v>
      </c>
      <c r="R443" s="2">
        <v>96</v>
      </c>
      <c r="S443" s="2">
        <v>104</v>
      </c>
      <c r="T443" s="2">
        <v>211</v>
      </c>
      <c r="U443" s="2">
        <v>0</v>
      </c>
      <c r="V443" s="2">
        <v>0</v>
      </c>
      <c r="W443" s="2">
        <v>0</v>
      </c>
      <c r="X443" s="14"/>
      <c r="Y443" s="14"/>
      <c r="Z443" s="14"/>
      <c r="AA443" s="14"/>
      <c r="AB443" s="14"/>
      <c r="AC443" s="14"/>
      <c r="AD443" s="14"/>
      <c r="AE443" s="14"/>
      <c r="AF443" s="14"/>
      <c r="AG443" s="16"/>
    </row>
    <row r="444" spans="2:33">
      <c r="B444" s="6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1" t="s">
        <v>262</v>
      </c>
      <c r="R444" s="2">
        <v>123</v>
      </c>
      <c r="S444" s="2">
        <v>130</v>
      </c>
      <c r="T444" s="2">
        <v>145</v>
      </c>
      <c r="U444" s="2">
        <v>0</v>
      </c>
      <c r="V444" s="2">
        <v>0</v>
      </c>
      <c r="W444" s="2">
        <v>0</v>
      </c>
      <c r="AG444" s="16"/>
    </row>
    <row r="445" spans="2:33">
      <c r="B445" s="6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1" t="s">
        <v>276</v>
      </c>
      <c r="R445" s="2">
        <v>61</v>
      </c>
      <c r="S445" s="2">
        <v>37</v>
      </c>
      <c r="T445" s="2">
        <v>86</v>
      </c>
      <c r="U445" s="2">
        <v>0</v>
      </c>
      <c r="V445" s="2">
        <v>0</v>
      </c>
      <c r="W445" s="2">
        <v>0</v>
      </c>
      <c r="AG445" s="16"/>
    </row>
    <row r="446" spans="2:33">
      <c r="B446" s="6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1" t="s">
        <v>277</v>
      </c>
      <c r="R446" s="2">
        <v>342</v>
      </c>
      <c r="S446" s="2">
        <v>279</v>
      </c>
      <c r="T446" s="2">
        <v>549</v>
      </c>
      <c r="U446" s="2">
        <v>0</v>
      </c>
      <c r="V446" s="2">
        <v>0</v>
      </c>
      <c r="W446" s="2">
        <v>0</v>
      </c>
      <c r="AG446" s="16"/>
    </row>
    <row r="447" spans="2:33">
      <c r="B447" s="6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1" t="s">
        <v>278</v>
      </c>
      <c r="R447" s="2">
        <v>311</v>
      </c>
      <c r="S447" s="2">
        <v>241</v>
      </c>
      <c r="T447" s="2">
        <v>414</v>
      </c>
      <c r="U447" s="2">
        <v>0</v>
      </c>
      <c r="V447" s="2">
        <v>0</v>
      </c>
      <c r="W447" s="2">
        <v>0</v>
      </c>
      <c r="AG447" s="16"/>
    </row>
    <row r="448" spans="2:33">
      <c r="B448" s="6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1" t="s">
        <v>279</v>
      </c>
      <c r="R448" s="2">
        <v>220</v>
      </c>
      <c r="S448" s="2">
        <v>213</v>
      </c>
      <c r="T448" s="2">
        <v>409</v>
      </c>
      <c r="U448" s="2">
        <v>0</v>
      </c>
      <c r="V448" s="2">
        <v>0</v>
      </c>
      <c r="W448" s="2">
        <v>0</v>
      </c>
      <c r="AG448" s="16"/>
    </row>
    <row r="449" spans="2:33">
      <c r="B449" s="6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1" t="s">
        <v>280</v>
      </c>
      <c r="R449" s="2">
        <v>316</v>
      </c>
      <c r="S449" s="2">
        <v>296</v>
      </c>
      <c r="T449" s="2">
        <v>668</v>
      </c>
      <c r="U449" s="2">
        <v>0</v>
      </c>
      <c r="V449" s="2">
        <v>0</v>
      </c>
      <c r="W449" s="2">
        <v>0</v>
      </c>
      <c r="AG449" s="16"/>
    </row>
    <row r="450" spans="2:33">
      <c r="B450" s="6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1"/>
      <c r="R450" s="2"/>
      <c r="S450" s="2"/>
      <c r="T450" s="2"/>
      <c r="U450" s="2"/>
      <c r="V450" s="2"/>
      <c r="W450" s="2"/>
      <c r="AG450" s="16"/>
    </row>
    <row r="451" spans="2:33">
      <c r="B451" s="6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1"/>
      <c r="R451" s="2"/>
      <c r="S451" s="2"/>
      <c r="T451" s="2"/>
      <c r="U451" s="2"/>
      <c r="V451" s="2"/>
      <c r="W451" s="2"/>
      <c r="AG451" s="16"/>
    </row>
    <row r="452" spans="2:33">
      <c r="B452" s="6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1"/>
      <c r="R452" s="2"/>
      <c r="S452" s="2"/>
      <c r="T452" s="2"/>
      <c r="U452" s="2"/>
      <c r="V452" s="2"/>
      <c r="W452" s="2"/>
      <c r="AG452" s="16"/>
    </row>
    <row r="453" spans="2:33">
      <c r="B453" s="6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1"/>
      <c r="R453" s="2"/>
      <c r="S453" s="2"/>
      <c r="T453" s="2"/>
      <c r="U453" s="2"/>
      <c r="V453" s="2"/>
      <c r="W453" s="2"/>
      <c r="AG453" s="16"/>
    </row>
    <row r="454" spans="2:33">
      <c r="B454" s="6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1"/>
      <c r="R454" s="2"/>
      <c r="S454" s="2"/>
      <c r="T454" s="2"/>
      <c r="U454" s="2"/>
      <c r="V454" s="2"/>
      <c r="W454" s="2"/>
      <c r="AG454" s="16"/>
    </row>
    <row r="455" spans="2:33" ht="15" thickBot="1">
      <c r="B455" s="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1"/>
      <c r="R455" s="2"/>
      <c r="S455" s="2"/>
      <c r="T455" s="2"/>
      <c r="U455" s="2"/>
      <c r="V455" s="2"/>
      <c r="W455" s="2"/>
      <c r="X455" s="15"/>
      <c r="Y455" s="15"/>
      <c r="Z455" s="15"/>
      <c r="AA455" s="15"/>
      <c r="AB455" s="15"/>
      <c r="AC455" s="15"/>
      <c r="AD455" s="15"/>
      <c r="AE455" s="15"/>
      <c r="AF455" s="15"/>
      <c r="AG455" s="17"/>
    </row>
    <row r="456" spans="2:33" ht="15" thickBo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1"/>
      <c r="R456" s="2"/>
      <c r="S456" s="2"/>
      <c r="T456" s="2"/>
      <c r="U456" s="2"/>
      <c r="V456" s="2"/>
      <c r="W456" s="2"/>
    </row>
    <row r="457" spans="2:33" ht="15" thickBot="1">
      <c r="B457" s="33" t="s">
        <v>2196</v>
      </c>
      <c r="C457" s="26" t="s">
        <v>248</v>
      </c>
      <c r="D457" s="26" t="s">
        <v>313</v>
      </c>
      <c r="E457" s="26" t="s">
        <v>314</v>
      </c>
      <c r="F457" s="26" t="s">
        <v>251</v>
      </c>
      <c r="G457" s="26" t="s">
        <v>252</v>
      </c>
      <c r="H457" s="27" t="s">
        <v>253</v>
      </c>
      <c r="I457" s="26" t="s">
        <v>315</v>
      </c>
      <c r="J457" s="27" t="s">
        <v>56</v>
      </c>
      <c r="K457" s="29">
        <v>9.1999998092651403</v>
      </c>
      <c r="L457" s="29">
        <v>9.1999998092651403</v>
      </c>
      <c r="M457" s="29">
        <v>9.1999998092651403</v>
      </c>
      <c r="N457" s="29">
        <v>0</v>
      </c>
      <c r="O457" s="29">
        <v>0</v>
      </c>
      <c r="P457" s="40">
        <v>0</v>
      </c>
      <c r="Q457" s="1" t="s">
        <v>274</v>
      </c>
      <c r="R457" s="2">
        <v>122</v>
      </c>
      <c r="S457" s="2">
        <v>162</v>
      </c>
      <c r="T457" s="2">
        <v>274</v>
      </c>
      <c r="U457" s="2">
        <v>0</v>
      </c>
      <c r="V457" s="2">
        <v>0</v>
      </c>
      <c r="W457" s="2">
        <v>0</v>
      </c>
      <c r="X457" s="43">
        <f>SUM(R457:W469)</f>
        <v>5518</v>
      </c>
      <c r="Y457" s="10">
        <v>46204</v>
      </c>
      <c r="Z457" s="11">
        <v>0.23914913165546237</v>
      </c>
      <c r="AA457" s="11">
        <v>0.16263468186376903</v>
      </c>
      <c r="AB457" s="11">
        <v>0.13490905978116355</v>
      </c>
      <c r="AC457" s="11"/>
      <c r="AD457" s="11"/>
      <c r="AE457" s="11"/>
      <c r="AF457" s="11">
        <v>0.15</v>
      </c>
      <c r="AG457" s="13">
        <v>0.23899999999999999</v>
      </c>
    </row>
    <row r="458" spans="2:33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1" t="s">
        <v>275</v>
      </c>
      <c r="R458" s="2">
        <v>85</v>
      </c>
      <c r="S458" s="2">
        <v>99</v>
      </c>
      <c r="T458" s="2">
        <v>183</v>
      </c>
      <c r="U458" s="2">
        <v>0</v>
      </c>
      <c r="V458" s="2">
        <v>0</v>
      </c>
      <c r="W458" s="2">
        <v>0</v>
      </c>
      <c r="X458" s="14"/>
      <c r="Y458" s="14"/>
      <c r="Z458" s="14"/>
      <c r="AA458" s="14"/>
      <c r="AB458" s="14"/>
      <c r="AC458" s="14"/>
      <c r="AD458" s="14"/>
      <c r="AE458" s="14"/>
      <c r="AF458" s="14"/>
      <c r="AG458" s="16"/>
    </row>
    <row r="459" spans="2:33">
      <c r="B459" s="6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1" t="s">
        <v>262</v>
      </c>
      <c r="R459" s="2">
        <v>108</v>
      </c>
      <c r="S459" s="2">
        <v>101</v>
      </c>
      <c r="T459" s="2">
        <v>153</v>
      </c>
      <c r="U459" s="2">
        <v>0</v>
      </c>
      <c r="V459" s="2">
        <v>0</v>
      </c>
      <c r="W459" s="2">
        <v>0</v>
      </c>
      <c r="AG459" s="16"/>
    </row>
    <row r="460" spans="2:33">
      <c r="B460" s="6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1" t="s">
        <v>287</v>
      </c>
      <c r="R460" s="2">
        <v>77</v>
      </c>
      <c r="S460" s="2">
        <v>47</v>
      </c>
      <c r="T460" s="2">
        <v>125</v>
      </c>
      <c r="U460" s="2">
        <v>0</v>
      </c>
      <c r="V460" s="2">
        <v>0</v>
      </c>
      <c r="W460" s="2">
        <v>0</v>
      </c>
      <c r="AG460" s="16"/>
    </row>
    <row r="461" spans="2:33">
      <c r="B461" s="6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1" t="s">
        <v>288</v>
      </c>
      <c r="R461" s="2">
        <v>3</v>
      </c>
      <c r="S461" s="2">
        <v>4</v>
      </c>
      <c r="T461" s="2">
        <v>21</v>
      </c>
      <c r="U461" s="2">
        <v>0</v>
      </c>
      <c r="V461" s="2">
        <v>0</v>
      </c>
      <c r="W461" s="2">
        <v>0</v>
      </c>
      <c r="AG461" s="16"/>
    </row>
    <row r="462" spans="2:33">
      <c r="B462" s="6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1" t="s">
        <v>289</v>
      </c>
      <c r="R462" s="2">
        <v>115</v>
      </c>
      <c r="S462" s="2">
        <v>136</v>
      </c>
      <c r="T462" s="2">
        <v>202</v>
      </c>
      <c r="U462" s="2">
        <v>0</v>
      </c>
      <c r="V462" s="2">
        <v>0</v>
      </c>
      <c r="W462" s="2">
        <v>0</v>
      </c>
      <c r="AG462" s="16"/>
    </row>
    <row r="463" spans="2:33">
      <c r="B463" s="6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1" t="s">
        <v>290</v>
      </c>
      <c r="R463" s="2">
        <v>137</v>
      </c>
      <c r="S463" s="2">
        <v>143</v>
      </c>
      <c r="T463" s="2">
        <v>288</v>
      </c>
      <c r="U463" s="2">
        <v>0</v>
      </c>
      <c r="V463" s="2">
        <v>0</v>
      </c>
      <c r="W463" s="2">
        <v>0</v>
      </c>
      <c r="AG463" s="16"/>
    </row>
    <row r="464" spans="2:33">
      <c r="B464" s="6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1" t="s">
        <v>291</v>
      </c>
      <c r="R464" s="2">
        <v>159</v>
      </c>
      <c r="S464" s="2">
        <v>120</v>
      </c>
      <c r="T464" s="2">
        <v>377</v>
      </c>
      <c r="U464" s="2">
        <v>0</v>
      </c>
      <c r="V464" s="2">
        <v>0</v>
      </c>
      <c r="W464" s="2">
        <v>0</v>
      </c>
      <c r="AG464" s="16"/>
    </row>
    <row r="465" spans="2:33">
      <c r="B465" s="6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1" t="s">
        <v>292</v>
      </c>
      <c r="R465" s="2">
        <v>135</v>
      </c>
      <c r="S465" s="2">
        <v>128</v>
      </c>
      <c r="T465" s="2">
        <v>216</v>
      </c>
      <c r="U465" s="2">
        <v>0</v>
      </c>
      <c r="V465" s="2">
        <v>0</v>
      </c>
      <c r="W465" s="2">
        <v>0</v>
      </c>
      <c r="AG465" s="16"/>
    </row>
    <row r="466" spans="2:33">
      <c r="B466" s="6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1" t="s">
        <v>293</v>
      </c>
      <c r="R466" s="2">
        <v>117</v>
      </c>
      <c r="S466" s="2">
        <v>112</v>
      </c>
      <c r="T466" s="2">
        <v>178</v>
      </c>
      <c r="U466" s="2">
        <v>0</v>
      </c>
      <c r="V466" s="2">
        <v>0</v>
      </c>
      <c r="W466" s="2">
        <v>0</v>
      </c>
      <c r="AG466" s="16"/>
    </row>
    <row r="467" spans="2:33">
      <c r="B467" s="6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1" t="s">
        <v>268</v>
      </c>
      <c r="R467" s="2">
        <v>70</v>
      </c>
      <c r="S467" s="2">
        <v>80</v>
      </c>
      <c r="T467" s="2">
        <v>143</v>
      </c>
      <c r="U467" s="2">
        <v>0</v>
      </c>
      <c r="V467" s="2">
        <v>0</v>
      </c>
      <c r="W467" s="2">
        <v>0</v>
      </c>
      <c r="AG467" s="16"/>
    </row>
    <row r="468" spans="2:33">
      <c r="B468" s="6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1" t="s">
        <v>269</v>
      </c>
      <c r="R468" s="2">
        <v>92</v>
      </c>
      <c r="S468" s="2">
        <v>104</v>
      </c>
      <c r="T468" s="2">
        <v>191</v>
      </c>
      <c r="U468" s="2">
        <v>0</v>
      </c>
      <c r="V468" s="2">
        <v>0</v>
      </c>
      <c r="W468" s="2">
        <v>0</v>
      </c>
      <c r="AG468" s="16"/>
    </row>
    <row r="469" spans="2:33">
      <c r="B469" s="6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1" t="s">
        <v>294</v>
      </c>
      <c r="R469" s="2">
        <v>153</v>
      </c>
      <c r="S469" s="2">
        <v>159</v>
      </c>
      <c r="T469" s="2">
        <v>399</v>
      </c>
      <c r="U469" s="2">
        <v>0</v>
      </c>
      <c r="V469" s="2">
        <v>0</v>
      </c>
      <c r="W469" s="2">
        <v>0</v>
      </c>
      <c r="AG469" s="16"/>
    </row>
    <row r="470" spans="2:33" ht="15" thickBot="1">
      <c r="B470" s="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1"/>
      <c r="R470" s="2"/>
      <c r="S470" s="2"/>
      <c r="T470" s="2"/>
      <c r="U470" s="2"/>
      <c r="V470" s="2"/>
      <c r="W470" s="2"/>
      <c r="X470" s="15"/>
      <c r="Y470" s="15"/>
      <c r="Z470" s="15"/>
      <c r="AA470" s="15"/>
      <c r="AB470" s="15"/>
      <c r="AC470" s="15"/>
      <c r="AD470" s="15"/>
      <c r="AE470" s="15"/>
      <c r="AF470" s="15"/>
      <c r="AG470" s="17"/>
    </row>
    <row r="471" spans="2:3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1"/>
      <c r="R471" s="2"/>
      <c r="S471" s="2"/>
      <c r="T471" s="2"/>
      <c r="U471" s="2"/>
      <c r="V471" s="2"/>
      <c r="W471" s="2"/>
    </row>
    <row r="472" spans="2:33" ht="15" thickBo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1"/>
      <c r="R472" s="2"/>
      <c r="S472" s="2"/>
      <c r="T472" s="2"/>
      <c r="U472" s="2"/>
      <c r="V472" s="2"/>
      <c r="W472" s="2"/>
    </row>
    <row r="473" spans="2:33" ht="15" thickBot="1">
      <c r="B473" s="33" t="s">
        <v>2196</v>
      </c>
      <c r="C473" s="26" t="s">
        <v>341</v>
      </c>
      <c r="D473" s="26" t="s">
        <v>342</v>
      </c>
      <c r="E473" s="26" t="s">
        <v>343</v>
      </c>
      <c r="F473" s="26" t="s">
        <v>251</v>
      </c>
      <c r="G473" s="26" t="s">
        <v>252</v>
      </c>
      <c r="H473" s="27" t="s">
        <v>253</v>
      </c>
      <c r="I473" s="26" t="s">
        <v>344</v>
      </c>
      <c r="J473" s="27" t="s">
        <v>87</v>
      </c>
      <c r="K473" s="9">
        <v>15</v>
      </c>
      <c r="L473" s="9">
        <v>15</v>
      </c>
      <c r="M473" s="9">
        <v>15</v>
      </c>
      <c r="N473" s="9">
        <v>15</v>
      </c>
      <c r="O473" s="9">
        <v>15</v>
      </c>
      <c r="P473" s="42">
        <v>80</v>
      </c>
      <c r="Q473" s="1" t="s">
        <v>35</v>
      </c>
      <c r="R473" s="2">
        <v>340</v>
      </c>
      <c r="S473" s="2">
        <v>199</v>
      </c>
      <c r="T473" s="2">
        <v>0</v>
      </c>
      <c r="U473" s="2">
        <v>0</v>
      </c>
      <c r="V473" s="2">
        <v>0</v>
      </c>
      <c r="W473" s="2">
        <v>449</v>
      </c>
      <c r="X473" s="43">
        <f>SUM(R473:W485)</f>
        <v>34081</v>
      </c>
      <c r="Y473" s="10">
        <v>46204</v>
      </c>
      <c r="Z473" s="11">
        <v>0.21896900122639595</v>
      </c>
      <c r="AA473" s="11">
        <v>0.18255917925488163</v>
      </c>
      <c r="AB473" s="11">
        <v>0.14708513495490375</v>
      </c>
      <c r="AC473" s="11">
        <v>0.12856702693487934</v>
      </c>
      <c r="AD473" s="11">
        <v>0.11429546234595808</v>
      </c>
      <c r="AE473" s="11">
        <v>0.13131505978116356</v>
      </c>
      <c r="AF473" s="11">
        <v>0.15</v>
      </c>
      <c r="AG473" s="13">
        <v>0.23899999999999999</v>
      </c>
    </row>
    <row r="474" spans="2:33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1" t="s">
        <v>36</v>
      </c>
      <c r="R474" s="2">
        <v>1461</v>
      </c>
      <c r="S474" s="2">
        <v>1068</v>
      </c>
      <c r="T474" s="2">
        <v>0</v>
      </c>
      <c r="U474" s="2">
        <v>0</v>
      </c>
      <c r="V474" s="2">
        <v>0</v>
      </c>
      <c r="W474" s="2">
        <v>2371</v>
      </c>
      <c r="X474" s="14"/>
      <c r="Y474" s="14"/>
      <c r="Z474" s="14"/>
      <c r="AA474" s="14"/>
      <c r="AB474" s="14"/>
      <c r="AC474" s="14"/>
      <c r="AD474" s="14"/>
      <c r="AE474" s="14"/>
      <c r="AF474" s="14"/>
      <c r="AG474" s="16"/>
    </row>
    <row r="475" spans="2:33">
      <c r="B475" s="6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1" t="s">
        <v>37</v>
      </c>
      <c r="R475" s="2">
        <v>0</v>
      </c>
      <c r="S475" s="2">
        <v>441</v>
      </c>
      <c r="T475" s="2">
        <v>335</v>
      </c>
      <c r="U475" s="2">
        <v>0</v>
      </c>
      <c r="V475" s="2">
        <v>0</v>
      </c>
      <c r="W475" s="2">
        <v>1118</v>
      </c>
      <c r="AG475" s="16"/>
    </row>
    <row r="476" spans="2:33">
      <c r="B476" s="6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1" t="s">
        <v>38</v>
      </c>
      <c r="R476" s="2">
        <v>0</v>
      </c>
      <c r="S476" s="2">
        <v>0</v>
      </c>
      <c r="T476" s="2">
        <v>0</v>
      </c>
      <c r="U476" s="2">
        <v>1126</v>
      </c>
      <c r="V476" s="2">
        <v>795</v>
      </c>
      <c r="W476" s="2">
        <v>1866</v>
      </c>
      <c r="AG476" s="16"/>
    </row>
    <row r="477" spans="2:33">
      <c r="B477" s="6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1" t="s">
        <v>345</v>
      </c>
      <c r="R477" s="2">
        <v>0</v>
      </c>
      <c r="S477" s="2">
        <v>0</v>
      </c>
      <c r="T477" s="2">
        <v>0</v>
      </c>
      <c r="U477" s="2">
        <v>202</v>
      </c>
      <c r="V477" s="2">
        <v>136</v>
      </c>
      <c r="W477" s="2">
        <v>628</v>
      </c>
      <c r="AG477" s="16"/>
    </row>
    <row r="478" spans="2:33">
      <c r="B478" s="6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1" t="s">
        <v>346</v>
      </c>
      <c r="R478" s="2">
        <v>0</v>
      </c>
      <c r="S478" s="2">
        <v>0</v>
      </c>
      <c r="T478" s="2">
        <v>0</v>
      </c>
      <c r="U478" s="2">
        <v>961</v>
      </c>
      <c r="V478" s="2">
        <v>651</v>
      </c>
      <c r="W478" s="2">
        <v>1144</v>
      </c>
      <c r="AG478" s="16"/>
    </row>
    <row r="479" spans="2:33">
      <c r="B479" s="6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1" t="s">
        <v>40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AG479" s="16"/>
    </row>
    <row r="480" spans="2:33">
      <c r="B480" s="6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1" t="s">
        <v>41</v>
      </c>
      <c r="R480" s="2">
        <v>1366</v>
      </c>
      <c r="S480" s="2">
        <v>783</v>
      </c>
      <c r="T480" s="2">
        <v>0</v>
      </c>
      <c r="U480" s="2">
        <v>0</v>
      </c>
      <c r="V480" s="2">
        <v>0</v>
      </c>
      <c r="W480" s="2">
        <v>1568</v>
      </c>
      <c r="AG480" s="16"/>
    </row>
    <row r="481" spans="2:33">
      <c r="B481" s="6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1" t="s">
        <v>42</v>
      </c>
      <c r="R481" s="2">
        <v>0</v>
      </c>
      <c r="S481" s="2">
        <v>0</v>
      </c>
      <c r="T481" s="2">
        <v>1683</v>
      </c>
      <c r="U481" s="2">
        <v>1069</v>
      </c>
      <c r="V481" s="2">
        <v>0</v>
      </c>
      <c r="W481" s="2">
        <v>2579</v>
      </c>
      <c r="AG481" s="16"/>
    </row>
    <row r="482" spans="2:33">
      <c r="B482" s="6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1" t="s">
        <v>43</v>
      </c>
      <c r="R482" s="2">
        <v>0</v>
      </c>
      <c r="S482" s="2">
        <v>0</v>
      </c>
      <c r="T482" s="2">
        <v>1735</v>
      </c>
      <c r="U482" s="2">
        <v>1028</v>
      </c>
      <c r="V482" s="2">
        <v>0</v>
      </c>
      <c r="W482" s="2">
        <v>1961</v>
      </c>
      <c r="AG482" s="16"/>
    </row>
    <row r="483" spans="2:33">
      <c r="B483" s="6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1" t="s">
        <v>44</v>
      </c>
      <c r="R483" s="2">
        <v>0</v>
      </c>
      <c r="S483" s="2">
        <v>0</v>
      </c>
      <c r="T483" s="2">
        <v>0</v>
      </c>
      <c r="U483" s="2">
        <v>261</v>
      </c>
      <c r="V483" s="2">
        <v>130</v>
      </c>
      <c r="W483" s="2">
        <v>146</v>
      </c>
      <c r="AG483" s="16"/>
    </row>
    <row r="484" spans="2:33">
      <c r="B484" s="6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1" t="s">
        <v>45</v>
      </c>
      <c r="R484" s="2">
        <v>0</v>
      </c>
      <c r="S484" s="2">
        <v>1211</v>
      </c>
      <c r="T484" s="2">
        <v>749</v>
      </c>
      <c r="U484" s="2">
        <v>0</v>
      </c>
      <c r="V484" s="2">
        <v>0</v>
      </c>
      <c r="W484" s="2">
        <v>1898</v>
      </c>
      <c r="AG484" s="16"/>
    </row>
    <row r="485" spans="2:33">
      <c r="B485" s="6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1" t="s">
        <v>46</v>
      </c>
      <c r="R485" s="2">
        <v>206</v>
      </c>
      <c r="S485" s="2">
        <v>125</v>
      </c>
      <c r="T485" s="2">
        <v>0</v>
      </c>
      <c r="U485" s="2">
        <v>0</v>
      </c>
      <c r="V485" s="2">
        <v>0</v>
      </c>
      <c r="W485" s="2">
        <v>292</v>
      </c>
      <c r="AG485" s="16"/>
    </row>
    <row r="486" spans="2:33" ht="15" thickBot="1">
      <c r="B486" s="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1"/>
      <c r="R486" s="2"/>
      <c r="S486" s="2"/>
      <c r="T486" s="2"/>
      <c r="U486" s="2"/>
      <c r="V486" s="2"/>
      <c r="W486" s="2"/>
      <c r="X486" s="15"/>
      <c r="Y486" s="15"/>
      <c r="Z486" s="15"/>
      <c r="AA486" s="15"/>
      <c r="AB486" s="15"/>
      <c r="AC486" s="15"/>
      <c r="AD486" s="15"/>
      <c r="AE486" s="15"/>
      <c r="AF486" s="15"/>
      <c r="AG486" s="17"/>
    </row>
    <row r="487" spans="2:33" ht="15" thickBo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1"/>
      <c r="R487" s="2"/>
      <c r="S487" s="2"/>
      <c r="T487" s="2"/>
      <c r="U487" s="2"/>
      <c r="V487" s="2"/>
      <c r="W487" s="2"/>
    </row>
    <row r="488" spans="2:33" ht="15" thickBot="1">
      <c r="B488" s="33" t="s">
        <v>2196</v>
      </c>
      <c r="C488" s="26" t="s">
        <v>341</v>
      </c>
      <c r="D488" s="26" t="s">
        <v>347</v>
      </c>
      <c r="E488" s="26" t="s">
        <v>348</v>
      </c>
      <c r="F488" s="26" t="s">
        <v>251</v>
      </c>
      <c r="G488" s="26" t="s">
        <v>252</v>
      </c>
      <c r="H488" s="27" t="s">
        <v>253</v>
      </c>
      <c r="I488" s="26" t="s">
        <v>349</v>
      </c>
      <c r="J488" s="27" t="s">
        <v>87</v>
      </c>
      <c r="K488" s="29">
        <v>15.0100002288818</v>
      </c>
      <c r="L488" s="29">
        <v>15.0100002288818</v>
      </c>
      <c r="M488" s="29">
        <v>15.0100002288818</v>
      </c>
      <c r="N488" s="29">
        <v>15.0100002288818</v>
      </c>
      <c r="O488" s="29">
        <v>15.0100002288818</v>
      </c>
      <c r="P488" s="40">
        <v>30</v>
      </c>
      <c r="Q488" s="1" t="s">
        <v>35</v>
      </c>
      <c r="R488" s="2">
        <v>1285</v>
      </c>
      <c r="S488" s="2">
        <v>849</v>
      </c>
      <c r="T488" s="2">
        <v>0</v>
      </c>
      <c r="U488" s="2">
        <v>0</v>
      </c>
      <c r="V488" s="2">
        <v>0</v>
      </c>
      <c r="W488" s="2">
        <v>1879</v>
      </c>
      <c r="X488" s="43">
        <f>SUM(R488:W501)</f>
        <v>50209</v>
      </c>
      <c r="Y488" s="10">
        <v>46204</v>
      </c>
      <c r="Z488" s="11">
        <v>0.21896900122639595</v>
      </c>
      <c r="AA488" s="11">
        <v>0.18255917925488163</v>
      </c>
      <c r="AB488" s="11">
        <v>0.14708513495490375</v>
      </c>
      <c r="AC488" s="11">
        <v>0.12856702693487934</v>
      </c>
      <c r="AD488" s="11">
        <v>0.11429546234595808</v>
      </c>
      <c r="AE488" s="11">
        <v>0.13131505978116356</v>
      </c>
      <c r="AF488" s="11">
        <v>0.15</v>
      </c>
      <c r="AG488" s="13">
        <v>0.23899999999999999</v>
      </c>
    </row>
    <row r="489" spans="2:33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1" t="s">
        <v>36</v>
      </c>
      <c r="R489" s="2">
        <v>1341</v>
      </c>
      <c r="S489" s="2">
        <v>922</v>
      </c>
      <c r="T489" s="2">
        <v>0</v>
      </c>
      <c r="U489" s="2">
        <v>0</v>
      </c>
      <c r="V489" s="2">
        <v>0</v>
      </c>
      <c r="W489" s="2">
        <v>2073</v>
      </c>
      <c r="X489" s="14"/>
      <c r="Y489" s="14"/>
      <c r="Z489" s="14"/>
      <c r="AA489" s="14"/>
      <c r="AB489" s="14"/>
      <c r="AC489" s="14"/>
      <c r="AD489" s="14"/>
      <c r="AE489" s="14"/>
      <c r="AF489" s="14"/>
      <c r="AG489" s="16"/>
    </row>
    <row r="490" spans="2:33">
      <c r="B490" s="6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1" t="s">
        <v>37</v>
      </c>
      <c r="R490" s="2">
        <v>0</v>
      </c>
      <c r="S490" s="2">
        <v>1176</v>
      </c>
      <c r="T490" s="2">
        <v>839</v>
      </c>
      <c r="U490" s="2">
        <v>0</v>
      </c>
      <c r="V490" s="2">
        <v>0</v>
      </c>
      <c r="W490" s="2">
        <v>2207</v>
      </c>
      <c r="AG490" s="16"/>
    </row>
    <row r="491" spans="2:33">
      <c r="B491" s="6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1" t="s">
        <v>38</v>
      </c>
      <c r="R491" s="2">
        <v>0</v>
      </c>
      <c r="S491" s="2">
        <v>0</v>
      </c>
      <c r="T491" s="2">
        <v>0</v>
      </c>
      <c r="U491" s="2">
        <v>776</v>
      </c>
      <c r="V491" s="2">
        <v>763</v>
      </c>
      <c r="W491" s="2">
        <v>2479</v>
      </c>
      <c r="AG491" s="16"/>
    </row>
    <row r="492" spans="2:33">
      <c r="B492" s="6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1" t="s">
        <v>350</v>
      </c>
      <c r="R492" s="2">
        <v>0</v>
      </c>
      <c r="S492" s="2">
        <v>0</v>
      </c>
      <c r="T492" s="2">
        <v>0</v>
      </c>
      <c r="U492" s="2">
        <v>145</v>
      </c>
      <c r="V492" s="2">
        <v>199</v>
      </c>
      <c r="W492" s="2">
        <v>998</v>
      </c>
      <c r="AG492" s="16"/>
    </row>
    <row r="493" spans="2:33">
      <c r="B493" s="6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1" t="s">
        <v>351</v>
      </c>
      <c r="R493" s="2">
        <v>0</v>
      </c>
      <c r="S493" s="2">
        <v>0</v>
      </c>
      <c r="T493" s="2">
        <v>0</v>
      </c>
      <c r="U493" s="2">
        <v>197</v>
      </c>
      <c r="V493" s="2">
        <v>347</v>
      </c>
      <c r="W493" s="2">
        <v>1394</v>
      </c>
      <c r="AG493" s="16"/>
    </row>
    <row r="494" spans="2:33">
      <c r="B494" s="6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1" t="s">
        <v>40</v>
      </c>
      <c r="R494" s="2">
        <v>0</v>
      </c>
      <c r="S494" s="2">
        <v>0</v>
      </c>
      <c r="T494" s="2">
        <v>367</v>
      </c>
      <c r="U494" s="2">
        <v>655</v>
      </c>
      <c r="V494" s="2">
        <v>0</v>
      </c>
      <c r="W494" s="2">
        <v>2284</v>
      </c>
      <c r="AG494" s="16"/>
    </row>
    <row r="495" spans="2:33">
      <c r="B495" s="6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1" t="s">
        <v>41</v>
      </c>
      <c r="R495" s="2">
        <v>567</v>
      </c>
      <c r="S495" s="2">
        <v>777</v>
      </c>
      <c r="T495" s="2">
        <v>0</v>
      </c>
      <c r="U495" s="2">
        <v>0</v>
      </c>
      <c r="V495" s="2">
        <v>0</v>
      </c>
      <c r="W495" s="2">
        <v>2276</v>
      </c>
      <c r="AG495" s="16"/>
    </row>
    <row r="496" spans="2:33">
      <c r="B496" s="6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1" t="s">
        <v>42</v>
      </c>
      <c r="R496" s="2">
        <v>0</v>
      </c>
      <c r="S496" s="2">
        <v>0</v>
      </c>
      <c r="T496" s="2">
        <v>487</v>
      </c>
      <c r="U496" s="2">
        <v>538</v>
      </c>
      <c r="V496" s="2">
        <v>0</v>
      </c>
      <c r="W496" s="2">
        <v>1560</v>
      </c>
      <c r="AG496" s="16"/>
    </row>
    <row r="497" spans="2:33">
      <c r="B497" s="6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1" t="s">
        <v>43</v>
      </c>
      <c r="R497" s="2">
        <v>0</v>
      </c>
      <c r="S497" s="2">
        <v>0</v>
      </c>
      <c r="T497" s="2">
        <v>1080</v>
      </c>
      <c r="U497" s="2">
        <v>983</v>
      </c>
      <c r="V497" s="2">
        <v>0</v>
      </c>
      <c r="W497" s="2">
        <v>2354</v>
      </c>
      <c r="AG497" s="16"/>
    </row>
    <row r="498" spans="2:33">
      <c r="B498" s="6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1" t="s">
        <v>44</v>
      </c>
      <c r="R498" s="2">
        <v>0</v>
      </c>
      <c r="S498" s="2">
        <v>0</v>
      </c>
      <c r="T498" s="2">
        <v>0</v>
      </c>
      <c r="U498" s="2">
        <v>1174</v>
      </c>
      <c r="V498" s="2">
        <v>955</v>
      </c>
      <c r="W498" s="2">
        <v>2849</v>
      </c>
      <c r="AG498" s="16"/>
    </row>
    <row r="499" spans="2:33">
      <c r="B499" s="6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1" t="s">
        <v>352</v>
      </c>
      <c r="R499" s="2">
        <v>0</v>
      </c>
      <c r="S499" s="2">
        <v>691</v>
      </c>
      <c r="T499" s="2">
        <v>427</v>
      </c>
      <c r="U499" s="2">
        <v>0</v>
      </c>
      <c r="V499" s="2">
        <v>0</v>
      </c>
      <c r="W499" s="2">
        <v>1669</v>
      </c>
      <c r="AG499" s="16"/>
    </row>
    <row r="500" spans="2:33">
      <c r="B500" s="6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1" t="s">
        <v>353</v>
      </c>
      <c r="R500" s="2">
        <v>0</v>
      </c>
      <c r="S500" s="2">
        <v>703</v>
      </c>
      <c r="T500" s="2">
        <v>436</v>
      </c>
      <c r="U500" s="2">
        <v>0</v>
      </c>
      <c r="V500" s="2">
        <v>0</v>
      </c>
      <c r="W500" s="2">
        <v>1273</v>
      </c>
      <c r="AG500" s="16"/>
    </row>
    <row r="501" spans="2:33" ht="15" thickBot="1">
      <c r="B501" s="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1" t="s">
        <v>46</v>
      </c>
      <c r="R501" s="2">
        <v>1927</v>
      </c>
      <c r="S501" s="2">
        <v>1188</v>
      </c>
      <c r="T501" s="2">
        <v>0</v>
      </c>
      <c r="U501" s="2">
        <v>0</v>
      </c>
      <c r="V501" s="2">
        <v>0</v>
      </c>
      <c r="W501" s="2">
        <v>3120</v>
      </c>
      <c r="X501" s="15"/>
      <c r="Y501" s="15"/>
      <c r="Z501" s="15"/>
      <c r="AA501" s="15"/>
      <c r="AB501" s="15"/>
      <c r="AC501" s="15"/>
      <c r="AD501" s="15"/>
      <c r="AE501" s="15"/>
      <c r="AF501" s="15"/>
      <c r="AG501" s="17"/>
    </row>
    <row r="502" spans="2:33" ht="15" thickBo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1"/>
      <c r="R502" s="2"/>
      <c r="S502" s="2"/>
      <c r="T502" s="2"/>
      <c r="U502" s="2"/>
      <c r="V502" s="2"/>
      <c r="W502" s="2"/>
    </row>
    <row r="503" spans="2:33" ht="15" thickBot="1">
      <c r="B503" s="33" t="s">
        <v>2196</v>
      </c>
      <c r="C503" s="26" t="s">
        <v>341</v>
      </c>
      <c r="D503" s="26" t="s">
        <v>354</v>
      </c>
      <c r="E503" s="26" t="s">
        <v>355</v>
      </c>
      <c r="F503" s="26" t="s">
        <v>251</v>
      </c>
      <c r="G503" s="26" t="s">
        <v>252</v>
      </c>
      <c r="H503" s="27" t="s">
        <v>253</v>
      </c>
      <c r="I503" s="26" t="s">
        <v>356</v>
      </c>
      <c r="J503" s="27" t="s">
        <v>34</v>
      </c>
      <c r="K503" s="29">
        <v>40</v>
      </c>
      <c r="L503" s="29">
        <v>40</v>
      </c>
      <c r="M503" s="29">
        <v>50</v>
      </c>
      <c r="N503" s="29">
        <v>50</v>
      </c>
      <c r="O503" s="29">
        <v>50</v>
      </c>
      <c r="P503" s="40">
        <v>100</v>
      </c>
      <c r="Q503" s="1" t="s">
        <v>35</v>
      </c>
      <c r="R503" s="2">
        <v>1943</v>
      </c>
      <c r="S503" s="2">
        <v>3353</v>
      </c>
      <c r="T503" s="2">
        <v>0</v>
      </c>
      <c r="U503" s="2">
        <v>0</v>
      </c>
      <c r="V503" s="2">
        <v>0</v>
      </c>
      <c r="W503" s="2">
        <v>4136</v>
      </c>
      <c r="X503" s="43">
        <f>SUM(R503:W515)</f>
        <v>148102</v>
      </c>
      <c r="Y503" s="10">
        <v>46204</v>
      </c>
      <c r="Z503" s="11">
        <v>0.18944179940637271</v>
      </c>
      <c r="AA503" s="11">
        <v>0.15835358124143273</v>
      </c>
      <c r="AB503" s="11">
        <v>0.13112092502991979</v>
      </c>
      <c r="AC503" s="11">
        <v>0.11711967035536473</v>
      </c>
      <c r="AD503" s="11">
        <v>0.10620551120181751</v>
      </c>
      <c r="AE503" s="11">
        <v>0.12187624542640918</v>
      </c>
      <c r="AF503" s="11">
        <v>0.15</v>
      </c>
      <c r="AG503" s="13">
        <v>0.23899999999999999</v>
      </c>
    </row>
    <row r="504" spans="2:33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1" t="s">
        <v>36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14"/>
      <c r="Y504" s="14"/>
      <c r="Z504" s="14"/>
      <c r="AA504" s="14"/>
      <c r="AB504" s="14"/>
      <c r="AC504" s="14"/>
      <c r="AD504" s="14"/>
      <c r="AE504" s="14"/>
      <c r="AF504" s="14"/>
      <c r="AG504" s="16"/>
    </row>
    <row r="505" spans="2:33">
      <c r="B505" s="6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1" t="s">
        <v>37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AG505" s="16"/>
    </row>
    <row r="506" spans="2:33">
      <c r="B506" s="6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1" t="s">
        <v>38</v>
      </c>
      <c r="R506" s="2">
        <v>1819</v>
      </c>
      <c r="S506" s="2">
        <v>5740</v>
      </c>
      <c r="T506" s="2">
        <v>3715</v>
      </c>
      <c r="U506" s="2">
        <v>2405</v>
      </c>
      <c r="V506" s="2">
        <v>4377</v>
      </c>
      <c r="W506" s="2">
        <v>11269</v>
      </c>
      <c r="AG506" s="16"/>
    </row>
    <row r="507" spans="2:33">
      <c r="B507" s="6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1" t="s">
        <v>255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1976</v>
      </c>
      <c r="AG507" s="16"/>
    </row>
    <row r="508" spans="2:33">
      <c r="B508" s="6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1" t="s">
        <v>256</v>
      </c>
      <c r="R508" s="2">
        <v>0</v>
      </c>
      <c r="S508" s="2">
        <v>0</v>
      </c>
      <c r="T508" s="2">
        <v>0</v>
      </c>
      <c r="U508" s="2">
        <v>2290</v>
      </c>
      <c r="V508" s="2">
        <v>4113</v>
      </c>
      <c r="W508" s="2">
        <v>2582</v>
      </c>
      <c r="AG508" s="16"/>
    </row>
    <row r="509" spans="2:33">
      <c r="B509" s="6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1" t="s">
        <v>40</v>
      </c>
      <c r="R509" s="2">
        <v>0</v>
      </c>
      <c r="S509" s="2">
        <v>0</v>
      </c>
      <c r="T509" s="2">
        <v>4557</v>
      </c>
      <c r="U509" s="2">
        <v>4578</v>
      </c>
      <c r="V509" s="2">
        <v>0</v>
      </c>
      <c r="W509" s="2">
        <v>5913</v>
      </c>
      <c r="AG509" s="16"/>
    </row>
    <row r="510" spans="2:33">
      <c r="B510" s="6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1" t="s">
        <v>41</v>
      </c>
      <c r="R510" s="2">
        <v>2506</v>
      </c>
      <c r="S510" s="2">
        <v>4898</v>
      </c>
      <c r="T510" s="2">
        <v>0</v>
      </c>
      <c r="U510" s="2">
        <v>0</v>
      </c>
      <c r="V510" s="2">
        <v>0</v>
      </c>
      <c r="W510" s="2">
        <v>1248</v>
      </c>
      <c r="AG510" s="16"/>
    </row>
    <row r="511" spans="2:33">
      <c r="B511" s="6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1" t="s">
        <v>42</v>
      </c>
      <c r="R511" s="2">
        <v>0</v>
      </c>
      <c r="S511" s="2">
        <v>0</v>
      </c>
      <c r="T511" s="2">
        <v>2938</v>
      </c>
      <c r="U511" s="2">
        <v>4478</v>
      </c>
      <c r="V511" s="2">
        <v>0</v>
      </c>
      <c r="W511" s="2">
        <v>6993</v>
      </c>
      <c r="AG511" s="16"/>
    </row>
    <row r="512" spans="2:33">
      <c r="B512" s="6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1" t="s">
        <v>43</v>
      </c>
      <c r="R512" s="2">
        <v>0</v>
      </c>
      <c r="S512" s="2">
        <v>0</v>
      </c>
      <c r="T512" s="2">
        <v>5085</v>
      </c>
      <c r="U512" s="2">
        <v>4564</v>
      </c>
      <c r="V512" s="2">
        <v>0</v>
      </c>
      <c r="W512" s="2">
        <v>6861</v>
      </c>
      <c r="AG512" s="16"/>
    </row>
    <row r="513" spans="2:33">
      <c r="B513" s="6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1" t="s">
        <v>44</v>
      </c>
      <c r="R513" s="2">
        <v>0</v>
      </c>
      <c r="S513" s="2">
        <v>0</v>
      </c>
      <c r="T513" s="2">
        <v>0</v>
      </c>
      <c r="U513" s="2">
        <v>5920</v>
      </c>
      <c r="V513" s="2">
        <v>4968</v>
      </c>
      <c r="W513" s="2">
        <v>5191</v>
      </c>
      <c r="AG513" s="16"/>
    </row>
    <row r="514" spans="2:33">
      <c r="B514" s="6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1" t="s">
        <v>45</v>
      </c>
      <c r="R514" s="2">
        <v>0</v>
      </c>
      <c r="S514" s="2">
        <v>4144</v>
      </c>
      <c r="T514" s="2">
        <v>3894</v>
      </c>
      <c r="U514" s="2">
        <v>0</v>
      </c>
      <c r="V514" s="2">
        <v>0</v>
      </c>
      <c r="W514" s="2">
        <v>6500</v>
      </c>
      <c r="AG514" s="16"/>
    </row>
    <row r="515" spans="2:33">
      <c r="B515" s="6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1" t="s">
        <v>46</v>
      </c>
      <c r="R515" s="2">
        <v>3910</v>
      </c>
      <c r="S515" s="2">
        <v>4415</v>
      </c>
      <c r="T515" s="2">
        <v>0</v>
      </c>
      <c r="U515" s="2">
        <v>0</v>
      </c>
      <c r="V515" s="2">
        <v>0</v>
      </c>
      <c r="W515" s="2">
        <v>4823</v>
      </c>
      <c r="AG515" s="16"/>
    </row>
    <row r="516" spans="2:33" ht="15" thickBot="1">
      <c r="B516" s="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1"/>
      <c r="R516" s="2"/>
      <c r="S516" s="2"/>
      <c r="T516" s="2"/>
      <c r="U516" s="2"/>
      <c r="V516" s="2"/>
      <c r="W516" s="2"/>
      <c r="X516" s="15"/>
      <c r="Y516" s="15"/>
      <c r="Z516" s="15"/>
      <c r="AA516" s="15"/>
      <c r="AB516" s="15"/>
      <c r="AC516" s="15"/>
      <c r="AD516" s="15"/>
      <c r="AE516" s="15"/>
      <c r="AF516" s="15"/>
      <c r="AG516" s="17"/>
    </row>
    <row r="517" spans="2:33" ht="15" thickBo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1"/>
      <c r="R517" s="2"/>
      <c r="S517" s="2"/>
      <c r="T517" s="2"/>
      <c r="U517" s="2"/>
      <c r="V517" s="2"/>
      <c r="W517" s="2"/>
    </row>
    <row r="518" spans="2:33" ht="15" thickBot="1">
      <c r="B518" s="33" t="s">
        <v>2196</v>
      </c>
      <c r="C518" s="26" t="s">
        <v>357</v>
      </c>
      <c r="D518" s="26" t="s">
        <v>358</v>
      </c>
      <c r="E518" s="26" t="s">
        <v>359</v>
      </c>
      <c r="F518" s="26" t="s">
        <v>251</v>
      </c>
      <c r="G518" s="26" t="s">
        <v>252</v>
      </c>
      <c r="H518" s="27" t="s">
        <v>253</v>
      </c>
      <c r="I518" s="26" t="s">
        <v>360</v>
      </c>
      <c r="J518" s="27" t="s">
        <v>87</v>
      </c>
      <c r="K518" s="29">
        <v>17</v>
      </c>
      <c r="L518" s="29">
        <v>17</v>
      </c>
      <c r="M518" s="29">
        <v>17</v>
      </c>
      <c r="N518" s="29">
        <v>17</v>
      </c>
      <c r="O518" s="29">
        <v>17</v>
      </c>
      <c r="P518" s="40">
        <v>24.430000305175799</v>
      </c>
      <c r="Q518" s="1" t="s">
        <v>35</v>
      </c>
      <c r="R518" s="2">
        <v>771</v>
      </c>
      <c r="S518" s="2">
        <v>675</v>
      </c>
      <c r="T518" s="2">
        <v>0</v>
      </c>
      <c r="U518" s="2">
        <v>0</v>
      </c>
      <c r="V518" s="2">
        <v>0</v>
      </c>
      <c r="W518" s="2">
        <v>1465</v>
      </c>
      <c r="X518" s="43">
        <f>SUM(R518:W530)</f>
        <v>31187</v>
      </c>
      <c r="Y518" s="10">
        <v>46204</v>
      </c>
      <c r="Z518" s="11">
        <v>0.21896900122639595</v>
      </c>
      <c r="AA518" s="11">
        <v>0.18255917925488163</v>
      </c>
      <c r="AB518" s="11">
        <v>0.14708513495490375</v>
      </c>
      <c r="AC518" s="11">
        <v>0.12856702693487934</v>
      </c>
      <c r="AD518" s="11">
        <v>0.11429546234595808</v>
      </c>
      <c r="AE518" s="11">
        <v>0.13131505978116356</v>
      </c>
      <c r="AF518" s="11">
        <v>0.15</v>
      </c>
      <c r="AG518" s="13">
        <v>0.23899999999999999</v>
      </c>
    </row>
    <row r="519" spans="2:33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1" t="s">
        <v>36</v>
      </c>
      <c r="R519" s="2">
        <v>569</v>
      </c>
      <c r="S519" s="2">
        <v>499</v>
      </c>
      <c r="T519" s="2">
        <v>0</v>
      </c>
      <c r="U519" s="2">
        <v>0</v>
      </c>
      <c r="V519" s="2">
        <v>0</v>
      </c>
      <c r="W519" s="2">
        <v>1238</v>
      </c>
      <c r="X519" s="14"/>
      <c r="Y519" s="14"/>
      <c r="Z519" s="14"/>
      <c r="AA519" s="14"/>
      <c r="AB519" s="14"/>
      <c r="AC519" s="14"/>
      <c r="AD519" s="14"/>
      <c r="AE519" s="14"/>
      <c r="AF519" s="14"/>
      <c r="AG519" s="16"/>
    </row>
    <row r="520" spans="2:33">
      <c r="B520" s="6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1" t="s">
        <v>37</v>
      </c>
      <c r="R520" s="2">
        <v>0</v>
      </c>
      <c r="S520" s="2">
        <v>699</v>
      </c>
      <c r="T520" s="2">
        <v>598</v>
      </c>
      <c r="U520" s="2">
        <v>0</v>
      </c>
      <c r="V520" s="2">
        <v>0</v>
      </c>
      <c r="W520" s="2">
        <v>1252</v>
      </c>
      <c r="AG520" s="16"/>
    </row>
    <row r="521" spans="2:33">
      <c r="B521" s="6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1" t="s">
        <v>38</v>
      </c>
      <c r="R521" s="2">
        <v>0</v>
      </c>
      <c r="S521" s="2">
        <v>0</v>
      </c>
      <c r="T521" s="2">
        <v>0</v>
      </c>
      <c r="U521" s="2">
        <v>1045</v>
      </c>
      <c r="V521" s="2">
        <v>784</v>
      </c>
      <c r="W521" s="2">
        <v>1022</v>
      </c>
      <c r="AG521" s="16"/>
    </row>
    <row r="522" spans="2:33">
      <c r="B522" s="6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1" t="s">
        <v>350</v>
      </c>
      <c r="R522" s="2">
        <v>0</v>
      </c>
      <c r="S522" s="2">
        <v>0</v>
      </c>
      <c r="T522" s="2">
        <v>0</v>
      </c>
      <c r="U522" s="2">
        <v>336</v>
      </c>
      <c r="V522" s="2">
        <v>256</v>
      </c>
      <c r="W522" s="2">
        <v>561</v>
      </c>
      <c r="AG522" s="16"/>
    </row>
    <row r="523" spans="2:33">
      <c r="B523" s="6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1" t="s">
        <v>351</v>
      </c>
      <c r="R523" s="2">
        <v>0</v>
      </c>
      <c r="S523" s="2">
        <v>0</v>
      </c>
      <c r="T523" s="2">
        <v>0</v>
      </c>
      <c r="U523" s="2">
        <v>671</v>
      </c>
      <c r="V523" s="2">
        <v>509</v>
      </c>
      <c r="W523" s="2">
        <v>643</v>
      </c>
      <c r="AG523" s="16"/>
    </row>
    <row r="524" spans="2:33">
      <c r="B524" s="6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1" t="s">
        <v>40</v>
      </c>
      <c r="R524" s="2">
        <v>0</v>
      </c>
      <c r="S524" s="2">
        <v>0</v>
      </c>
      <c r="T524" s="2">
        <v>786</v>
      </c>
      <c r="U524" s="2">
        <v>598</v>
      </c>
      <c r="V524" s="2">
        <v>0</v>
      </c>
      <c r="W524" s="2">
        <v>1033</v>
      </c>
      <c r="AG524" s="16"/>
    </row>
    <row r="525" spans="2:33">
      <c r="B525" s="6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1" t="s">
        <v>41</v>
      </c>
      <c r="R525" s="2">
        <v>1051</v>
      </c>
      <c r="S525" s="2">
        <v>787</v>
      </c>
      <c r="T525" s="2">
        <v>0</v>
      </c>
      <c r="U525" s="2">
        <v>0</v>
      </c>
      <c r="V525" s="2">
        <v>0</v>
      </c>
      <c r="W525" s="2">
        <v>1030</v>
      </c>
      <c r="AG525" s="16"/>
    </row>
    <row r="526" spans="2:33">
      <c r="B526" s="6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1" t="s">
        <v>42</v>
      </c>
      <c r="R526" s="2">
        <v>0</v>
      </c>
      <c r="S526" s="2">
        <v>0</v>
      </c>
      <c r="T526" s="2">
        <v>774</v>
      </c>
      <c r="U526" s="2">
        <v>576</v>
      </c>
      <c r="V526" s="2">
        <v>0</v>
      </c>
      <c r="W526" s="2">
        <v>1223</v>
      </c>
      <c r="AG526" s="16"/>
    </row>
    <row r="527" spans="2:33">
      <c r="B527" s="6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1" t="s">
        <v>43</v>
      </c>
      <c r="R527" s="2">
        <v>0</v>
      </c>
      <c r="S527" s="2">
        <v>0</v>
      </c>
      <c r="T527" s="2">
        <v>1087</v>
      </c>
      <c r="U527" s="2">
        <v>823</v>
      </c>
      <c r="V527" s="2">
        <v>0</v>
      </c>
      <c r="W527" s="2">
        <v>1069</v>
      </c>
      <c r="AG527" s="16"/>
    </row>
    <row r="528" spans="2:33">
      <c r="B528" s="6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1" t="s">
        <v>44</v>
      </c>
      <c r="R528" s="2">
        <v>0</v>
      </c>
      <c r="S528" s="2">
        <v>0</v>
      </c>
      <c r="T528" s="2">
        <v>0</v>
      </c>
      <c r="U528" s="2">
        <v>1075</v>
      </c>
      <c r="V528" s="2">
        <v>838</v>
      </c>
      <c r="W528" s="2">
        <v>1153</v>
      </c>
      <c r="AG528" s="16"/>
    </row>
    <row r="529" spans="2:33">
      <c r="B529" s="6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1" t="s">
        <v>45</v>
      </c>
      <c r="R529" s="2">
        <v>0</v>
      </c>
      <c r="S529" s="2">
        <v>645</v>
      </c>
      <c r="T529" s="2">
        <v>581</v>
      </c>
      <c r="U529" s="2">
        <v>0</v>
      </c>
      <c r="V529" s="2">
        <v>0</v>
      </c>
      <c r="W529" s="2">
        <v>1383</v>
      </c>
      <c r="AG529" s="16"/>
    </row>
    <row r="530" spans="2:33">
      <c r="B530" s="6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1" t="s">
        <v>46</v>
      </c>
      <c r="R530" s="2">
        <v>290</v>
      </c>
      <c r="S530" s="2">
        <v>252</v>
      </c>
      <c r="T530" s="2">
        <v>0</v>
      </c>
      <c r="U530" s="2">
        <v>0</v>
      </c>
      <c r="V530" s="2">
        <v>0</v>
      </c>
      <c r="W530" s="2">
        <v>540</v>
      </c>
      <c r="AG530" s="16"/>
    </row>
    <row r="531" spans="2:33" ht="15" thickBot="1">
      <c r="B531" s="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1"/>
      <c r="R531" s="2"/>
      <c r="S531" s="2"/>
      <c r="T531" s="2"/>
      <c r="U531" s="2"/>
      <c r="V531" s="2"/>
      <c r="W531" s="2"/>
      <c r="X531" s="15"/>
      <c r="Y531" s="15"/>
      <c r="Z531" s="15"/>
      <c r="AA531" s="15"/>
      <c r="AB531" s="15"/>
      <c r="AC531" s="15"/>
      <c r="AD531" s="15"/>
      <c r="AE531" s="15"/>
      <c r="AF531" s="15"/>
      <c r="AG531" s="17"/>
    </row>
    <row r="532" spans="2:33" ht="15" thickBo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1"/>
      <c r="R532" s="2"/>
      <c r="S532" s="2"/>
      <c r="T532" s="2"/>
      <c r="U532" s="2"/>
      <c r="V532" s="2"/>
      <c r="W532" s="2"/>
    </row>
    <row r="533" spans="2:33" ht="15" thickBot="1">
      <c r="B533" s="33" t="s">
        <v>2196</v>
      </c>
      <c r="C533" s="26" t="s">
        <v>357</v>
      </c>
      <c r="D533" s="26" t="s">
        <v>361</v>
      </c>
      <c r="E533" s="26" t="s">
        <v>362</v>
      </c>
      <c r="F533" s="26" t="s">
        <v>251</v>
      </c>
      <c r="G533" s="26" t="s">
        <v>252</v>
      </c>
      <c r="H533" s="27" t="s">
        <v>253</v>
      </c>
      <c r="I533" s="26" t="s">
        <v>363</v>
      </c>
      <c r="J533" s="27" t="s">
        <v>34</v>
      </c>
      <c r="K533" s="29">
        <v>20</v>
      </c>
      <c r="L533" s="29">
        <v>25</v>
      </c>
      <c r="M533" s="29">
        <v>30</v>
      </c>
      <c r="N533" s="29">
        <v>30</v>
      </c>
      <c r="O533" s="29">
        <v>30</v>
      </c>
      <c r="P533" s="40">
        <v>360</v>
      </c>
      <c r="Q533" s="1" t="s">
        <v>35</v>
      </c>
      <c r="R533" s="2">
        <v>1080</v>
      </c>
      <c r="S533" s="2">
        <v>763</v>
      </c>
      <c r="T533" s="2">
        <v>0</v>
      </c>
      <c r="U533" s="2">
        <v>0</v>
      </c>
      <c r="V533" s="2">
        <v>0</v>
      </c>
      <c r="W533" s="2">
        <v>2320</v>
      </c>
      <c r="X533" s="43">
        <f>SUM(R533:W545)</f>
        <v>115906</v>
      </c>
      <c r="Y533" s="10">
        <v>46204</v>
      </c>
      <c r="Z533" s="11">
        <v>0.18944179940637271</v>
      </c>
      <c r="AA533" s="11">
        <v>0.15835358124143273</v>
      </c>
      <c r="AB533" s="11">
        <v>0.13112092502991979</v>
      </c>
      <c r="AC533" s="11">
        <v>0.11711967035536473</v>
      </c>
      <c r="AD533" s="11">
        <v>0.10620551120181751</v>
      </c>
      <c r="AE533" s="11">
        <v>0.12187624542640918</v>
      </c>
      <c r="AF533" s="11">
        <v>0.15</v>
      </c>
      <c r="AG533" s="13">
        <v>0.23899999999999999</v>
      </c>
    </row>
    <row r="534" spans="2:33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1" t="s">
        <v>36</v>
      </c>
      <c r="R534" s="2">
        <v>1205</v>
      </c>
      <c r="S534" s="2">
        <v>1010</v>
      </c>
      <c r="T534" s="2">
        <v>0</v>
      </c>
      <c r="U534" s="2">
        <v>0</v>
      </c>
      <c r="V534" s="2">
        <v>0</v>
      </c>
      <c r="W534" s="2">
        <v>2572</v>
      </c>
      <c r="X534" s="14"/>
      <c r="Y534" s="14"/>
      <c r="Z534" s="14"/>
      <c r="AA534" s="14"/>
      <c r="AB534" s="14"/>
      <c r="AC534" s="14"/>
      <c r="AD534" s="14"/>
      <c r="AE534" s="14"/>
      <c r="AF534" s="14"/>
      <c r="AG534" s="16"/>
    </row>
    <row r="535" spans="2:33">
      <c r="B535" s="6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1" t="s">
        <v>37</v>
      </c>
      <c r="R535" s="2">
        <v>0</v>
      </c>
      <c r="S535" s="2">
        <v>1125</v>
      </c>
      <c r="T535" s="2">
        <v>962</v>
      </c>
      <c r="U535" s="2">
        <v>0</v>
      </c>
      <c r="V535" s="2">
        <v>0</v>
      </c>
      <c r="W535" s="2">
        <v>2412</v>
      </c>
      <c r="AG535" s="16"/>
    </row>
    <row r="536" spans="2:33">
      <c r="B536" s="6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1" t="s">
        <v>38</v>
      </c>
      <c r="R536" s="2">
        <v>0</v>
      </c>
      <c r="S536" s="2">
        <v>0</v>
      </c>
      <c r="T536" s="2">
        <v>0</v>
      </c>
      <c r="U536" s="2">
        <v>1983</v>
      </c>
      <c r="V536" s="2">
        <v>1600</v>
      </c>
      <c r="W536" s="2">
        <v>5994</v>
      </c>
      <c r="AG536" s="16"/>
    </row>
    <row r="537" spans="2:33">
      <c r="B537" s="6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1" t="s">
        <v>255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279</v>
      </c>
      <c r="AG537" s="16"/>
    </row>
    <row r="538" spans="2:33">
      <c r="B538" s="6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1" t="s">
        <v>256</v>
      </c>
      <c r="R538" s="2">
        <v>0</v>
      </c>
      <c r="S538" s="2">
        <v>0</v>
      </c>
      <c r="T538" s="2">
        <v>0</v>
      </c>
      <c r="U538" s="2">
        <v>1961</v>
      </c>
      <c r="V538" s="2">
        <v>1771</v>
      </c>
      <c r="W538" s="2">
        <v>7775</v>
      </c>
      <c r="AG538" s="16"/>
    </row>
    <row r="539" spans="2:33">
      <c r="B539" s="6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1" t="s">
        <v>40</v>
      </c>
      <c r="R539" s="2">
        <v>0</v>
      </c>
      <c r="S539" s="2">
        <v>0</v>
      </c>
      <c r="T539" s="2">
        <v>2255</v>
      </c>
      <c r="U539" s="2">
        <v>2746</v>
      </c>
      <c r="V539" s="2">
        <v>0</v>
      </c>
      <c r="W539" s="2">
        <v>11093</v>
      </c>
      <c r="AG539" s="16"/>
    </row>
    <row r="540" spans="2:33">
      <c r="B540" s="6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1" t="s">
        <v>41</v>
      </c>
      <c r="R540" s="2">
        <v>2884</v>
      </c>
      <c r="S540" s="2">
        <v>3065</v>
      </c>
      <c r="T540" s="2">
        <v>0</v>
      </c>
      <c r="U540" s="2">
        <v>0</v>
      </c>
      <c r="V540" s="2">
        <v>0</v>
      </c>
      <c r="W540" s="2">
        <v>12348</v>
      </c>
      <c r="AG540" s="16"/>
    </row>
    <row r="541" spans="2:33">
      <c r="B541" s="6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1" t="s">
        <v>42</v>
      </c>
      <c r="R541" s="2">
        <v>0</v>
      </c>
      <c r="S541" s="2">
        <v>0</v>
      </c>
      <c r="T541" s="2">
        <v>2760</v>
      </c>
      <c r="U541" s="2">
        <v>2490</v>
      </c>
      <c r="V541" s="2">
        <v>0</v>
      </c>
      <c r="W541" s="2">
        <v>11604</v>
      </c>
      <c r="AG541" s="16"/>
    </row>
    <row r="542" spans="2:33">
      <c r="B542" s="6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1" t="s">
        <v>43</v>
      </c>
      <c r="R542" s="2">
        <v>0</v>
      </c>
      <c r="S542" s="2">
        <v>0</v>
      </c>
      <c r="T542" s="2">
        <v>2689</v>
      </c>
      <c r="U542" s="2">
        <v>2560</v>
      </c>
      <c r="V542" s="2">
        <v>0</v>
      </c>
      <c r="W542" s="2">
        <v>10444</v>
      </c>
      <c r="AG542" s="16"/>
    </row>
    <row r="543" spans="2:33">
      <c r="B543" s="6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1" t="s">
        <v>44</v>
      </c>
      <c r="R543" s="2">
        <v>0</v>
      </c>
      <c r="S543" s="2">
        <v>0</v>
      </c>
      <c r="T543" s="2">
        <v>0</v>
      </c>
      <c r="U543" s="2">
        <v>1014</v>
      </c>
      <c r="V543" s="2">
        <v>1043</v>
      </c>
      <c r="W543" s="2">
        <v>3206</v>
      </c>
      <c r="AG543" s="16"/>
    </row>
    <row r="544" spans="2:33">
      <c r="B544" s="6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1" t="s">
        <v>364</v>
      </c>
      <c r="R544" s="2">
        <v>952</v>
      </c>
      <c r="S544" s="2">
        <v>1090</v>
      </c>
      <c r="T544" s="2">
        <v>0</v>
      </c>
      <c r="U544" s="2">
        <v>0</v>
      </c>
      <c r="V544" s="2">
        <v>0</v>
      </c>
      <c r="W544" s="2">
        <v>3174</v>
      </c>
      <c r="AG544" s="16"/>
    </row>
    <row r="545" spans="2:33">
      <c r="B545" s="6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1" t="s">
        <v>46</v>
      </c>
      <c r="R545" s="2">
        <v>809</v>
      </c>
      <c r="S545" s="2">
        <v>786</v>
      </c>
      <c r="T545" s="2">
        <v>0</v>
      </c>
      <c r="U545" s="2">
        <v>0</v>
      </c>
      <c r="V545" s="2">
        <v>0</v>
      </c>
      <c r="W545" s="2">
        <v>2082</v>
      </c>
      <c r="AG545" s="16"/>
    </row>
    <row r="546" spans="2:33" ht="15" thickBot="1">
      <c r="B546" s="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1"/>
      <c r="R546" s="2"/>
      <c r="S546" s="2"/>
      <c r="T546" s="2"/>
      <c r="U546" s="2"/>
      <c r="V546" s="2"/>
      <c r="W546" s="2"/>
      <c r="X546" s="15"/>
      <c r="Y546" s="15"/>
      <c r="Z546" s="15"/>
      <c r="AA546" s="15"/>
      <c r="AB546" s="15"/>
      <c r="AC546" s="15"/>
      <c r="AD546" s="15"/>
      <c r="AE546" s="15"/>
      <c r="AF546" s="15"/>
      <c r="AG546" s="17"/>
    </row>
    <row r="547" spans="2:33" ht="15" thickBo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1"/>
      <c r="R547" s="2"/>
      <c r="S547" s="2"/>
      <c r="T547" s="2"/>
      <c r="U547" s="2"/>
      <c r="V547" s="2"/>
      <c r="W547" s="2"/>
    </row>
    <row r="548" spans="2:33" ht="15" thickBot="1">
      <c r="B548" s="33" t="s">
        <v>2196</v>
      </c>
      <c r="C548" s="26" t="s">
        <v>357</v>
      </c>
      <c r="D548" s="26" t="s">
        <v>365</v>
      </c>
      <c r="E548" s="26" t="s">
        <v>366</v>
      </c>
      <c r="F548" s="26" t="s">
        <v>251</v>
      </c>
      <c r="G548" s="26" t="s">
        <v>252</v>
      </c>
      <c r="H548" s="27" t="s">
        <v>253</v>
      </c>
      <c r="I548" s="26" t="s">
        <v>367</v>
      </c>
      <c r="J548" s="27" t="s">
        <v>34</v>
      </c>
      <c r="K548" s="29">
        <v>170</v>
      </c>
      <c r="L548" s="29">
        <v>170</v>
      </c>
      <c r="M548" s="29">
        <v>190</v>
      </c>
      <c r="N548" s="29">
        <v>190</v>
      </c>
      <c r="O548" s="29">
        <v>190</v>
      </c>
      <c r="P548" s="40">
        <v>486.35000610351602</v>
      </c>
      <c r="Q548" s="1" t="s">
        <v>35</v>
      </c>
      <c r="R548" s="2">
        <v>17327</v>
      </c>
      <c r="S548" s="2">
        <v>12408</v>
      </c>
      <c r="T548" s="2">
        <v>0</v>
      </c>
      <c r="U548" s="2">
        <v>0</v>
      </c>
      <c r="V548" s="2">
        <v>0</v>
      </c>
      <c r="W548" s="2">
        <v>26223</v>
      </c>
      <c r="X548" s="43">
        <f>SUM(R548:W560)</f>
        <v>824436</v>
      </c>
      <c r="Y548" s="10">
        <v>46204</v>
      </c>
      <c r="Z548" s="11">
        <v>0.18944179940637271</v>
      </c>
      <c r="AA548" s="11">
        <v>0.15835358124143273</v>
      </c>
      <c r="AB548" s="11">
        <v>0.13112092502991979</v>
      </c>
      <c r="AC548" s="11">
        <v>0.11711967035536473</v>
      </c>
      <c r="AD548" s="11">
        <v>0.10620551120181751</v>
      </c>
      <c r="AE548" s="11">
        <v>0.12187624542640918</v>
      </c>
      <c r="AF548" s="11">
        <v>0.15</v>
      </c>
      <c r="AG548" s="13">
        <v>0.23899999999999999</v>
      </c>
    </row>
    <row r="549" spans="2:33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1" t="s">
        <v>36</v>
      </c>
      <c r="R549" s="2">
        <v>16808</v>
      </c>
      <c r="S549" s="2">
        <v>12264</v>
      </c>
      <c r="T549" s="2">
        <v>0</v>
      </c>
      <c r="U549" s="2">
        <v>0</v>
      </c>
      <c r="V549" s="2">
        <v>0</v>
      </c>
      <c r="W549" s="2">
        <v>22350</v>
      </c>
      <c r="X549" s="14"/>
      <c r="Y549" s="14"/>
      <c r="Z549" s="14"/>
      <c r="AA549" s="14"/>
      <c r="AB549" s="14"/>
      <c r="AC549" s="14"/>
      <c r="AD549" s="14"/>
      <c r="AE549" s="14"/>
      <c r="AF549" s="14"/>
      <c r="AG549" s="16"/>
    </row>
    <row r="550" spans="2:33">
      <c r="B550" s="6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1" t="s">
        <v>37</v>
      </c>
      <c r="R550" s="2">
        <v>0</v>
      </c>
      <c r="S550" s="2">
        <v>17168</v>
      </c>
      <c r="T550" s="2">
        <v>12900</v>
      </c>
      <c r="U550" s="2">
        <v>0</v>
      </c>
      <c r="V550" s="2">
        <v>0</v>
      </c>
      <c r="W550" s="2">
        <v>26376</v>
      </c>
      <c r="AG550" s="16"/>
    </row>
    <row r="551" spans="2:33">
      <c r="B551" s="6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1" t="s">
        <v>38</v>
      </c>
      <c r="R551" s="2">
        <v>0</v>
      </c>
      <c r="S551" s="2">
        <v>0</v>
      </c>
      <c r="T551" s="2">
        <v>0</v>
      </c>
      <c r="U551" s="2">
        <v>18991</v>
      </c>
      <c r="V551" s="2">
        <v>14144</v>
      </c>
      <c r="W551" s="2">
        <v>24795</v>
      </c>
      <c r="AG551" s="16"/>
    </row>
    <row r="552" spans="2:33">
      <c r="B552" s="6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1" t="s">
        <v>255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2258</v>
      </c>
      <c r="AG552" s="16"/>
    </row>
    <row r="553" spans="2:33">
      <c r="B553" s="6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1" t="s">
        <v>256</v>
      </c>
      <c r="R553" s="2">
        <v>0</v>
      </c>
      <c r="S553" s="2">
        <v>0</v>
      </c>
      <c r="T553" s="2">
        <v>0</v>
      </c>
      <c r="U553" s="2">
        <v>19912</v>
      </c>
      <c r="V553" s="2">
        <v>14672</v>
      </c>
      <c r="W553" s="2">
        <v>27661</v>
      </c>
      <c r="AG553" s="16"/>
    </row>
    <row r="554" spans="2:33">
      <c r="B554" s="6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1" t="s">
        <v>40</v>
      </c>
      <c r="R554" s="2">
        <v>0</v>
      </c>
      <c r="S554" s="2">
        <v>0</v>
      </c>
      <c r="T554" s="2">
        <v>26473</v>
      </c>
      <c r="U554" s="2">
        <v>20159</v>
      </c>
      <c r="V554" s="2">
        <v>0</v>
      </c>
      <c r="W554" s="2">
        <v>35680</v>
      </c>
      <c r="AG554" s="16"/>
    </row>
    <row r="555" spans="2:33">
      <c r="B555" s="6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1" t="s">
        <v>41</v>
      </c>
      <c r="R555" s="2">
        <v>33590</v>
      </c>
      <c r="S555" s="2">
        <v>27237</v>
      </c>
      <c r="T555" s="2">
        <v>0</v>
      </c>
      <c r="U555" s="2">
        <v>0</v>
      </c>
      <c r="V555" s="2">
        <v>0</v>
      </c>
      <c r="W555" s="2">
        <v>37297</v>
      </c>
      <c r="AG555" s="16"/>
    </row>
    <row r="556" spans="2:33">
      <c r="B556" s="6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1" t="s">
        <v>42</v>
      </c>
      <c r="R556" s="2">
        <v>0</v>
      </c>
      <c r="S556" s="2">
        <v>0</v>
      </c>
      <c r="T556" s="2">
        <v>28369</v>
      </c>
      <c r="U556" s="2">
        <v>23433</v>
      </c>
      <c r="V556" s="2">
        <v>0</v>
      </c>
      <c r="W556" s="2">
        <v>43274</v>
      </c>
      <c r="AG556" s="16"/>
    </row>
    <row r="557" spans="2:33">
      <c r="B557" s="6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1" t="s">
        <v>43</v>
      </c>
      <c r="R557" s="2">
        <v>0</v>
      </c>
      <c r="S557" s="2">
        <v>0</v>
      </c>
      <c r="T557" s="2">
        <v>26018</v>
      </c>
      <c r="U557" s="2">
        <v>20195</v>
      </c>
      <c r="V557" s="2">
        <v>0</v>
      </c>
      <c r="W557" s="2">
        <v>31500</v>
      </c>
      <c r="AG557" s="16"/>
    </row>
    <row r="558" spans="2:33">
      <c r="B558" s="6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1" t="s">
        <v>44</v>
      </c>
      <c r="R558" s="2">
        <v>0</v>
      </c>
      <c r="S558" s="2">
        <v>0</v>
      </c>
      <c r="T558" s="2">
        <v>0</v>
      </c>
      <c r="U558" s="2">
        <v>21902</v>
      </c>
      <c r="V558" s="2">
        <v>16727</v>
      </c>
      <c r="W558" s="2">
        <v>26304</v>
      </c>
      <c r="AG558" s="16"/>
    </row>
    <row r="559" spans="2:33">
      <c r="B559" s="6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1" t="s">
        <v>45</v>
      </c>
      <c r="R559" s="2">
        <v>0</v>
      </c>
      <c r="S559" s="2">
        <v>17944</v>
      </c>
      <c r="T559" s="2">
        <v>12517</v>
      </c>
      <c r="U559" s="2">
        <v>0</v>
      </c>
      <c r="V559" s="2">
        <v>0</v>
      </c>
      <c r="W559" s="2">
        <v>27166</v>
      </c>
      <c r="AG559" s="16"/>
    </row>
    <row r="560" spans="2:33">
      <c r="B560" s="6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1" t="s">
        <v>46</v>
      </c>
      <c r="R560" s="2">
        <v>20071</v>
      </c>
      <c r="S560" s="2">
        <v>14285</v>
      </c>
      <c r="T560" s="2">
        <v>0</v>
      </c>
      <c r="U560" s="2">
        <v>0</v>
      </c>
      <c r="V560" s="2">
        <v>0</v>
      </c>
      <c r="W560" s="2">
        <v>28038</v>
      </c>
      <c r="AG560" s="16"/>
    </row>
    <row r="561" spans="2:33" ht="15" thickBot="1">
      <c r="B561" s="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1"/>
      <c r="R561" s="2"/>
      <c r="S561" s="2"/>
      <c r="T561" s="2"/>
      <c r="U561" s="2"/>
      <c r="V561" s="2"/>
      <c r="W561" s="2"/>
      <c r="X561" s="15"/>
      <c r="Y561" s="15"/>
      <c r="Z561" s="15"/>
      <c r="AA561" s="15"/>
      <c r="AB561" s="15"/>
      <c r="AC561" s="15"/>
      <c r="AD561" s="15"/>
      <c r="AE561" s="15"/>
      <c r="AF561" s="15"/>
      <c r="AG561" s="17"/>
    </row>
    <row r="562" spans="2:33" ht="15" thickBo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1"/>
      <c r="R562" s="2"/>
      <c r="S562" s="2"/>
      <c r="T562" s="2"/>
      <c r="U562" s="2"/>
      <c r="V562" s="2"/>
      <c r="W562" s="2"/>
    </row>
    <row r="563" spans="2:33" ht="15" thickBot="1">
      <c r="B563" s="33" t="s">
        <v>2196</v>
      </c>
      <c r="C563" s="26" t="s">
        <v>357</v>
      </c>
      <c r="D563" s="26" t="s">
        <v>368</v>
      </c>
      <c r="E563" s="26" t="s">
        <v>369</v>
      </c>
      <c r="F563" s="26" t="s">
        <v>251</v>
      </c>
      <c r="G563" s="26" t="s">
        <v>252</v>
      </c>
      <c r="H563" s="27" t="s">
        <v>253</v>
      </c>
      <c r="I563" s="26" t="s">
        <v>370</v>
      </c>
      <c r="J563" s="27" t="s">
        <v>87</v>
      </c>
      <c r="K563" s="29">
        <v>38</v>
      </c>
      <c r="L563" s="29">
        <v>38</v>
      </c>
      <c r="M563" s="29">
        <v>38</v>
      </c>
      <c r="N563" s="29">
        <v>38</v>
      </c>
      <c r="O563" s="29">
        <v>38</v>
      </c>
      <c r="P563" s="40">
        <v>38</v>
      </c>
      <c r="Q563" s="1" t="s">
        <v>35</v>
      </c>
      <c r="R563" s="2">
        <v>279</v>
      </c>
      <c r="S563" s="2">
        <v>137</v>
      </c>
      <c r="T563" s="2">
        <v>0</v>
      </c>
      <c r="U563" s="2">
        <v>0</v>
      </c>
      <c r="V563" s="2">
        <v>0</v>
      </c>
      <c r="W563" s="2">
        <v>399</v>
      </c>
      <c r="X563" s="43">
        <f>SUM(R563:W576)</f>
        <v>11692</v>
      </c>
      <c r="Y563" s="10">
        <v>46204</v>
      </c>
      <c r="Z563" s="11">
        <v>0.21896900122639595</v>
      </c>
      <c r="AA563" s="11">
        <v>0.18255917925488163</v>
      </c>
      <c r="AB563" s="11">
        <v>0.14708513495490375</v>
      </c>
      <c r="AC563" s="11">
        <v>0.12856702693487934</v>
      </c>
      <c r="AD563" s="11">
        <v>0.11429546234595808</v>
      </c>
      <c r="AE563" s="11">
        <v>0.13131505978116356</v>
      </c>
      <c r="AF563" s="11">
        <v>0.15</v>
      </c>
      <c r="AG563" s="13">
        <v>0.23899999999999999</v>
      </c>
    </row>
    <row r="564" spans="2:33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1" t="s">
        <v>36</v>
      </c>
      <c r="R564" s="2">
        <v>260</v>
      </c>
      <c r="S564" s="2">
        <v>126</v>
      </c>
      <c r="T564" s="2">
        <v>0</v>
      </c>
      <c r="U564" s="2">
        <v>0</v>
      </c>
      <c r="V564" s="2">
        <v>0</v>
      </c>
      <c r="W564" s="2">
        <v>336</v>
      </c>
      <c r="X564" s="14"/>
      <c r="Y564" s="14"/>
      <c r="Z564" s="14"/>
      <c r="AA564" s="14"/>
      <c r="AB564" s="14"/>
      <c r="AC564" s="14"/>
      <c r="AD564" s="14"/>
      <c r="AE564" s="14"/>
      <c r="AF564" s="14"/>
      <c r="AG564" s="16"/>
    </row>
    <row r="565" spans="2:33">
      <c r="B565" s="6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1" t="s">
        <v>37</v>
      </c>
      <c r="R565" s="2">
        <v>0</v>
      </c>
      <c r="S565" s="2">
        <v>233</v>
      </c>
      <c r="T565" s="2">
        <v>121</v>
      </c>
      <c r="U565" s="2">
        <v>0</v>
      </c>
      <c r="V565" s="2">
        <v>0</v>
      </c>
      <c r="W565" s="2">
        <v>378</v>
      </c>
      <c r="AG565" s="16"/>
    </row>
    <row r="566" spans="2:33">
      <c r="B566" s="6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1" t="s">
        <v>38</v>
      </c>
      <c r="R566" s="2">
        <v>0</v>
      </c>
      <c r="S566" s="2">
        <v>0</v>
      </c>
      <c r="T566" s="2">
        <v>0</v>
      </c>
      <c r="U566" s="2">
        <v>209</v>
      </c>
      <c r="V566" s="2">
        <v>134</v>
      </c>
      <c r="W566" s="2">
        <v>359</v>
      </c>
      <c r="AG566" s="16"/>
    </row>
    <row r="567" spans="2:33">
      <c r="B567" s="6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1" t="s">
        <v>350</v>
      </c>
      <c r="R567" s="2">
        <v>0</v>
      </c>
      <c r="S567" s="2">
        <v>0</v>
      </c>
      <c r="T567" s="2">
        <v>0</v>
      </c>
      <c r="U567" s="2">
        <v>75</v>
      </c>
      <c r="V567" s="2">
        <v>45</v>
      </c>
      <c r="W567" s="2">
        <v>188</v>
      </c>
      <c r="AG567" s="16"/>
    </row>
    <row r="568" spans="2:33">
      <c r="B568" s="6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1" t="s">
        <v>351</v>
      </c>
      <c r="R568" s="2">
        <v>0</v>
      </c>
      <c r="S568" s="2">
        <v>0</v>
      </c>
      <c r="T568" s="2">
        <v>0</v>
      </c>
      <c r="U568" s="2">
        <v>176</v>
      </c>
      <c r="V568" s="2">
        <v>115</v>
      </c>
      <c r="W568" s="2">
        <v>246</v>
      </c>
      <c r="AG568" s="16"/>
    </row>
    <row r="569" spans="2:33">
      <c r="B569" s="6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1" t="s">
        <v>40</v>
      </c>
      <c r="R569" s="2">
        <v>0</v>
      </c>
      <c r="S569" s="2">
        <v>0</v>
      </c>
      <c r="T569" s="2">
        <v>351</v>
      </c>
      <c r="U569" s="2">
        <v>249</v>
      </c>
      <c r="V569" s="2">
        <v>0</v>
      </c>
      <c r="W569" s="2">
        <v>512</v>
      </c>
      <c r="AG569" s="16"/>
    </row>
    <row r="570" spans="2:33">
      <c r="B570" s="6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1" t="s">
        <v>41</v>
      </c>
      <c r="R570" s="2">
        <v>510</v>
      </c>
      <c r="S570" s="2">
        <v>334</v>
      </c>
      <c r="T570" s="2">
        <v>0</v>
      </c>
      <c r="U570" s="2">
        <v>0</v>
      </c>
      <c r="V570" s="2">
        <v>0</v>
      </c>
      <c r="W570" s="2">
        <v>583</v>
      </c>
      <c r="AG570" s="16"/>
    </row>
    <row r="571" spans="2:33">
      <c r="B571" s="6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1" t="s">
        <v>42</v>
      </c>
      <c r="R571" s="2">
        <v>0</v>
      </c>
      <c r="S571" s="2">
        <v>0</v>
      </c>
      <c r="T571" s="2">
        <v>473</v>
      </c>
      <c r="U571" s="2">
        <v>303</v>
      </c>
      <c r="V571" s="2">
        <v>0</v>
      </c>
      <c r="W571" s="2">
        <v>672</v>
      </c>
      <c r="AG571" s="16"/>
    </row>
    <row r="572" spans="2:33">
      <c r="B572" s="6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1" t="s">
        <v>43</v>
      </c>
      <c r="R572" s="2">
        <v>0</v>
      </c>
      <c r="S572" s="2">
        <v>0</v>
      </c>
      <c r="T572" s="2">
        <v>382</v>
      </c>
      <c r="U572" s="2">
        <v>265</v>
      </c>
      <c r="V572" s="2">
        <v>0</v>
      </c>
      <c r="W572" s="2">
        <v>506</v>
      </c>
      <c r="AG572" s="16"/>
    </row>
    <row r="573" spans="2:33">
      <c r="B573" s="6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1" t="s">
        <v>44</v>
      </c>
      <c r="R573" s="2">
        <v>0</v>
      </c>
      <c r="S573" s="2">
        <v>0</v>
      </c>
      <c r="T573" s="2">
        <v>0</v>
      </c>
      <c r="U573" s="2">
        <v>392</v>
      </c>
      <c r="V573" s="2">
        <v>233</v>
      </c>
      <c r="W573" s="2">
        <v>426</v>
      </c>
      <c r="AG573" s="16"/>
    </row>
    <row r="574" spans="2:33">
      <c r="B574" s="6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1" t="s">
        <v>352</v>
      </c>
      <c r="R574" s="2">
        <v>0</v>
      </c>
      <c r="S574" s="2">
        <v>194</v>
      </c>
      <c r="T574" s="2">
        <v>86</v>
      </c>
      <c r="U574" s="2">
        <v>0</v>
      </c>
      <c r="V574" s="2">
        <v>0</v>
      </c>
      <c r="W574" s="2">
        <v>257</v>
      </c>
      <c r="AG574" s="16"/>
    </row>
    <row r="575" spans="2:33">
      <c r="B575" s="6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1" t="s">
        <v>353</v>
      </c>
      <c r="R575" s="2">
        <v>0</v>
      </c>
      <c r="S575" s="2">
        <v>135</v>
      </c>
      <c r="T575" s="2">
        <v>68</v>
      </c>
      <c r="U575" s="2">
        <v>0</v>
      </c>
      <c r="V575" s="2">
        <v>0</v>
      </c>
      <c r="W575" s="2">
        <v>157</v>
      </c>
      <c r="AG575" s="16"/>
    </row>
    <row r="576" spans="2:33" ht="15" thickBot="1">
      <c r="B576" s="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1" t="s">
        <v>46</v>
      </c>
      <c r="R576" s="2">
        <v>255</v>
      </c>
      <c r="S576" s="2">
        <v>148</v>
      </c>
      <c r="T576" s="2">
        <v>0</v>
      </c>
      <c r="U576" s="2">
        <v>0</v>
      </c>
      <c r="V576" s="2">
        <v>0</v>
      </c>
      <c r="W576" s="2">
        <v>385</v>
      </c>
      <c r="X576" s="15"/>
      <c r="Y576" s="15"/>
      <c r="Z576" s="15"/>
      <c r="AA576" s="15"/>
      <c r="AB576" s="15"/>
      <c r="AC576" s="15"/>
      <c r="AD576" s="15"/>
      <c r="AE576" s="15"/>
      <c r="AF576" s="15"/>
      <c r="AG576" s="17"/>
    </row>
    <row r="577" spans="2:33" ht="15" thickBo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1"/>
      <c r="R577" s="2"/>
      <c r="S577" s="2"/>
      <c r="T577" s="2"/>
      <c r="U577" s="2"/>
      <c r="V577" s="2"/>
      <c r="W577" s="2"/>
    </row>
    <row r="578" spans="2:33" ht="15" thickBot="1">
      <c r="B578" s="33" t="s">
        <v>2196</v>
      </c>
      <c r="C578" s="26" t="s">
        <v>357</v>
      </c>
      <c r="D578" s="26" t="s">
        <v>371</v>
      </c>
      <c r="E578" s="26" t="s">
        <v>372</v>
      </c>
      <c r="F578" s="26" t="s">
        <v>251</v>
      </c>
      <c r="G578" s="26" t="s">
        <v>252</v>
      </c>
      <c r="H578" s="27" t="s">
        <v>253</v>
      </c>
      <c r="I578" s="26" t="s">
        <v>373</v>
      </c>
      <c r="J578" s="27" t="s">
        <v>56</v>
      </c>
      <c r="K578" s="29">
        <v>6.92799997329712</v>
      </c>
      <c r="L578" s="29">
        <v>6.92799997329712</v>
      </c>
      <c r="M578" s="29">
        <v>6.92799997329712</v>
      </c>
      <c r="N578" s="29">
        <v>0</v>
      </c>
      <c r="O578" s="29">
        <v>0</v>
      </c>
      <c r="P578" s="40">
        <v>0</v>
      </c>
      <c r="Q578" s="1" t="s">
        <v>274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43">
        <f>SUM(R578:W590)</f>
        <v>326</v>
      </c>
      <c r="Y578" s="10">
        <v>46204</v>
      </c>
      <c r="Z578" s="11">
        <v>0.23914913165546237</v>
      </c>
      <c r="AA578" s="11">
        <v>0.16263468186376903</v>
      </c>
      <c r="AB578" s="11">
        <v>0.13490905978116355</v>
      </c>
      <c r="AC578" s="11"/>
      <c r="AD578" s="11"/>
      <c r="AE578" s="11"/>
      <c r="AF578" s="11">
        <v>0.15</v>
      </c>
      <c r="AG578" s="13">
        <v>0.23899999999999999</v>
      </c>
    </row>
    <row r="579" spans="2:33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1" t="s">
        <v>374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14"/>
      <c r="Y579" s="14"/>
      <c r="Z579" s="14"/>
      <c r="AA579" s="14"/>
      <c r="AB579" s="14"/>
      <c r="AC579" s="14"/>
      <c r="AD579" s="14"/>
      <c r="AE579" s="14"/>
      <c r="AF579" s="14"/>
      <c r="AG579" s="16"/>
    </row>
    <row r="580" spans="2:33">
      <c r="B580" s="6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1" t="s">
        <v>375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AG580" s="16"/>
    </row>
    <row r="581" spans="2:33">
      <c r="B581" s="6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1" t="s">
        <v>287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AG581" s="16"/>
    </row>
    <row r="582" spans="2:33">
      <c r="B582" s="6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1" t="s">
        <v>288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AG582" s="16"/>
    </row>
    <row r="583" spans="2:33">
      <c r="B583" s="6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1" t="s">
        <v>289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AG583" s="16"/>
    </row>
    <row r="584" spans="2:33">
      <c r="B584" s="6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1" t="s">
        <v>290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AG584" s="16"/>
    </row>
    <row r="585" spans="2:33">
      <c r="B585" s="6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1" t="s">
        <v>291</v>
      </c>
      <c r="R585" s="2">
        <v>5</v>
      </c>
      <c r="S585" s="2">
        <v>3</v>
      </c>
      <c r="T585" s="2">
        <v>10</v>
      </c>
      <c r="U585" s="2">
        <v>0</v>
      </c>
      <c r="V585" s="2">
        <v>0</v>
      </c>
      <c r="W585" s="2">
        <v>0</v>
      </c>
      <c r="AG585" s="16"/>
    </row>
    <row r="586" spans="2:33">
      <c r="B586" s="6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1" t="s">
        <v>292</v>
      </c>
      <c r="R586" s="2">
        <v>22</v>
      </c>
      <c r="S586" s="2">
        <v>21</v>
      </c>
      <c r="T586" s="2">
        <v>32</v>
      </c>
      <c r="U586" s="2">
        <v>0</v>
      </c>
      <c r="V586" s="2">
        <v>0</v>
      </c>
      <c r="W586" s="2">
        <v>0</v>
      </c>
      <c r="AG586" s="16"/>
    </row>
    <row r="587" spans="2:33">
      <c r="B587" s="6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1" t="s">
        <v>293</v>
      </c>
      <c r="R587" s="2">
        <v>23</v>
      </c>
      <c r="S587" s="2">
        <v>23</v>
      </c>
      <c r="T587" s="2">
        <v>37</v>
      </c>
      <c r="U587" s="2">
        <v>0</v>
      </c>
      <c r="V587" s="2">
        <v>0</v>
      </c>
      <c r="W587" s="2">
        <v>0</v>
      </c>
      <c r="AG587" s="16"/>
    </row>
    <row r="588" spans="2:33">
      <c r="B588" s="6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1" t="s">
        <v>268</v>
      </c>
      <c r="R588" s="2">
        <v>13</v>
      </c>
      <c r="S588" s="2">
        <v>16</v>
      </c>
      <c r="T588" s="2">
        <v>33</v>
      </c>
      <c r="U588" s="2">
        <v>0</v>
      </c>
      <c r="V588" s="2">
        <v>0</v>
      </c>
      <c r="W588" s="2">
        <v>0</v>
      </c>
      <c r="AG588" s="16"/>
    </row>
    <row r="589" spans="2:33">
      <c r="B589" s="6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1" t="s">
        <v>269</v>
      </c>
      <c r="R589" s="2">
        <v>14</v>
      </c>
      <c r="S589" s="2">
        <v>13</v>
      </c>
      <c r="T589" s="2">
        <v>22</v>
      </c>
      <c r="U589" s="2">
        <v>0</v>
      </c>
      <c r="V589" s="2">
        <v>0</v>
      </c>
      <c r="W589" s="2">
        <v>0</v>
      </c>
      <c r="AG589" s="16"/>
    </row>
    <row r="590" spans="2:33">
      <c r="B590" s="6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1" t="s">
        <v>294</v>
      </c>
      <c r="R590" s="2">
        <v>11</v>
      </c>
      <c r="S590" s="2">
        <v>6</v>
      </c>
      <c r="T590" s="2">
        <v>22</v>
      </c>
      <c r="U590" s="2">
        <v>0</v>
      </c>
      <c r="V590" s="2">
        <v>0</v>
      </c>
      <c r="W590" s="2">
        <v>0</v>
      </c>
      <c r="AG590" s="16"/>
    </row>
    <row r="591" spans="2:33" ht="15" thickBot="1">
      <c r="B591" s="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1"/>
      <c r="R591" s="2"/>
      <c r="S591" s="2"/>
      <c r="T591" s="2"/>
      <c r="U591" s="2"/>
      <c r="V591" s="2"/>
      <c r="W591" s="2"/>
      <c r="X591" s="15"/>
      <c r="Y591" s="15"/>
      <c r="Z591" s="15"/>
      <c r="AA591" s="15"/>
      <c r="AB591" s="15"/>
      <c r="AC591" s="15"/>
      <c r="AD591" s="15"/>
      <c r="AE591" s="15"/>
      <c r="AF591" s="15"/>
      <c r="AG591" s="17"/>
    </row>
    <row r="592" spans="2:33" ht="15" thickBo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1"/>
      <c r="R592" s="2"/>
      <c r="S592" s="2"/>
      <c r="T592" s="2"/>
      <c r="U592" s="2"/>
      <c r="V592" s="2"/>
      <c r="W592" s="2"/>
    </row>
    <row r="593" spans="2:33" ht="15" thickBot="1">
      <c r="B593" s="33" t="s">
        <v>2196</v>
      </c>
      <c r="C593" s="26" t="s">
        <v>357</v>
      </c>
      <c r="D593" s="26" t="s">
        <v>376</v>
      </c>
      <c r="E593" s="26" t="s">
        <v>372</v>
      </c>
      <c r="F593" s="26" t="s">
        <v>251</v>
      </c>
      <c r="G593" s="26" t="s">
        <v>252</v>
      </c>
      <c r="H593" s="27" t="s">
        <v>253</v>
      </c>
      <c r="I593" s="26" t="s">
        <v>377</v>
      </c>
      <c r="J593" s="27" t="s">
        <v>56</v>
      </c>
      <c r="K593" s="29">
        <v>6.92799997329712</v>
      </c>
      <c r="L593" s="29">
        <v>6.92799997329712</v>
      </c>
      <c r="M593" s="29">
        <v>6.92799997329712</v>
      </c>
      <c r="N593" s="29">
        <v>0</v>
      </c>
      <c r="O593" s="29">
        <v>0</v>
      </c>
      <c r="P593" s="40">
        <v>0</v>
      </c>
      <c r="Q593" s="1" t="s">
        <v>274</v>
      </c>
      <c r="R593" s="2">
        <v>5</v>
      </c>
      <c r="S593" s="2">
        <v>5</v>
      </c>
      <c r="T593" s="2">
        <v>18</v>
      </c>
      <c r="U593" s="2">
        <v>0</v>
      </c>
      <c r="V593" s="2">
        <v>0</v>
      </c>
      <c r="W593" s="2">
        <v>0</v>
      </c>
      <c r="X593" s="43">
        <f>SUM(R593:W605)</f>
        <v>289</v>
      </c>
      <c r="Y593" s="10">
        <v>46204</v>
      </c>
      <c r="Z593" s="11">
        <v>0.23914913165546237</v>
      </c>
      <c r="AA593" s="11">
        <v>0.16263468186376903</v>
      </c>
      <c r="AB593" s="11">
        <v>0.13490905978116355</v>
      </c>
      <c r="AC593" s="11"/>
      <c r="AD593" s="11"/>
      <c r="AE593" s="11"/>
      <c r="AF593" s="11">
        <v>0.15</v>
      </c>
      <c r="AG593" s="13">
        <v>0.23899999999999999</v>
      </c>
    </row>
    <row r="594" spans="2:33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1" t="s">
        <v>374</v>
      </c>
      <c r="R594" s="2">
        <v>5</v>
      </c>
      <c r="S594" s="2">
        <v>5</v>
      </c>
      <c r="T594" s="2">
        <v>13</v>
      </c>
      <c r="U594" s="2">
        <v>0</v>
      </c>
      <c r="V594" s="2">
        <v>0</v>
      </c>
      <c r="W594" s="2">
        <v>0</v>
      </c>
      <c r="X594" s="14"/>
      <c r="Y594" s="14"/>
      <c r="Z594" s="14"/>
      <c r="AA594" s="14"/>
      <c r="AB594" s="14"/>
      <c r="AC594" s="14"/>
      <c r="AD594" s="14"/>
      <c r="AE594" s="14"/>
      <c r="AF594" s="14"/>
      <c r="AG594" s="16"/>
    </row>
    <row r="595" spans="2:33">
      <c r="B595" s="6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1" t="s">
        <v>375</v>
      </c>
      <c r="R595" s="2">
        <v>5</v>
      </c>
      <c r="S595" s="2">
        <v>4</v>
      </c>
      <c r="T595" s="2">
        <v>12</v>
      </c>
      <c r="U595" s="2">
        <v>0</v>
      </c>
      <c r="V595" s="2">
        <v>0</v>
      </c>
      <c r="W595" s="2">
        <v>0</v>
      </c>
      <c r="AG595" s="16"/>
    </row>
    <row r="596" spans="2:33">
      <c r="B596" s="6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1" t="s">
        <v>287</v>
      </c>
      <c r="R596" s="2">
        <v>4</v>
      </c>
      <c r="S596" s="2">
        <v>4</v>
      </c>
      <c r="T596" s="2">
        <v>11</v>
      </c>
      <c r="U596" s="2">
        <v>0</v>
      </c>
      <c r="V596" s="2">
        <v>0</v>
      </c>
      <c r="W596" s="2">
        <v>0</v>
      </c>
      <c r="AG596" s="16"/>
    </row>
    <row r="597" spans="2:33">
      <c r="B597" s="6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1" t="s">
        <v>288</v>
      </c>
      <c r="R597" s="2">
        <v>0</v>
      </c>
      <c r="S597" s="2">
        <v>1</v>
      </c>
      <c r="T597" s="2">
        <v>3</v>
      </c>
      <c r="U597" s="2">
        <v>0</v>
      </c>
      <c r="V597" s="2">
        <v>0</v>
      </c>
      <c r="W597" s="2">
        <v>0</v>
      </c>
      <c r="AG597" s="16"/>
    </row>
    <row r="598" spans="2:33">
      <c r="B598" s="6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1" t="s">
        <v>289</v>
      </c>
      <c r="R598" s="2">
        <v>5</v>
      </c>
      <c r="S598" s="2">
        <v>4</v>
      </c>
      <c r="T598" s="2">
        <v>11</v>
      </c>
      <c r="U598" s="2">
        <v>0</v>
      </c>
      <c r="V598" s="2">
        <v>0</v>
      </c>
      <c r="W598" s="2">
        <v>0</v>
      </c>
      <c r="AG598" s="16"/>
    </row>
    <row r="599" spans="2:33">
      <c r="B599" s="6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1" t="s">
        <v>290</v>
      </c>
      <c r="R599" s="2">
        <v>9</v>
      </c>
      <c r="S599" s="2">
        <v>8</v>
      </c>
      <c r="T599" s="2">
        <v>16</v>
      </c>
      <c r="U599" s="2">
        <v>0</v>
      </c>
      <c r="V599" s="2">
        <v>0</v>
      </c>
      <c r="W599" s="2">
        <v>0</v>
      </c>
      <c r="AG599" s="16"/>
    </row>
    <row r="600" spans="2:33">
      <c r="B600" s="6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1" t="s">
        <v>291</v>
      </c>
      <c r="R600" s="2">
        <v>10</v>
      </c>
      <c r="S600" s="2">
        <v>9</v>
      </c>
      <c r="T600" s="2">
        <v>20</v>
      </c>
      <c r="U600" s="2">
        <v>0</v>
      </c>
      <c r="V600" s="2">
        <v>0</v>
      </c>
      <c r="W600" s="2">
        <v>0</v>
      </c>
      <c r="AG600" s="16"/>
    </row>
    <row r="601" spans="2:33">
      <c r="B601" s="6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1" t="s">
        <v>101</v>
      </c>
      <c r="R601" s="2">
        <v>8</v>
      </c>
      <c r="S601" s="2">
        <v>8</v>
      </c>
      <c r="T601" s="2">
        <v>15</v>
      </c>
      <c r="U601" s="2">
        <v>0</v>
      </c>
      <c r="V601" s="2">
        <v>0</v>
      </c>
      <c r="W601" s="2">
        <v>0</v>
      </c>
      <c r="AG601" s="16"/>
    </row>
    <row r="602" spans="2:33">
      <c r="B602" s="6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1" t="s">
        <v>378</v>
      </c>
      <c r="R602" s="2">
        <v>6</v>
      </c>
      <c r="S602" s="2">
        <v>7</v>
      </c>
      <c r="T602" s="2">
        <v>14</v>
      </c>
      <c r="U602" s="2">
        <v>0</v>
      </c>
      <c r="V602" s="2">
        <v>0</v>
      </c>
      <c r="W602" s="2">
        <v>0</v>
      </c>
      <c r="AG602" s="16"/>
    </row>
    <row r="603" spans="2:33">
      <c r="B603" s="6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1" t="s">
        <v>268</v>
      </c>
      <c r="R603" s="2">
        <v>5</v>
      </c>
      <c r="S603" s="2">
        <v>5</v>
      </c>
      <c r="T603" s="2">
        <v>9</v>
      </c>
      <c r="U603" s="2">
        <v>0</v>
      </c>
      <c r="V603" s="2">
        <v>0</v>
      </c>
      <c r="W603" s="2">
        <v>0</v>
      </c>
      <c r="AG603" s="16"/>
    </row>
    <row r="604" spans="2:33">
      <c r="B604" s="6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1" t="s">
        <v>269</v>
      </c>
      <c r="R604" s="2">
        <v>3</v>
      </c>
      <c r="S604" s="2">
        <v>3</v>
      </c>
      <c r="T604" s="2">
        <v>7</v>
      </c>
      <c r="U604" s="2">
        <v>0</v>
      </c>
      <c r="V604" s="2">
        <v>0</v>
      </c>
      <c r="W604" s="2">
        <v>0</v>
      </c>
      <c r="AG604" s="16"/>
    </row>
    <row r="605" spans="2:33">
      <c r="B605" s="6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1" t="s">
        <v>294</v>
      </c>
      <c r="R605" s="2">
        <v>2</v>
      </c>
      <c r="S605" s="2">
        <v>3</v>
      </c>
      <c r="T605" s="2">
        <v>7</v>
      </c>
      <c r="U605" s="2">
        <v>0</v>
      </c>
      <c r="V605" s="2">
        <v>0</v>
      </c>
      <c r="W605" s="2">
        <v>0</v>
      </c>
      <c r="AG605" s="16"/>
    </row>
    <row r="606" spans="2:33" ht="15" thickBot="1">
      <c r="B606" s="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1"/>
      <c r="R606" s="2"/>
      <c r="S606" s="2"/>
      <c r="T606" s="2"/>
      <c r="U606" s="2"/>
      <c r="V606" s="2"/>
      <c r="W606" s="2"/>
      <c r="X606" s="15"/>
      <c r="Y606" s="15"/>
      <c r="Z606" s="15"/>
      <c r="AA606" s="15"/>
      <c r="AB606" s="15"/>
      <c r="AC606" s="15"/>
      <c r="AD606" s="15"/>
      <c r="AE606" s="15"/>
      <c r="AF606" s="15"/>
      <c r="AG606" s="17"/>
    </row>
    <row r="607" spans="2:33" ht="15" thickBo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2"/>
      <c r="S607" s="2"/>
      <c r="T607" s="2"/>
      <c r="U607" s="2"/>
      <c r="V607" s="2"/>
      <c r="W607" s="2"/>
    </row>
    <row r="608" spans="2:33" ht="15" thickBot="1">
      <c r="B608" s="33" t="s">
        <v>2196</v>
      </c>
      <c r="C608" s="26" t="s">
        <v>357</v>
      </c>
      <c r="D608" s="26" t="s">
        <v>379</v>
      </c>
      <c r="E608" s="26" t="s">
        <v>380</v>
      </c>
      <c r="F608" s="26" t="s">
        <v>251</v>
      </c>
      <c r="G608" s="26" t="s">
        <v>252</v>
      </c>
      <c r="H608" s="27" t="s">
        <v>253</v>
      </c>
      <c r="I608" s="26" t="s">
        <v>381</v>
      </c>
      <c r="J608" s="27" t="s">
        <v>56</v>
      </c>
      <c r="K608" s="29">
        <v>5.1960000991821298</v>
      </c>
      <c r="L608" s="29">
        <v>5.1960000991821298</v>
      </c>
      <c r="M608" s="29">
        <v>5.1960000991821298</v>
      </c>
      <c r="N608" s="29">
        <v>0</v>
      </c>
      <c r="O608" s="29">
        <v>0</v>
      </c>
      <c r="P608" s="40">
        <v>0</v>
      </c>
      <c r="Q608" s="1" t="s">
        <v>274</v>
      </c>
      <c r="R608" s="2">
        <v>9</v>
      </c>
      <c r="S608" s="2">
        <v>9</v>
      </c>
      <c r="T608" s="2">
        <v>24</v>
      </c>
      <c r="U608" s="2">
        <v>0</v>
      </c>
      <c r="V608" s="2">
        <v>0</v>
      </c>
      <c r="W608" s="2">
        <v>0</v>
      </c>
      <c r="X608" s="43">
        <f>SUM(R608:W620)</f>
        <v>655</v>
      </c>
      <c r="Y608" s="10">
        <v>46204</v>
      </c>
      <c r="Z608" s="11">
        <v>0.23914913165546237</v>
      </c>
      <c r="AA608" s="11">
        <v>0.16263468186376903</v>
      </c>
      <c r="AB608" s="11">
        <v>0.13490905978116355</v>
      </c>
      <c r="AC608" s="11"/>
      <c r="AD608" s="11"/>
      <c r="AE608" s="11"/>
      <c r="AF608" s="11">
        <v>0.15</v>
      </c>
      <c r="AG608" s="13">
        <v>0.23899999999999999</v>
      </c>
    </row>
    <row r="609" spans="2:33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1" t="s">
        <v>275</v>
      </c>
      <c r="R609" s="2">
        <v>8</v>
      </c>
      <c r="S609" s="2">
        <v>8</v>
      </c>
      <c r="T609" s="2">
        <v>19</v>
      </c>
      <c r="U609" s="2">
        <v>0</v>
      </c>
      <c r="V609" s="2">
        <v>0</v>
      </c>
      <c r="W609" s="2">
        <v>0</v>
      </c>
      <c r="X609" s="14"/>
      <c r="Y609" s="14"/>
      <c r="Z609" s="14"/>
      <c r="AA609" s="14"/>
      <c r="AB609" s="14"/>
      <c r="AC609" s="14"/>
      <c r="AD609" s="14"/>
      <c r="AE609" s="14"/>
      <c r="AF609" s="14"/>
      <c r="AG609" s="16"/>
    </row>
    <row r="610" spans="2:33">
      <c r="B610" s="6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1" t="s">
        <v>262</v>
      </c>
      <c r="R610" s="2">
        <v>9</v>
      </c>
      <c r="S610" s="2">
        <v>9</v>
      </c>
      <c r="T610" s="2">
        <v>21</v>
      </c>
      <c r="U610" s="2">
        <v>0</v>
      </c>
      <c r="V610" s="2">
        <v>0</v>
      </c>
      <c r="W610" s="2">
        <v>0</v>
      </c>
      <c r="AG610" s="16"/>
    </row>
    <row r="611" spans="2:33">
      <c r="B611" s="6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1" t="s">
        <v>287</v>
      </c>
      <c r="R611" s="2">
        <v>9</v>
      </c>
      <c r="S611" s="2">
        <v>8</v>
      </c>
      <c r="T611" s="2">
        <v>25</v>
      </c>
      <c r="U611" s="2">
        <v>0</v>
      </c>
      <c r="V611" s="2">
        <v>0</v>
      </c>
      <c r="W611" s="2">
        <v>0</v>
      </c>
      <c r="AG611" s="16"/>
    </row>
    <row r="612" spans="2:33">
      <c r="B612" s="6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1" t="s">
        <v>288</v>
      </c>
      <c r="R612" s="2">
        <v>2</v>
      </c>
      <c r="S612" s="2">
        <v>2</v>
      </c>
      <c r="T612" s="2">
        <v>4</v>
      </c>
      <c r="U612" s="2">
        <v>0</v>
      </c>
      <c r="V612" s="2">
        <v>0</v>
      </c>
      <c r="W612" s="2">
        <v>0</v>
      </c>
      <c r="AG612" s="16"/>
    </row>
    <row r="613" spans="2:33">
      <c r="B613" s="6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1" t="s">
        <v>289</v>
      </c>
      <c r="R613" s="2">
        <v>10</v>
      </c>
      <c r="S613" s="2">
        <v>11</v>
      </c>
      <c r="T613" s="2">
        <v>25</v>
      </c>
      <c r="U613" s="2">
        <v>0</v>
      </c>
      <c r="V613" s="2">
        <v>0</v>
      </c>
      <c r="W613" s="2">
        <v>0</v>
      </c>
      <c r="AG613" s="16"/>
    </row>
    <row r="614" spans="2:33">
      <c r="B614" s="6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1" t="s">
        <v>290</v>
      </c>
      <c r="R614" s="2">
        <v>11</v>
      </c>
      <c r="S614" s="2">
        <v>12</v>
      </c>
      <c r="T614" s="2">
        <v>25</v>
      </c>
      <c r="U614" s="2">
        <v>0</v>
      </c>
      <c r="V614" s="2">
        <v>0</v>
      </c>
      <c r="W614" s="2">
        <v>0</v>
      </c>
      <c r="AG614" s="16"/>
    </row>
    <row r="615" spans="2:33">
      <c r="B615" s="6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1" t="s">
        <v>291</v>
      </c>
      <c r="R615" s="2">
        <v>16</v>
      </c>
      <c r="S615" s="2">
        <v>17</v>
      </c>
      <c r="T615" s="2">
        <v>38</v>
      </c>
      <c r="U615" s="2">
        <v>0</v>
      </c>
      <c r="V615" s="2">
        <v>0</v>
      </c>
      <c r="W615" s="2">
        <v>0</v>
      </c>
      <c r="AG615" s="16"/>
    </row>
    <row r="616" spans="2:33">
      <c r="B616" s="6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1" t="s">
        <v>292</v>
      </c>
      <c r="R616" s="2">
        <v>21</v>
      </c>
      <c r="S616" s="2">
        <v>20</v>
      </c>
      <c r="T616" s="2">
        <v>35</v>
      </c>
      <c r="U616" s="2">
        <v>0</v>
      </c>
      <c r="V616" s="2">
        <v>0</v>
      </c>
      <c r="W616" s="2">
        <v>0</v>
      </c>
      <c r="AG616" s="16"/>
    </row>
    <row r="617" spans="2:33">
      <c r="B617" s="6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1" t="s">
        <v>293</v>
      </c>
      <c r="R617" s="2">
        <v>18</v>
      </c>
      <c r="S617" s="2">
        <v>19</v>
      </c>
      <c r="T617" s="2">
        <v>35</v>
      </c>
      <c r="U617" s="2">
        <v>0</v>
      </c>
      <c r="V617" s="2">
        <v>0</v>
      </c>
      <c r="W617" s="2">
        <v>0</v>
      </c>
      <c r="AG617" s="16"/>
    </row>
    <row r="618" spans="2:33">
      <c r="B618" s="6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1" t="s">
        <v>268</v>
      </c>
      <c r="R618" s="2">
        <v>14</v>
      </c>
      <c r="S618" s="2">
        <v>16</v>
      </c>
      <c r="T618" s="2">
        <v>31</v>
      </c>
      <c r="U618" s="2">
        <v>0</v>
      </c>
      <c r="V618" s="2">
        <v>0</v>
      </c>
      <c r="W618" s="2">
        <v>0</v>
      </c>
      <c r="AG618" s="16"/>
    </row>
    <row r="619" spans="2:33">
      <c r="B619" s="6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1" t="s">
        <v>269</v>
      </c>
      <c r="R619" s="2">
        <v>15</v>
      </c>
      <c r="S619" s="2">
        <v>11</v>
      </c>
      <c r="T619" s="2">
        <v>28</v>
      </c>
      <c r="U619" s="2">
        <v>0</v>
      </c>
      <c r="V619" s="2">
        <v>0</v>
      </c>
      <c r="W619" s="2">
        <v>0</v>
      </c>
      <c r="AG619" s="16"/>
    </row>
    <row r="620" spans="2:33">
      <c r="B620" s="6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1" t="s">
        <v>294</v>
      </c>
      <c r="R620" s="2">
        <v>16</v>
      </c>
      <c r="S620" s="2">
        <v>11</v>
      </c>
      <c r="T620" s="2">
        <v>34</v>
      </c>
      <c r="U620" s="2">
        <v>0</v>
      </c>
      <c r="V620" s="2">
        <v>0</v>
      </c>
      <c r="W620" s="2">
        <v>0</v>
      </c>
      <c r="AG620" s="16"/>
    </row>
    <row r="621" spans="2:33" ht="15" thickBot="1">
      <c r="B621" s="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1"/>
      <c r="R621" s="2"/>
      <c r="S621" s="2"/>
      <c r="T621" s="2"/>
      <c r="U621" s="2"/>
      <c r="V621" s="2"/>
      <c r="W621" s="2"/>
      <c r="X621" s="15"/>
      <c r="Y621" s="15"/>
      <c r="Z621" s="15"/>
      <c r="AA621" s="15"/>
      <c r="AB621" s="15"/>
      <c r="AC621" s="15"/>
      <c r="AD621" s="15"/>
      <c r="AE621" s="15"/>
      <c r="AF621" s="15"/>
      <c r="AG621" s="17"/>
    </row>
    <row r="622" spans="2:3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1"/>
      <c r="R622" s="2"/>
      <c r="S622" s="2"/>
      <c r="T622" s="2"/>
      <c r="U622" s="2"/>
      <c r="V622" s="2"/>
      <c r="W622" s="2"/>
    </row>
    <row r="623" spans="2:33" ht="15" thickBot="1">
      <c r="B623" s="25" t="s">
        <v>316</v>
      </c>
      <c r="C623" s="26" t="s">
        <v>317</v>
      </c>
      <c r="D623" s="26" t="s">
        <v>318</v>
      </c>
      <c r="E623" s="26" t="s">
        <v>319</v>
      </c>
      <c r="F623" s="26" t="s">
        <v>320</v>
      </c>
      <c r="G623" s="26" t="s">
        <v>321</v>
      </c>
      <c r="H623" s="27" t="s">
        <v>55</v>
      </c>
      <c r="I623" s="26" t="s">
        <v>322</v>
      </c>
      <c r="J623" s="27" t="s">
        <v>34</v>
      </c>
      <c r="K623" s="29">
        <v>60</v>
      </c>
      <c r="L623" s="29">
        <v>70</v>
      </c>
      <c r="M623" s="29">
        <v>95</v>
      </c>
      <c r="N623" s="29">
        <v>95</v>
      </c>
      <c r="O623" s="29">
        <v>95</v>
      </c>
      <c r="P623" s="40">
        <v>300</v>
      </c>
      <c r="Q623" s="1" t="s">
        <v>35</v>
      </c>
      <c r="R623" s="2">
        <v>3143</v>
      </c>
      <c r="S623" s="2">
        <v>2501</v>
      </c>
      <c r="T623" s="2">
        <v>0</v>
      </c>
      <c r="U623" s="2">
        <v>0</v>
      </c>
      <c r="V623" s="2">
        <v>0</v>
      </c>
      <c r="W623" s="2">
        <v>4662</v>
      </c>
      <c r="X623" s="43">
        <f>SUM(R623:W634)</f>
        <v>100961</v>
      </c>
      <c r="Y623" s="10">
        <v>46204</v>
      </c>
      <c r="Z623" s="11">
        <v>0.19035550499012904</v>
      </c>
      <c r="AA623" s="11">
        <v>0.15926728682518909</v>
      </c>
      <c r="AB623" s="11">
        <v>0.13203463061367612</v>
      </c>
      <c r="AC623" s="11">
        <v>0.11803337593912108</v>
      </c>
      <c r="AD623" s="11">
        <v>0.10711921678557386</v>
      </c>
      <c r="AE623" s="11">
        <v>0.12278995101016552</v>
      </c>
      <c r="AF623" s="11">
        <v>1</v>
      </c>
      <c r="AG623" s="13">
        <v>0.23899999999999999</v>
      </c>
    </row>
    <row r="624" spans="2:33">
      <c r="B624" s="33" t="s">
        <v>2192</v>
      </c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1" t="s">
        <v>36</v>
      </c>
      <c r="R624" s="2">
        <v>2957</v>
      </c>
      <c r="S624" s="2">
        <v>1938</v>
      </c>
      <c r="T624" s="2">
        <v>0</v>
      </c>
      <c r="U624" s="2">
        <v>0</v>
      </c>
      <c r="V624" s="2">
        <v>0</v>
      </c>
      <c r="W624" s="2">
        <v>3969</v>
      </c>
      <c r="X624" s="14"/>
      <c r="Y624" s="14"/>
      <c r="Z624" s="14"/>
      <c r="AA624" s="14"/>
      <c r="AB624" s="14"/>
      <c r="AC624" s="14"/>
      <c r="AD624" s="14"/>
      <c r="AE624" s="14"/>
      <c r="AF624" s="14"/>
      <c r="AG624" s="16"/>
    </row>
    <row r="625" spans="2:33">
      <c r="B625" s="6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1" t="s">
        <v>37</v>
      </c>
      <c r="R625" s="2">
        <v>0</v>
      </c>
      <c r="S625" s="2">
        <v>2249</v>
      </c>
      <c r="T625" s="2">
        <v>1776</v>
      </c>
      <c r="U625" s="2">
        <v>0</v>
      </c>
      <c r="V625" s="2">
        <v>0</v>
      </c>
      <c r="W625" s="2">
        <v>4193</v>
      </c>
      <c r="AG625" s="16"/>
    </row>
    <row r="626" spans="2:33">
      <c r="B626" s="6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1" t="s">
        <v>38</v>
      </c>
      <c r="R626" s="2">
        <v>0</v>
      </c>
      <c r="S626" s="2">
        <v>0</v>
      </c>
      <c r="T626" s="2">
        <v>0</v>
      </c>
      <c r="U626" s="2">
        <v>2879</v>
      </c>
      <c r="V626" s="2">
        <v>1671</v>
      </c>
      <c r="W626" s="2">
        <v>3521</v>
      </c>
      <c r="AG626" s="16"/>
    </row>
    <row r="627" spans="2:33">
      <c r="B627" s="6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1" t="s">
        <v>39</v>
      </c>
      <c r="R627" s="2">
        <v>0</v>
      </c>
      <c r="S627" s="2">
        <v>0</v>
      </c>
      <c r="T627" s="2">
        <v>0</v>
      </c>
      <c r="U627" s="2">
        <v>2012</v>
      </c>
      <c r="V627" s="2">
        <v>1696</v>
      </c>
      <c r="W627" s="2">
        <v>3791</v>
      </c>
      <c r="AG627" s="16"/>
    </row>
    <row r="628" spans="2:33">
      <c r="B628" s="6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1" t="s">
        <v>40</v>
      </c>
      <c r="R628" s="2">
        <v>0</v>
      </c>
      <c r="S628" s="2">
        <v>0</v>
      </c>
      <c r="T628" s="2">
        <v>3207</v>
      </c>
      <c r="U628" s="2">
        <v>1727</v>
      </c>
      <c r="V628" s="2">
        <v>0</v>
      </c>
      <c r="W628" s="2">
        <v>3744</v>
      </c>
      <c r="AG628" s="16"/>
    </row>
    <row r="629" spans="2:33">
      <c r="B629" s="6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1" t="s">
        <v>41</v>
      </c>
      <c r="R629" s="2">
        <v>1867</v>
      </c>
      <c r="S629" s="2">
        <v>1284</v>
      </c>
      <c r="T629" s="2">
        <v>0</v>
      </c>
      <c r="U629" s="2">
        <v>0</v>
      </c>
      <c r="V629" s="2">
        <v>0</v>
      </c>
      <c r="W629" s="2">
        <v>3931</v>
      </c>
      <c r="AG629" s="16"/>
    </row>
    <row r="630" spans="2:33">
      <c r="B630" s="6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" t="s">
        <v>42</v>
      </c>
      <c r="R630" s="2">
        <v>0</v>
      </c>
      <c r="S630" s="2">
        <v>0</v>
      </c>
      <c r="T630" s="2">
        <v>1980</v>
      </c>
      <c r="U630" s="2">
        <v>1269</v>
      </c>
      <c r="V630" s="2">
        <v>0</v>
      </c>
      <c r="W630" s="2">
        <v>4180</v>
      </c>
      <c r="AG630" s="16"/>
    </row>
    <row r="631" spans="2:33">
      <c r="B631" s="6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1" t="s">
        <v>43</v>
      </c>
      <c r="R631" s="2">
        <v>0</v>
      </c>
      <c r="S631" s="2">
        <v>0</v>
      </c>
      <c r="T631" s="2">
        <v>1183</v>
      </c>
      <c r="U631" s="2">
        <v>886</v>
      </c>
      <c r="V631" s="2">
        <v>0</v>
      </c>
      <c r="W631" s="2">
        <v>3187</v>
      </c>
      <c r="AG631" s="16"/>
    </row>
    <row r="632" spans="2:33">
      <c r="B632" s="6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1" t="s">
        <v>44</v>
      </c>
      <c r="R632" s="2">
        <v>0</v>
      </c>
      <c r="S632" s="2">
        <v>0</v>
      </c>
      <c r="T632" s="2">
        <v>0</v>
      </c>
      <c r="U632" s="2">
        <v>2251</v>
      </c>
      <c r="V632" s="2">
        <v>1649</v>
      </c>
      <c r="W632" s="2">
        <v>2824</v>
      </c>
      <c r="AG632" s="16"/>
    </row>
    <row r="633" spans="2:33">
      <c r="B633" s="6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1" t="s">
        <v>45</v>
      </c>
      <c r="R633" s="2">
        <v>0</v>
      </c>
      <c r="S633" s="2">
        <v>4552</v>
      </c>
      <c r="T633" s="2">
        <v>2935</v>
      </c>
      <c r="U633" s="2">
        <v>0</v>
      </c>
      <c r="V633" s="2">
        <v>0</v>
      </c>
      <c r="W633" s="2">
        <v>3592</v>
      </c>
      <c r="AG633" s="16"/>
    </row>
    <row r="634" spans="2:33">
      <c r="B634" s="6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1" t="s">
        <v>46</v>
      </c>
      <c r="R634" s="2">
        <v>4570</v>
      </c>
      <c r="S634" s="2">
        <v>3060</v>
      </c>
      <c r="T634" s="2">
        <v>0</v>
      </c>
      <c r="U634" s="2">
        <v>0</v>
      </c>
      <c r="V634" s="2">
        <v>0</v>
      </c>
      <c r="W634" s="2">
        <v>4125</v>
      </c>
      <c r="AG634" s="16"/>
    </row>
    <row r="635" spans="2:33">
      <c r="B635" s="6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1"/>
      <c r="R635" s="2"/>
      <c r="S635" s="2"/>
      <c r="T635" s="2"/>
      <c r="U635" s="2"/>
      <c r="V635" s="2"/>
      <c r="W635" s="2"/>
      <c r="AG635" s="16"/>
    </row>
    <row r="636" spans="2:33" ht="15" thickBot="1">
      <c r="B636" s="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1"/>
      <c r="R636" s="2"/>
      <c r="S636" s="2"/>
      <c r="T636" s="2"/>
      <c r="U636" s="2"/>
      <c r="V636" s="2"/>
      <c r="W636" s="2"/>
      <c r="X636" s="15"/>
      <c r="Y636" s="15"/>
      <c r="Z636" s="15"/>
      <c r="AA636" s="15"/>
      <c r="AB636" s="15"/>
      <c r="AC636" s="15"/>
      <c r="AD636" s="15"/>
      <c r="AE636" s="15"/>
      <c r="AF636" s="15"/>
      <c r="AG636" s="17"/>
    </row>
    <row r="637" spans="2:3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1"/>
      <c r="R637" s="2"/>
      <c r="S637" s="2"/>
      <c r="T637" s="2"/>
      <c r="U637" s="2"/>
      <c r="V637" s="2"/>
      <c r="W637" s="2"/>
    </row>
    <row r="638" spans="2:33" ht="15" thickBot="1">
      <c r="B638" s="25" t="s">
        <v>323</v>
      </c>
      <c r="C638" s="26" t="s">
        <v>324</v>
      </c>
      <c r="D638" s="26" t="s">
        <v>325</v>
      </c>
      <c r="E638" s="26" t="s">
        <v>326</v>
      </c>
      <c r="F638" s="26" t="s">
        <v>327</v>
      </c>
      <c r="G638" s="26" t="s">
        <v>33</v>
      </c>
      <c r="H638" s="27" t="s">
        <v>33</v>
      </c>
      <c r="I638" s="26" t="s">
        <v>328</v>
      </c>
      <c r="J638" s="27" t="s">
        <v>87</v>
      </c>
      <c r="K638" s="29">
        <v>18</v>
      </c>
      <c r="L638" s="29">
        <v>19</v>
      </c>
      <c r="M638" s="29">
        <v>19</v>
      </c>
      <c r="N638" s="29">
        <v>19</v>
      </c>
      <c r="O638" s="29">
        <v>19</v>
      </c>
      <c r="P638" s="40">
        <v>19</v>
      </c>
      <c r="Q638" s="1" t="s">
        <v>35</v>
      </c>
      <c r="R638" s="2">
        <v>2037</v>
      </c>
      <c r="S638" s="2">
        <v>1459</v>
      </c>
      <c r="T638" s="2">
        <v>0</v>
      </c>
      <c r="U638" s="2">
        <v>0</v>
      </c>
      <c r="V638" s="2">
        <v>0</v>
      </c>
      <c r="W638" s="2">
        <v>1311</v>
      </c>
      <c r="X638" s="43">
        <f>SUM(R638:W647)</f>
        <v>44148</v>
      </c>
      <c r="Y638" s="10">
        <v>46204</v>
      </c>
      <c r="Z638" s="11">
        <v>0.22006544792690355</v>
      </c>
      <c r="AA638" s="11">
        <v>0.18365562595538923</v>
      </c>
      <c r="AB638" s="11">
        <v>0.14818158165541137</v>
      </c>
      <c r="AC638" s="11">
        <v>0.12966347363538697</v>
      </c>
      <c r="AD638" s="11">
        <v>0.11539190904646569</v>
      </c>
      <c r="AE638" s="11">
        <v>0.13241150648167116</v>
      </c>
      <c r="AF638" s="11">
        <v>1.1100000000000001</v>
      </c>
      <c r="AG638" s="13">
        <v>0.23899999999999999</v>
      </c>
    </row>
    <row r="639" spans="2:33">
      <c r="B639" s="3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1" t="s">
        <v>36</v>
      </c>
      <c r="R639" s="2">
        <v>1952</v>
      </c>
      <c r="S639" s="2">
        <v>1408</v>
      </c>
      <c r="T639" s="2">
        <v>0</v>
      </c>
      <c r="U639" s="2">
        <v>0</v>
      </c>
      <c r="V639" s="2">
        <v>0</v>
      </c>
      <c r="W639" s="2">
        <v>1363</v>
      </c>
      <c r="X639" s="14"/>
      <c r="Y639" s="14"/>
      <c r="Z639" s="14"/>
      <c r="AA639" s="14"/>
      <c r="AB639" s="14"/>
      <c r="AC639" s="14"/>
      <c r="AD639" s="14"/>
      <c r="AE639" s="14"/>
      <c r="AF639" s="14"/>
      <c r="AG639" s="16"/>
    </row>
    <row r="640" spans="2:33">
      <c r="B640" s="6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1" t="s">
        <v>37</v>
      </c>
      <c r="R640" s="2">
        <v>0</v>
      </c>
      <c r="S640" s="2">
        <v>2074</v>
      </c>
      <c r="T640" s="2">
        <v>1466</v>
      </c>
      <c r="U640" s="2">
        <v>0</v>
      </c>
      <c r="V640" s="2">
        <v>0</v>
      </c>
      <c r="W640" s="2">
        <v>1769</v>
      </c>
      <c r="AG640" s="16"/>
    </row>
    <row r="641" spans="2:33">
      <c r="B641" s="6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1" t="s">
        <v>38</v>
      </c>
      <c r="R641" s="2">
        <v>0</v>
      </c>
      <c r="S641" s="2">
        <v>0</v>
      </c>
      <c r="T641" s="2">
        <v>0</v>
      </c>
      <c r="U641" s="2">
        <v>1876</v>
      </c>
      <c r="V641" s="2">
        <v>1311</v>
      </c>
      <c r="W641" s="2">
        <v>1130</v>
      </c>
      <c r="AG641" s="16"/>
    </row>
    <row r="642" spans="2:33">
      <c r="B642" s="6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1" t="s">
        <v>39</v>
      </c>
      <c r="R642" s="2">
        <v>0</v>
      </c>
      <c r="S642" s="2">
        <v>0</v>
      </c>
      <c r="T642" s="2">
        <v>0</v>
      </c>
      <c r="U642" s="2">
        <v>1907</v>
      </c>
      <c r="V642" s="2">
        <v>1335</v>
      </c>
      <c r="W642" s="2">
        <v>1146</v>
      </c>
      <c r="AG642" s="16"/>
    </row>
    <row r="643" spans="2:33">
      <c r="B643" s="6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1" t="s">
        <v>40</v>
      </c>
      <c r="R643" s="2">
        <v>0</v>
      </c>
      <c r="S643" s="2">
        <v>0</v>
      </c>
      <c r="T643" s="2">
        <v>2084</v>
      </c>
      <c r="U643" s="2">
        <v>1477</v>
      </c>
      <c r="V643" s="2">
        <v>0</v>
      </c>
      <c r="W643" s="2">
        <v>1194</v>
      </c>
      <c r="AG643" s="16"/>
    </row>
    <row r="644" spans="2:33">
      <c r="B644" s="6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1" t="s">
        <v>41</v>
      </c>
      <c r="R644" s="2">
        <v>2210</v>
      </c>
      <c r="S644" s="2">
        <v>1553</v>
      </c>
      <c r="T644" s="2">
        <v>0</v>
      </c>
      <c r="U644" s="2">
        <v>0</v>
      </c>
      <c r="V644" s="2">
        <v>0</v>
      </c>
      <c r="W644" s="2">
        <v>1339</v>
      </c>
      <c r="AG644" s="16"/>
    </row>
    <row r="645" spans="2:33">
      <c r="B645" s="6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1" t="s">
        <v>329</v>
      </c>
      <c r="R645" s="2">
        <v>0</v>
      </c>
      <c r="S645" s="2">
        <v>0</v>
      </c>
      <c r="T645" s="2">
        <v>1393</v>
      </c>
      <c r="U645" s="2">
        <v>977</v>
      </c>
      <c r="V645" s="2">
        <v>0</v>
      </c>
      <c r="W645" s="2">
        <v>1040</v>
      </c>
      <c r="AG645" s="16"/>
    </row>
    <row r="646" spans="2:33">
      <c r="B646" s="6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1" t="s">
        <v>330</v>
      </c>
      <c r="R646" s="2">
        <v>0</v>
      </c>
      <c r="S646" s="2">
        <v>1435</v>
      </c>
      <c r="T646" s="2">
        <v>1027</v>
      </c>
      <c r="U646" s="2">
        <v>0</v>
      </c>
      <c r="V646" s="2">
        <v>0</v>
      </c>
      <c r="W646" s="2">
        <v>959</v>
      </c>
      <c r="AG646" s="16"/>
    </row>
    <row r="647" spans="2:33">
      <c r="B647" s="6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1" t="s">
        <v>46</v>
      </c>
      <c r="R647" s="2">
        <v>1620</v>
      </c>
      <c r="S647" s="2">
        <v>1159</v>
      </c>
      <c r="T647" s="2">
        <v>0</v>
      </c>
      <c r="U647" s="2">
        <v>0</v>
      </c>
      <c r="V647" s="2">
        <v>0</v>
      </c>
      <c r="W647" s="2">
        <v>1137</v>
      </c>
      <c r="AG647" s="16"/>
    </row>
    <row r="648" spans="2:33">
      <c r="B648" s="6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1"/>
      <c r="R648" s="2"/>
      <c r="S648" s="2"/>
      <c r="T648" s="2"/>
      <c r="U648" s="2"/>
      <c r="V648" s="2"/>
      <c r="W648" s="2"/>
      <c r="AG648" s="16"/>
    </row>
    <row r="649" spans="2:33">
      <c r="B649" s="6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1"/>
      <c r="R649" s="2"/>
      <c r="S649" s="2"/>
      <c r="T649" s="2"/>
      <c r="U649" s="2"/>
      <c r="V649" s="2"/>
      <c r="W649" s="2"/>
      <c r="AG649" s="16"/>
    </row>
    <row r="650" spans="2:33">
      <c r="B650" s="6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1"/>
      <c r="R650" s="2"/>
      <c r="S650" s="2"/>
      <c r="T650" s="2"/>
      <c r="U650" s="2"/>
      <c r="V650" s="2"/>
      <c r="W650" s="2"/>
      <c r="AG650" s="16"/>
    </row>
    <row r="651" spans="2:33" ht="15" thickBot="1">
      <c r="B651" s="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1"/>
      <c r="R651" s="2"/>
      <c r="S651" s="2"/>
      <c r="T651" s="2"/>
      <c r="U651" s="2"/>
      <c r="V651" s="2"/>
      <c r="W651" s="2"/>
      <c r="X651" s="15"/>
      <c r="Y651" s="15"/>
      <c r="Z651" s="15"/>
      <c r="AA651" s="15"/>
      <c r="AB651" s="15"/>
      <c r="AC651" s="15"/>
      <c r="AD651" s="15"/>
      <c r="AE651" s="15"/>
      <c r="AF651" s="15"/>
      <c r="AG651" s="17"/>
    </row>
    <row r="652" spans="2:3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1"/>
      <c r="R652" s="2"/>
      <c r="S652" s="2"/>
      <c r="T652" s="2"/>
      <c r="U652" s="2"/>
      <c r="V652" s="2"/>
      <c r="W652" s="2"/>
    </row>
    <row r="653" spans="2:33" ht="15" thickBot="1">
      <c r="B653" s="25" t="s">
        <v>331</v>
      </c>
      <c r="C653" s="26" t="s">
        <v>332</v>
      </c>
      <c r="D653" s="26" t="s">
        <v>333</v>
      </c>
      <c r="E653" s="26" t="s">
        <v>334</v>
      </c>
      <c r="F653" s="26" t="s">
        <v>335</v>
      </c>
      <c r="G653" s="26" t="s">
        <v>336</v>
      </c>
      <c r="H653" s="27" t="s">
        <v>337</v>
      </c>
      <c r="I653" s="26" t="s">
        <v>338</v>
      </c>
      <c r="J653" s="27" t="s">
        <v>34</v>
      </c>
      <c r="K653" s="29">
        <v>107</v>
      </c>
      <c r="L653" s="29">
        <v>107</v>
      </c>
      <c r="M653" s="29">
        <v>113</v>
      </c>
      <c r="N653" s="29">
        <v>117</v>
      </c>
      <c r="O653" s="29">
        <v>117</v>
      </c>
      <c r="P653" s="40">
        <v>195</v>
      </c>
      <c r="Q653" s="1" t="s">
        <v>35</v>
      </c>
      <c r="R653" s="2">
        <v>6390</v>
      </c>
      <c r="S653" s="2">
        <v>4249</v>
      </c>
      <c r="T653" s="2">
        <v>0</v>
      </c>
      <c r="U653" s="2">
        <v>0</v>
      </c>
      <c r="V653" s="2">
        <v>0</v>
      </c>
      <c r="W653" s="2">
        <v>3547</v>
      </c>
      <c r="X653" s="43">
        <f>SUM(R653:W664)</f>
        <v>155570</v>
      </c>
      <c r="Y653" s="10">
        <v>46204</v>
      </c>
      <c r="Z653" s="11">
        <v>0.19035550499012904</v>
      </c>
      <c r="AA653" s="11">
        <v>0.15926728682518909</v>
      </c>
      <c r="AB653" s="11">
        <v>0.13203463061367612</v>
      </c>
      <c r="AC653" s="11">
        <v>0.11803337593912108</v>
      </c>
      <c r="AD653" s="11">
        <v>0.10711921678557386</v>
      </c>
      <c r="AE653" s="11">
        <v>0.12278995101016552</v>
      </c>
      <c r="AF653" s="11">
        <v>1</v>
      </c>
      <c r="AG653" s="13">
        <v>0.23899999999999999</v>
      </c>
    </row>
    <row r="654" spans="2:33">
      <c r="B654" s="3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1" t="s">
        <v>36</v>
      </c>
      <c r="R654" s="2">
        <v>7197</v>
      </c>
      <c r="S654" s="2">
        <v>4904</v>
      </c>
      <c r="T654" s="2">
        <v>0</v>
      </c>
      <c r="U654" s="2">
        <v>0</v>
      </c>
      <c r="V654" s="2">
        <v>0</v>
      </c>
      <c r="W654" s="2">
        <v>3752</v>
      </c>
      <c r="X654" s="14"/>
      <c r="Y654" s="14"/>
      <c r="Z654" s="14"/>
      <c r="AA654" s="14"/>
      <c r="AB654" s="14"/>
      <c r="AC654" s="14"/>
      <c r="AD654" s="14"/>
      <c r="AE654" s="14"/>
      <c r="AF654" s="14"/>
      <c r="AG654" s="16"/>
    </row>
    <row r="655" spans="2:33">
      <c r="B655" s="6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1" t="s">
        <v>37</v>
      </c>
      <c r="R655" s="2">
        <v>0</v>
      </c>
      <c r="S655" s="2">
        <v>6781</v>
      </c>
      <c r="T655" s="2">
        <v>4238</v>
      </c>
      <c r="U655" s="2">
        <v>0</v>
      </c>
      <c r="V655" s="2">
        <v>0</v>
      </c>
      <c r="W655" s="2">
        <v>3583</v>
      </c>
      <c r="AG655" s="16"/>
    </row>
    <row r="656" spans="2:33">
      <c r="B656" s="6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1" t="s">
        <v>38</v>
      </c>
      <c r="R656" s="2">
        <v>0</v>
      </c>
      <c r="S656" s="2">
        <v>0</v>
      </c>
      <c r="T656" s="2">
        <v>0</v>
      </c>
      <c r="U656" s="2">
        <v>4065</v>
      </c>
      <c r="V656" s="2">
        <v>2625</v>
      </c>
      <c r="W656" s="2">
        <v>3069</v>
      </c>
      <c r="AG656" s="16"/>
    </row>
    <row r="657" spans="2:33">
      <c r="B657" s="6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1" t="s">
        <v>39</v>
      </c>
      <c r="R657" s="2">
        <v>0</v>
      </c>
      <c r="S657" s="2">
        <v>0</v>
      </c>
      <c r="T657" s="2">
        <v>0</v>
      </c>
      <c r="U657" s="2">
        <v>5491</v>
      </c>
      <c r="V657" s="2">
        <v>3929</v>
      </c>
      <c r="W657" s="2">
        <v>3837</v>
      </c>
      <c r="AG657" s="16"/>
    </row>
    <row r="658" spans="2:33">
      <c r="B658" s="6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1" t="s">
        <v>339</v>
      </c>
      <c r="R658" s="2">
        <v>0</v>
      </c>
      <c r="S658" s="2">
        <v>0</v>
      </c>
      <c r="T658" s="2">
        <v>6142</v>
      </c>
      <c r="U658" s="2">
        <v>4222</v>
      </c>
      <c r="V658" s="2">
        <v>0</v>
      </c>
      <c r="W658" s="2">
        <v>3939</v>
      </c>
      <c r="AG658" s="16"/>
    </row>
    <row r="659" spans="2:33">
      <c r="B659" s="6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1" t="s">
        <v>340</v>
      </c>
      <c r="R659" s="2">
        <v>3926</v>
      </c>
      <c r="S659" s="2">
        <v>2142</v>
      </c>
      <c r="T659" s="2">
        <v>0</v>
      </c>
      <c r="U659" s="2">
        <v>0</v>
      </c>
      <c r="V659" s="2">
        <v>0</v>
      </c>
      <c r="W659" s="2">
        <v>3943</v>
      </c>
      <c r="AG659" s="16"/>
    </row>
    <row r="660" spans="2:33">
      <c r="B660" s="6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1" t="s">
        <v>42</v>
      </c>
      <c r="R660" s="2">
        <v>0</v>
      </c>
      <c r="S660" s="2">
        <v>0</v>
      </c>
      <c r="T660" s="2">
        <v>1191</v>
      </c>
      <c r="U660" s="2">
        <v>927</v>
      </c>
      <c r="V660" s="2">
        <v>0</v>
      </c>
      <c r="W660" s="2">
        <v>3339</v>
      </c>
      <c r="AG660" s="16"/>
    </row>
    <row r="661" spans="2:33">
      <c r="B661" s="6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1" t="s">
        <v>43</v>
      </c>
      <c r="R661" s="2">
        <v>0</v>
      </c>
      <c r="S661" s="2">
        <v>0</v>
      </c>
      <c r="T661" s="2">
        <v>7396</v>
      </c>
      <c r="U661" s="2">
        <v>4393</v>
      </c>
      <c r="V661" s="2">
        <v>0</v>
      </c>
      <c r="W661" s="2">
        <v>4040</v>
      </c>
      <c r="AG661" s="16"/>
    </row>
    <row r="662" spans="2:33">
      <c r="B662" s="6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1" t="s">
        <v>44</v>
      </c>
      <c r="R662" s="2">
        <v>0</v>
      </c>
      <c r="S662" s="2">
        <v>0</v>
      </c>
      <c r="T662" s="2">
        <v>0</v>
      </c>
      <c r="U662" s="2">
        <v>6918</v>
      </c>
      <c r="V662" s="2">
        <v>4966</v>
      </c>
      <c r="W662" s="2">
        <v>3682</v>
      </c>
      <c r="AG662" s="16"/>
    </row>
    <row r="663" spans="2:33">
      <c r="B663" s="6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1" t="s">
        <v>45</v>
      </c>
      <c r="R663" s="2">
        <v>0</v>
      </c>
      <c r="S663" s="2">
        <v>5457</v>
      </c>
      <c r="T663" s="2">
        <v>4328</v>
      </c>
      <c r="U663" s="2">
        <v>0</v>
      </c>
      <c r="V663" s="2">
        <v>0</v>
      </c>
      <c r="W663" s="2">
        <v>3478</v>
      </c>
      <c r="AG663" s="16"/>
    </row>
    <row r="664" spans="2:33">
      <c r="B664" s="6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1" t="s">
        <v>46</v>
      </c>
      <c r="R664" s="2">
        <v>6044</v>
      </c>
      <c r="S664" s="2">
        <v>3949</v>
      </c>
      <c r="T664" s="2">
        <v>0</v>
      </c>
      <c r="U664" s="2">
        <v>0</v>
      </c>
      <c r="V664" s="2">
        <v>0</v>
      </c>
      <c r="W664" s="2">
        <v>3491</v>
      </c>
      <c r="AG664" s="16"/>
    </row>
    <row r="665" spans="2:33">
      <c r="B665" s="6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1"/>
      <c r="R665" s="2"/>
      <c r="S665" s="2"/>
      <c r="T665" s="2"/>
      <c r="U665" s="2"/>
      <c r="V665" s="2"/>
      <c r="W665" s="2"/>
      <c r="AG665" s="16"/>
    </row>
    <row r="666" spans="2:33" ht="15" thickBot="1">
      <c r="B666" s="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1"/>
      <c r="R666" s="2"/>
      <c r="S666" s="2"/>
      <c r="T666" s="2"/>
      <c r="U666" s="2"/>
      <c r="V666" s="2"/>
      <c r="W666" s="2"/>
      <c r="X666" s="15"/>
      <c r="Y666" s="15"/>
      <c r="Z666" s="15"/>
      <c r="AA666" s="15"/>
      <c r="AB666" s="15"/>
      <c r="AC666" s="15"/>
      <c r="AD666" s="15"/>
      <c r="AE666" s="15"/>
      <c r="AF666" s="15"/>
      <c r="AG666" s="17"/>
    </row>
    <row r="667" spans="2:3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1"/>
      <c r="R667" s="2"/>
      <c r="S667" s="2"/>
      <c r="T667" s="2"/>
      <c r="U667" s="2"/>
      <c r="V667" s="2"/>
      <c r="W667" s="2"/>
    </row>
    <row r="668" spans="2:33" ht="15" thickBot="1">
      <c r="B668" s="25" t="s">
        <v>93</v>
      </c>
      <c r="C668" s="26" t="s">
        <v>382</v>
      </c>
      <c r="D668" s="26" t="s">
        <v>383</v>
      </c>
      <c r="E668" s="26" t="s">
        <v>384</v>
      </c>
      <c r="F668" s="26" t="s">
        <v>385</v>
      </c>
      <c r="G668" s="26" t="s">
        <v>386</v>
      </c>
      <c r="H668" s="27" t="s">
        <v>33</v>
      </c>
      <c r="I668" s="26" t="s">
        <v>387</v>
      </c>
      <c r="J668" s="27" t="s">
        <v>34</v>
      </c>
      <c r="K668" s="29">
        <v>175</v>
      </c>
      <c r="L668" s="29">
        <v>175</v>
      </c>
      <c r="M668" s="29">
        <v>175</v>
      </c>
      <c r="N668" s="29">
        <v>175</v>
      </c>
      <c r="O668" s="29">
        <v>175</v>
      </c>
      <c r="P668" s="40">
        <v>451</v>
      </c>
      <c r="Q668" s="1" t="s">
        <v>35</v>
      </c>
      <c r="R668" s="2">
        <v>21298</v>
      </c>
      <c r="S668" s="2">
        <v>15907</v>
      </c>
      <c r="T668" s="2">
        <v>0</v>
      </c>
      <c r="U668" s="2">
        <v>0</v>
      </c>
      <c r="V668" s="2">
        <v>0</v>
      </c>
      <c r="W668" s="2">
        <v>32688</v>
      </c>
      <c r="X668" s="43">
        <f>SUM(R668:W679)</f>
        <v>812051</v>
      </c>
      <c r="Y668" s="10">
        <v>46204</v>
      </c>
      <c r="Z668" s="11">
        <v>0.18984789077693109</v>
      </c>
      <c r="AA668" s="11">
        <v>0.15875967261199112</v>
      </c>
      <c r="AB668" s="11">
        <v>0.13152701640047817</v>
      </c>
      <c r="AC668" s="11">
        <v>0.11752576172592311</v>
      </c>
      <c r="AD668" s="11">
        <v>0.10661160257237588</v>
      </c>
      <c r="AE668" s="11">
        <v>0.12228233679696755</v>
      </c>
      <c r="AF668" s="11">
        <v>0.55000000000000004</v>
      </c>
      <c r="AG668" s="13">
        <v>0.23899999999999999</v>
      </c>
    </row>
    <row r="669" spans="2:33"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1" t="s">
        <v>36</v>
      </c>
      <c r="R669" s="2">
        <v>19352</v>
      </c>
      <c r="S669" s="2">
        <v>14255</v>
      </c>
      <c r="T669" s="2">
        <v>0</v>
      </c>
      <c r="U669" s="2">
        <v>0</v>
      </c>
      <c r="V669" s="2">
        <v>0</v>
      </c>
      <c r="W669" s="2">
        <v>28146</v>
      </c>
      <c r="X669" s="14"/>
      <c r="Y669" s="14"/>
      <c r="Z669" s="14"/>
      <c r="AA669" s="14"/>
      <c r="AB669" s="14"/>
      <c r="AC669" s="14"/>
      <c r="AD669" s="14"/>
      <c r="AE669" s="14"/>
      <c r="AF669" s="14"/>
      <c r="AG669" s="16"/>
    </row>
    <row r="670" spans="2:33">
      <c r="B670" s="6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1" t="s">
        <v>37</v>
      </c>
      <c r="R670" s="2">
        <v>0</v>
      </c>
      <c r="S670" s="2">
        <v>20004</v>
      </c>
      <c r="T670" s="2">
        <v>14758</v>
      </c>
      <c r="U670" s="2">
        <v>0</v>
      </c>
      <c r="V670" s="2">
        <v>0</v>
      </c>
      <c r="W670" s="2">
        <v>32841</v>
      </c>
      <c r="AG670" s="16"/>
    </row>
    <row r="671" spans="2:33">
      <c r="B671" s="6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1" t="s">
        <v>38</v>
      </c>
      <c r="R671" s="2">
        <v>0</v>
      </c>
      <c r="S671" s="2">
        <v>0</v>
      </c>
      <c r="T671" s="2">
        <v>0</v>
      </c>
      <c r="U671" s="2">
        <v>17689</v>
      </c>
      <c r="V671" s="2">
        <v>13476</v>
      </c>
      <c r="W671" s="2">
        <v>25801</v>
      </c>
      <c r="AG671" s="16"/>
    </row>
    <row r="672" spans="2:33">
      <c r="B672" s="6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1" t="s">
        <v>39</v>
      </c>
      <c r="R672" s="2">
        <v>0</v>
      </c>
      <c r="S672" s="2">
        <v>0</v>
      </c>
      <c r="T672" s="2">
        <v>0</v>
      </c>
      <c r="U672" s="2">
        <v>18285</v>
      </c>
      <c r="V672" s="2">
        <v>14295</v>
      </c>
      <c r="W672" s="2">
        <v>27946</v>
      </c>
      <c r="AG672" s="16"/>
    </row>
    <row r="673" spans="2:33">
      <c r="B673" s="6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1" t="s">
        <v>40</v>
      </c>
      <c r="R673" s="2">
        <v>0</v>
      </c>
      <c r="S673" s="2">
        <v>0</v>
      </c>
      <c r="T673" s="2">
        <v>22625</v>
      </c>
      <c r="U673" s="2">
        <v>17670</v>
      </c>
      <c r="V673" s="2">
        <v>0</v>
      </c>
      <c r="W673" s="2">
        <v>32102</v>
      </c>
      <c r="AG673" s="16"/>
    </row>
    <row r="674" spans="2:33">
      <c r="B674" s="6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1" t="s">
        <v>41</v>
      </c>
      <c r="R674" s="2">
        <v>25637</v>
      </c>
      <c r="S674" s="2">
        <v>19002</v>
      </c>
      <c r="T674" s="2">
        <v>0</v>
      </c>
      <c r="U674" s="2">
        <v>0</v>
      </c>
      <c r="V674" s="2">
        <v>0</v>
      </c>
      <c r="W674" s="2">
        <v>31882</v>
      </c>
      <c r="AG674" s="16"/>
    </row>
    <row r="675" spans="2:33">
      <c r="B675" s="6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1" t="s">
        <v>42</v>
      </c>
      <c r="R675" s="2">
        <v>0</v>
      </c>
      <c r="S675" s="2">
        <v>0</v>
      </c>
      <c r="T675" s="2">
        <v>22256</v>
      </c>
      <c r="U675" s="2">
        <v>16681</v>
      </c>
      <c r="V675" s="2">
        <v>0</v>
      </c>
      <c r="W675" s="2">
        <v>39779</v>
      </c>
      <c r="AG675" s="16"/>
    </row>
    <row r="676" spans="2:33">
      <c r="B676" s="6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1" t="s">
        <v>43</v>
      </c>
      <c r="R676" s="2">
        <v>0</v>
      </c>
      <c r="S676" s="2">
        <v>0</v>
      </c>
      <c r="T676" s="2">
        <v>22923</v>
      </c>
      <c r="U676" s="2">
        <v>17728</v>
      </c>
      <c r="V676" s="2">
        <v>0</v>
      </c>
      <c r="W676" s="2">
        <v>29950</v>
      </c>
      <c r="AG676" s="16"/>
    </row>
    <row r="677" spans="2:33">
      <c r="B677" s="6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1" t="s">
        <v>44</v>
      </c>
      <c r="R677" s="2">
        <v>0</v>
      </c>
      <c r="S677" s="2">
        <v>0</v>
      </c>
      <c r="T677" s="2">
        <v>0</v>
      </c>
      <c r="U677" s="2">
        <v>22039</v>
      </c>
      <c r="V677" s="2">
        <v>17572</v>
      </c>
      <c r="W677" s="2">
        <v>26625</v>
      </c>
      <c r="AG677" s="16"/>
    </row>
    <row r="678" spans="2:33">
      <c r="B678" s="6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1" t="s">
        <v>45</v>
      </c>
      <c r="R678" s="2">
        <v>0</v>
      </c>
      <c r="S678" s="2">
        <v>19118</v>
      </c>
      <c r="T678" s="2">
        <v>14390</v>
      </c>
      <c r="U678" s="2">
        <v>0</v>
      </c>
      <c r="V678" s="2">
        <v>0</v>
      </c>
      <c r="W678" s="2">
        <v>30545</v>
      </c>
      <c r="AG678" s="16"/>
    </row>
    <row r="679" spans="2:33">
      <c r="B679" s="6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1" t="s">
        <v>46</v>
      </c>
      <c r="R679" s="2">
        <v>19354</v>
      </c>
      <c r="S679" s="2">
        <v>14361</v>
      </c>
      <c r="T679" s="2">
        <v>0</v>
      </c>
      <c r="U679" s="2">
        <v>0</v>
      </c>
      <c r="V679" s="2">
        <v>0</v>
      </c>
      <c r="W679" s="2">
        <v>33071</v>
      </c>
      <c r="AG679" s="16"/>
    </row>
    <row r="680" spans="2:33">
      <c r="B680" s="6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1"/>
      <c r="R680" s="2"/>
      <c r="S680" s="2"/>
      <c r="T680" s="2"/>
      <c r="U680" s="2"/>
      <c r="V680" s="2"/>
      <c r="W680" s="2"/>
      <c r="AG680" s="16"/>
    </row>
    <row r="681" spans="2:33" ht="15" thickBot="1">
      <c r="B681" s="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1"/>
      <c r="R681" s="2"/>
      <c r="S681" s="2"/>
      <c r="T681" s="2"/>
      <c r="U681" s="2"/>
      <c r="V681" s="2"/>
      <c r="W681" s="2"/>
      <c r="X681" s="15"/>
      <c r="Y681" s="15"/>
      <c r="Z681" s="15"/>
      <c r="AA681" s="15"/>
      <c r="AB681" s="15"/>
      <c r="AC681" s="15"/>
      <c r="AD681" s="15"/>
      <c r="AE681" s="15"/>
      <c r="AF681" s="15"/>
      <c r="AG681" s="17"/>
    </row>
    <row r="682" spans="2:3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1"/>
      <c r="R682" s="2"/>
      <c r="S682" s="2"/>
      <c r="T682" s="2"/>
      <c r="U682" s="2"/>
      <c r="V682" s="2"/>
      <c r="W682" s="2"/>
    </row>
    <row r="683" spans="2:33" ht="15" thickBot="1">
      <c r="B683" s="25" t="s">
        <v>388</v>
      </c>
      <c r="C683" s="26" t="s">
        <v>389</v>
      </c>
      <c r="D683" s="26" t="s">
        <v>390</v>
      </c>
      <c r="E683" s="26" t="s">
        <v>391</v>
      </c>
      <c r="F683" s="26" t="s">
        <v>392</v>
      </c>
      <c r="G683" s="26" t="s">
        <v>33</v>
      </c>
      <c r="H683" s="27" t="s">
        <v>33</v>
      </c>
      <c r="I683" s="26" t="s">
        <v>393</v>
      </c>
      <c r="J683" s="27" t="s">
        <v>87</v>
      </c>
      <c r="K683" s="29">
        <v>350</v>
      </c>
      <c r="L683" s="29">
        <v>350</v>
      </c>
      <c r="M683" s="29">
        <v>350</v>
      </c>
      <c r="N683" s="29">
        <v>350</v>
      </c>
      <c r="O683" s="29">
        <v>350</v>
      </c>
      <c r="P683" s="40">
        <v>470</v>
      </c>
      <c r="Q683" s="1" t="s">
        <v>35</v>
      </c>
      <c r="R683" s="2">
        <v>425</v>
      </c>
      <c r="S683" s="2">
        <v>329</v>
      </c>
      <c r="T683" s="2">
        <v>0</v>
      </c>
      <c r="U683" s="2">
        <v>0</v>
      </c>
      <c r="V683" s="2">
        <v>0</v>
      </c>
      <c r="W683" s="2">
        <v>898</v>
      </c>
      <c r="X683" s="43">
        <f>SUM(R683:W695)</f>
        <v>240443</v>
      </c>
      <c r="Y683" s="10">
        <v>46204</v>
      </c>
      <c r="Z683" s="11">
        <v>0.21919235148020305</v>
      </c>
      <c r="AA683" s="11">
        <v>0.18278252950868873</v>
      </c>
      <c r="AB683" s="11">
        <v>0.14730848520871084</v>
      </c>
      <c r="AC683" s="11">
        <v>0.12879037718868644</v>
      </c>
      <c r="AD683" s="11">
        <v>0.11451881259976519</v>
      </c>
      <c r="AE683" s="11">
        <v>0.13153841003497066</v>
      </c>
      <c r="AF683" s="11">
        <v>0.3</v>
      </c>
      <c r="AG683" s="13">
        <v>0.23899999999999999</v>
      </c>
    </row>
    <row r="684" spans="2:33"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1" t="s">
        <v>36</v>
      </c>
      <c r="R684" s="2">
        <v>401</v>
      </c>
      <c r="S684" s="2">
        <v>316</v>
      </c>
      <c r="T684" s="2">
        <v>0</v>
      </c>
      <c r="U684" s="2">
        <v>0</v>
      </c>
      <c r="V684" s="2">
        <v>0</v>
      </c>
      <c r="W684" s="2">
        <v>773</v>
      </c>
      <c r="X684" s="14"/>
      <c r="Y684" s="14"/>
      <c r="Z684" s="14"/>
      <c r="AA684" s="14"/>
      <c r="AB684" s="14"/>
      <c r="AC684" s="14"/>
      <c r="AD684" s="14"/>
      <c r="AE684" s="14"/>
      <c r="AF684" s="14"/>
      <c r="AG684" s="16"/>
    </row>
    <row r="685" spans="2:33">
      <c r="B685" s="6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1" t="s">
        <v>37</v>
      </c>
      <c r="R685" s="2">
        <v>0</v>
      </c>
      <c r="S685" s="2">
        <v>422</v>
      </c>
      <c r="T685" s="2">
        <v>328</v>
      </c>
      <c r="U685" s="2">
        <v>0</v>
      </c>
      <c r="V685" s="2">
        <v>0</v>
      </c>
      <c r="W685" s="2">
        <v>893</v>
      </c>
      <c r="AG685" s="16"/>
    </row>
    <row r="686" spans="2:33">
      <c r="B686" s="6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1" t="s">
        <v>38</v>
      </c>
      <c r="R686" s="2">
        <v>0</v>
      </c>
      <c r="S686" s="2">
        <v>0</v>
      </c>
      <c r="T686" s="2">
        <v>0</v>
      </c>
      <c r="U686" s="2">
        <v>425</v>
      </c>
      <c r="V686" s="2">
        <v>315</v>
      </c>
      <c r="W686" s="2">
        <v>780</v>
      </c>
      <c r="AG686" s="16"/>
    </row>
    <row r="687" spans="2:33">
      <c r="B687" s="6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1" t="s">
        <v>39</v>
      </c>
      <c r="R687" s="2">
        <v>0</v>
      </c>
      <c r="S687" s="2">
        <v>0</v>
      </c>
      <c r="T687" s="2">
        <v>0</v>
      </c>
      <c r="U687" s="2">
        <v>5658</v>
      </c>
      <c r="V687" s="2">
        <v>3872</v>
      </c>
      <c r="W687" s="2">
        <v>2521</v>
      </c>
      <c r="AG687" s="16"/>
    </row>
    <row r="688" spans="2:33">
      <c r="B688" s="6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1" t="s">
        <v>40</v>
      </c>
      <c r="R688" s="2">
        <v>0</v>
      </c>
      <c r="S688" s="2">
        <v>0</v>
      </c>
      <c r="T688" s="2">
        <v>29540</v>
      </c>
      <c r="U688" s="2">
        <v>21290</v>
      </c>
      <c r="V688" s="2">
        <v>0</v>
      </c>
      <c r="W688" s="2">
        <v>11816</v>
      </c>
      <c r="AG688" s="16"/>
    </row>
    <row r="689" spans="2:33">
      <c r="B689" s="6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1" t="s">
        <v>394</v>
      </c>
      <c r="R689" s="2">
        <v>23614</v>
      </c>
      <c r="S689" s="2">
        <v>16382</v>
      </c>
      <c r="T689" s="2">
        <v>0</v>
      </c>
      <c r="U689" s="2">
        <v>0</v>
      </c>
      <c r="V689" s="2">
        <v>0</v>
      </c>
      <c r="W689" s="2">
        <v>9279</v>
      </c>
      <c r="AG689" s="16"/>
    </row>
    <row r="690" spans="2:33">
      <c r="B690" s="6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1" t="s">
        <v>395</v>
      </c>
      <c r="R690" s="2">
        <v>6153</v>
      </c>
      <c r="S690" s="2">
        <v>4327</v>
      </c>
      <c r="T690" s="2">
        <v>0</v>
      </c>
      <c r="U690" s="2">
        <v>0</v>
      </c>
      <c r="V690" s="2">
        <v>0</v>
      </c>
      <c r="W690" s="2">
        <v>2652</v>
      </c>
      <c r="AG690" s="16"/>
    </row>
    <row r="691" spans="2:33">
      <c r="B691" s="6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1" t="s">
        <v>42</v>
      </c>
      <c r="R691" s="2">
        <v>0</v>
      </c>
      <c r="S691" s="2">
        <v>0</v>
      </c>
      <c r="T691" s="2">
        <v>28465</v>
      </c>
      <c r="U691" s="2">
        <v>19565</v>
      </c>
      <c r="V691" s="2">
        <v>0</v>
      </c>
      <c r="W691" s="2">
        <v>15124</v>
      </c>
      <c r="AG691" s="16"/>
    </row>
    <row r="692" spans="2:33">
      <c r="B692" s="6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1" t="s">
        <v>43</v>
      </c>
      <c r="R692" s="2">
        <v>0</v>
      </c>
      <c r="S692" s="2">
        <v>0</v>
      </c>
      <c r="T692" s="2">
        <v>14460</v>
      </c>
      <c r="U692" s="2">
        <v>9119</v>
      </c>
      <c r="V692" s="2">
        <v>0</v>
      </c>
      <c r="W692" s="2">
        <v>5660</v>
      </c>
      <c r="AG692" s="16"/>
    </row>
    <row r="693" spans="2:33">
      <c r="B693" s="6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1" t="s">
        <v>44</v>
      </c>
      <c r="R693" s="2">
        <v>0</v>
      </c>
      <c r="S693" s="2">
        <v>0</v>
      </c>
      <c r="T693" s="2">
        <v>0</v>
      </c>
      <c r="U693" s="2">
        <v>424</v>
      </c>
      <c r="V693" s="2">
        <v>328</v>
      </c>
      <c r="W693" s="2">
        <v>737</v>
      </c>
      <c r="AG693" s="16"/>
    </row>
    <row r="694" spans="2:33">
      <c r="B694" s="6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1" t="s">
        <v>45</v>
      </c>
      <c r="R694" s="2">
        <v>0</v>
      </c>
      <c r="S694" s="2">
        <v>389</v>
      </c>
      <c r="T694" s="2">
        <v>300</v>
      </c>
      <c r="U694" s="2">
        <v>0</v>
      </c>
      <c r="V694" s="2">
        <v>0</v>
      </c>
      <c r="W694" s="2">
        <v>828</v>
      </c>
      <c r="AG694" s="16"/>
    </row>
    <row r="695" spans="2:33" ht="15" thickBot="1">
      <c r="B695" s="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1" t="s">
        <v>46</v>
      </c>
      <c r="R695" s="2">
        <v>425</v>
      </c>
      <c r="S695" s="2">
        <v>328</v>
      </c>
      <c r="T695" s="2">
        <v>0</v>
      </c>
      <c r="U695" s="2">
        <v>0</v>
      </c>
      <c r="V695" s="2">
        <v>0</v>
      </c>
      <c r="W695" s="2">
        <v>882</v>
      </c>
      <c r="AG695" s="16"/>
    </row>
    <row r="696" spans="2:33">
      <c r="AG696" s="16"/>
    </row>
    <row r="697" spans="2:33" ht="15" thickBot="1">
      <c r="B697" s="25" t="s">
        <v>388</v>
      </c>
      <c r="C697" s="26" t="s">
        <v>389</v>
      </c>
      <c r="D697" s="26" t="s">
        <v>396</v>
      </c>
      <c r="E697" s="26" t="s">
        <v>397</v>
      </c>
      <c r="F697" s="26" t="s">
        <v>392</v>
      </c>
      <c r="G697" s="26" t="s">
        <v>33</v>
      </c>
      <c r="H697" s="27" t="s">
        <v>33</v>
      </c>
      <c r="I697" s="26" t="s">
        <v>398</v>
      </c>
      <c r="J697" s="27" t="s">
        <v>56</v>
      </c>
      <c r="K697" s="29">
        <v>12</v>
      </c>
      <c r="L697" s="29">
        <v>12</v>
      </c>
      <c r="M697" s="29">
        <v>12</v>
      </c>
      <c r="N697" s="29">
        <v>0</v>
      </c>
      <c r="O697" s="29">
        <v>0</v>
      </c>
      <c r="P697" s="40">
        <v>0</v>
      </c>
      <c r="Q697" s="1" t="s">
        <v>67</v>
      </c>
      <c r="R697" s="2">
        <v>648</v>
      </c>
      <c r="S697" s="2">
        <v>578</v>
      </c>
      <c r="T697" s="2">
        <v>966</v>
      </c>
      <c r="U697" s="2">
        <v>0</v>
      </c>
      <c r="V697" s="2">
        <v>0</v>
      </c>
      <c r="W697" s="2">
        <v>0</v>
      </c>
      <c r="X697" s="43">
        <f>SUM(R697:W709)</f>
        <v>18996</v>
      </c>
      <c r="Y697" s="10">
        <v>46204</v>
      </c>
      <c r="Z697" s="11">
        <v>0.23937248190926946</v>
      </c>
      <c r="AA697" s="11">
        <v>0.16285803211757613</v>
      </c>
      <c r="AB697" s="11">
        <v>0.13513241003497065</v>
      </c>
      <c r="AC697" s="11"/>
      <c r="AD697" s="11"/>
      <c r="AE697" s="11"/>
      <c r="AF697" s="11">
        <v>0.3</v>
      </c>
      <c r="AG697" s="13">
        <v>0.23899999999999999</v>
      </c>
    </row>
    <row r="698" spans="2:33">
      <c r="B698" s="18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3" t="s">
        <v>68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4"/>
      <c r="Y698" s="14"/>
      <c r="Z698" s="14"/>
      <c r="AA698" s="14"/>
      <c r="AB698" s="14"/>
      <c r="AC698" s="14"/>
      <c r="AD698" s="14"/>
      <c r="AE698" s="14"/>
      <c r="AF698" s="14"/>
      <c r="AG698" s="35"/>
    </row>
    <row r="699" spans="2:33">
      <c r="B699" s="19"/>
      <c r="Q699" s="13" t="s">
        <v>399</v>
      </c>
      <c r="R699" s="13">
        <v>635</v>
      </c>
      <c r="S699" s="13">
        <v>581</v>
      </c>
      <c r="T699" s="13">
        <v>973</v>
      </c>
      <c r="U699" s="13">
        <v>0</v>
      </c>
      <c r="V699" s="13">
        <v>0</v>
      </c>
      <c r="W699" s="13">
        <v>0</v>
      </c>
      <c r="AG699" s="16"/>
    </row>
    <row r="700" spans="2:33">
      <c r="B700" s="19"/>
      <c r="Q700" s="13" t="s">
        <v>400</v>
      </c>
      <c r="R700" s="13">
        <v>17</v>
      </c>
      <c r="S700" s="13">
        <v>9</v>
      </c>
      <c r="T700" s="13">
        <v>19</v>
      </c>
      <c r="U700" s="13">
        <v>0</v>
      </c>
      <c r="V700" s="13">
        <v>0</v>
      </c>
      <c r="W700" s="13">
        <v>0</v>
      </c>
      <c r="AG700" s="16"/>
    </row>
    <row r="701" spans="2:33">
      <c r="B701" s="19"/>
      <c r="Q701" s="13" t="s">
        <v>401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AG701" s="16"/>
    </row>
    <row r="702" spans="2:33">
      <c r="B702" s="19"/>
      <c r="Q702" s="13" t="s">
        <v>402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AG702" s="16"/>
    </row>
    <row r="703" spans="2:33">
      <c r="B703" s="19"/>
      <c r="Q703" s="13" t="s">
        <v>403</v>
      </c>
      <c r="R703" s="13">
        <v>287</v>
      </c>
      <c r="S703" s="13">
        <v>259</v>
      </c>
      <c r="T703" s="13">
        <v>596</v>
      </c>
      <c r="U703" s="13">
        <v>0</v>
      </c>
      <c r="V703" s="13">
        <v>0</v>
      </c>
      <c r="W703" s="13">
        <v>0</v>
      </c>
      <c r="AG703" s="16"/>
    </row>
    <row r="704" spans="2:33">
      <c r="B704" s="19"/>
      <c r="Q704" s="13" t="s">
        <v>404</v>
      </c>
      <c r="R704" s="13">
        <v>633</v>
      </c>
      <c r="S704" s="13">
        <v>557</v>
      </c>
      <c r="T704" s="13">
        <v>993</v>
      </c>
      <c r="U704" s="13">
        <v>0</v>
      </c>
      <c r="V704" s="13">
        <v>0</v>
      </c>
      <c r="W704" s="13">
        <v>0</v>
      </c>
      <c r="AG704" s="16"/>
    </row>
    <row r="705" spans="2:33">
      <c r="B705" s="19"/>
      <c r="Q705" s="13" t="s">
        <v>405</v>
      </c>
      <c r="R705" s="13">
        <v>548</v>
      </c>
      <c r="S705" s="13">
        <v>475</v>
      </c>
      <c r="T705" s="13">
        <v>695</v>
      </c>
      <c r="U705" s="13">
        <v>0</v>
      </c>
      <c r="V705" s="13">
        <v>0</v>
      </c>
      <c r="W705" s="13">
        <v>0</v>
      </c>
      <c r="AG705" s="16"/>
    </row>
    <row r="706" spans="2:33">
      <c r="B706" s="19"/>
      <c r="Q706" s="13" t="s">
        <v>406</v>
      </c>
      <c r="R706" s="13">
        <v>0</v>
      </c>
      <c r="S706" s="13">
        <v>1</v>
      </c>
      <c r="T706" s="13">
        <v>20</v>
      </c>
      <c r="U706" s="13">
        <v>0</v>
      </c>
      <c r="V706" s="13">
        <v>0</v>
      </c>
      <c r="W706" s="13">
        <v>0</v>
      </c>
      <c r="AG706" s="16"/>
    </row>
    <row r="707" spans="2:33">
      <c r="B707" s="19"/>
      <c r="Q707" s="13" t="s">
        <v>407</v>
      </c>
      <c r="R707" s="13">
        <v>1248</v>
      </c>
      <c r="S707" s="13">
        <v>1113</v>
      </c>
      <c r="T707" s="13">
        <v>1740</v>
      </c>
      <c r="U707" s="13">
        <v>0</v>
      </c>
      <c r="V707" s="13">
        <v>0</v>
      </c>
      <c r="W707" s="13">
        <v>0</v>
      </c>
      <c r="AG707" s="16"/>
    </row>
    <row r="708" spans="2:33">
      <c r="B708" s="19"/>
      <c r="Q708" s="13" t="s">
        <v>408</v>
      </c>
      <c r="R708" s="13">
        <v>568</v>
      </c>
      <c r="S708" s="13">
        <v>606</v>
      </c>
      <c r="T708" s="13">
        <v>791</v>
      </c>
      <c r="U708" s="13">
        <v>0</v>
      </c>
      <c r="V708" s="13">
        <v>0</v>
      </c>
      <c r="W708" s="13">
        <v>0</v>
      </c>
      <c r="AG708" s="16"/>
    </row>
    <row r="709" spans="2:33" ht="15" thickBot="1">
      <c r="B709" s="20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3" t="s">
        <v>270</v>
      </c>
      <c r="R709" s="13">
        <v>932</v>
      </c>
      <c r="S709" s="13">
        <v>882</v>
      </c>
      <c r="T709" s="13">
        <v>1626</v>
      </c>
      <c r="U709" s="13">
        <v>0</v>
      </c>
      <c r="V709" s="13">
        <v>0</v>
      </c>
      <c r="W709" s="13">
        <v>0</v>
      </c>
      <c r="X709" s="15"/>
      <c r="Y709" s="15"/>
      <c r="Z709" s="15"/>
      <c r="AA709" s="15"/>
      <c r="AB709" s="15"/>
      <c r="AC709" s="15"/>
      <c r="AD709" s="15"/>
      <c r="AE709" s="15"/>
      <c r="AF709" s="15"/>
      <c r="AG709" s="17"/>
    </row>
    <row r="711" spans="2:33" ht="15" thickBot="1">
      <c r="B711" s="25" t="s">
        <v>388</v>
      </c>
      <c r="C711" s="26" t="s">
        <v>389</v>
      </c>
      <c r="D711" s="26" t="s">
        <v>409</v>
      </c>
      <c r="E711" s="26" t="s">
        <v>410</v>
      </c>
      <c r="F711" s="26" t="s">
        <v>392</v>
      </c>
      <c r="G711" s="26" t="s">
        <v>33</v>
      </c>
      <c r="H711" s="27" t="s">
        <v>33</v>
      </c>
      <c r="I711" s="26" t="s">
        <v>411</v>
      </c>
      <c r="J711" s="27" t="s">
        <v>87</v>
      </c>
      <c r="K711" s="29">
        <v>240</v>
      </c>
      <c r="L711" s="29">
        <v>265</v>
      </c>
      <c r="M711" s="29">
        <v>265</v>
      </c>
      <c r="N711" s="29">
        <v>265</v>
      </c>
      <c r="O711" s="29">
        <v>265</v>
      </c>
      <c r="P711" s="40">
        <v>450</v>
      </c>
      <c r="Q711" s="1" t="s">
        <v>35</v>
      </c>
      <c r="R711" s="2">
        <v>20362</v>
      </c>
      <c r="S711" s="2">
        <v>15996</v>
      </c>
      <c r="T711" s="2">
        <v>0</v>
      </c>
      <c r="U711" s="2">
        <v>0</v>
      </c>
      <c r="V711" s="2">
        <v>0</v>
      </c>
      <c r="W711" s="2">
        <v>14431</v>
      </c>
      <c r="X711" s="43">
        <f>SUM(R711:W723)</f>
        <v>595146</v>
      </c>
      <c r="Y711" s="10">
        <v>46204</v>
      </c>
      <c r="Z711" s="11">
        <v>0.21919235148020305</v>
      </c>
      <c r="AA711" s="11">
        <v>0.18278252950868873</v>
      </c>
      <c r="AB711" s="11">
        <v>0.14730848520871084</v>
      </c>
      <c r="AC711" s="11">
        <v>0.12879037718868644</v>
      </c>
      <c r="AD711" s="11">
        <v>0.11451881259976519</v>
      </c>
      <c r="AE711" s="11">
        <v>0.13153841003497066</v>
      </c>
      <c r="AF711" s="11">
        <v>0.3</v>
      </c>
      <c r="AG711" s="13">
        <v>0.23899999999999999</v>
      </c>
    </row>
    <row r="712" spans="2:33">
      <c r="B712" s="18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3" t="s">
        <v>36</v>
      </c>
      <c r="R712" s="13">
        <v>19337</v>
      </c>
      <c r="S712" s="13">
        <v>14951</v>
      </c>
      <c r="T712" s="13">
        <v>0</v>
      </c>
      <c r="U712" s="13">
        <v>0</v>
      </c>
      <c r="V712" s="13">
        <v>0</v>
      </c>
      <c r="W712" s="13">
        <v>11738</v>
      </c>
      <c r="X712" s="14"/>
      <c r="Y712" s="14"/>
      <c r="Z712" s="14"/>
      <c r="AA712" s="14"/>
      <c r="AB712" s="14"/>
      <c r="AC712" s="14"/>
      <c r="AD712" s="14"/>
      <c r="AE712" s="14"/>
      <c r="AF712" s="14"/>
      <c r="AG712" s="35"/>
    </row>
    <row r="713" spans="2:33">
      <c r="B713" s="19"/>
      <c r="Q713" s="13" t="s">
        <v>37</v>
      </c>
      <c r="R713" s="13">
        <v>0</v>
      </c>
      <c r="S713" s="13">
        <v>20536</v>
      </c>
      <c r="T713" s="13">
        <v>15213</v>
      </c>
      <c r="U713" s="13">
        <v>0</v>
      </c>
      <c r="V713" s="13">
        <v>0</v>
      </c>
      <c r="W713" s="13">
        <v>13265</v>
      </c>
      <c r="AG713" s="16"/>
    </row>
    <row r="714" spans="2:33">
      <c r="B714" s="19"/>
      <c r="Q714" s="13" t="s">
        <v>38</v>
      </c>
      <c r="R714" s="13">
        <v>0</v>
      </c>
      <c r="S714" s="13">
        <v>0</v>
      </c>
      <c r="T714" s="13">
        <v>0</v>
      </c>
      <c r="U714" s="13">
        <v>18280</v>
      </c>
      <c r="V714" s="13">
        <v>12716</v>
      </c>
      <c r="W714" s="13">
        <v>9096</v>
      </c>
      <c r="AG714" s="16"/>
    </row>
    <row r="715" spans="2:33">
      <c r="B715" s="19"/>
      <c r="Q715" s="13" t="s">
        <v>39</v>
      </c>
      <c r="R715" s="13">
        <v>0</v>
      </c>
      <c r="S715" s="13">
        <v>0</v>
      </c>
      <c r="T715" s="13">
        <v>0</v>
      </c>
      <c r="U715" s="13">
        <v>16904</v>
      </c>
      <c r="V715" s="13">
        <v>11105</v>
      </c>
      <c r="W715" s="13">
        <v>11763</v>
      </c>
      <c r="AG715" s="16"/>
    </row>
    <row r="716" spans="2:33">
      <c r="B716" s="19"/>
      <c r="Q716" s="13" t="s">
        <v>40</v>
      </c>
      <c r="R716" s="13">
        <v>0</v>
      </c>
      <c r="S716" s="13">
        <v>0</v>
      </c>
      <c r="T716" s="13">
        <v>28135</v>
      </c>
      <c r="U716" s="13">
        <v>20661</v>
      </c>
      <c r="V716" s="13">
        <v>0</v>
      </c>
      <c r="W716" s="13">
        <v>17461</v>
      </c>
      <c r="AG716" s="16"/>
    </row>
    <row r="717" spans="2:33">
      <c r="B717" s="19"/>
      <c r="Q717" s="13" t="s">
        <v>394</v>
      </c>
      <c r="R717" s="13">
        <v>18373</v>
      </c>
      <c r="S717" s="13">
        <v>12864</v>
      </c>
      <c r="T717" s="13">
        <v>0</v>
      </c>
      <c r="U717" s="13">
        <v>0</v>
      </c>
      <c r="V717" s="13">
        <v>0</v>
      </c>
      <c r="W717" s="13">
        <v>12651</v>
      </c>
      <c r="AG717" s="16"/>
    </row>
    <row r="718" spans="2:33">
      <c r="B718" s="19"/>
      <c r="Q718" s="13" t="s">
        <v>395</v>
      </c>
      <c r="R718" s="13">
        <v>6295</v>
      </c>
      <c r="S718" s="13">
        <v>4419</v>
      </c>
      <c r="T718" s="13">
        <v>0</v>
      </c>
      <c r="U718" s="13">
        <v>0</v>
      </c>
      <c r="V718" s="13">
        <v>0</v>
      </c>
      <c r="W718" s="13">
        <v>4482</v>
      </c>
      <c r="AG718" s="16"/>
    </row>
    <row r="719" spans="2:33">
      <c r="B719" s="19"/>
      <c r="Q719" s="13" t="s">
        <v>42</v>
      </c>
      <c r="R719" s="13">
        <v>0</v>
      </c>
      <c r="S719" s="13">
        <v>0</v>
      </c>
      <c r="T719" s="13">
        <v>28753</v>
      </c>
      <c r="U719" s="13">
        <v>20166</v>
      </c>
      <c r="V719" s="13">
        <v>0</v>
      </c>
      <c r="W719" s="13">
        <v>24457</v>
      </c>
      <c r="AG719" s="16"/>
    </row>
    <row r="720" spans="2:33">
      <c r="B720" s="19"/>
      <c r="Q720" s="13" t="s">
        <v>43</v>
      </c>
      <c r="R720" s="13">
        <v>0</v>
      </c>
      <c r="S720" s="13">
        <v>0</v>
      </c>
      <c r="T720" s="13">
        <v>22504</v>
      </c>
      <c r="U720" s="13">
        <v>14256</v>
      </c>
      <c r="V720" s="13">
        <v>0</v>
      </c>
      <c r="W720" s="13">
        <v>11945</v>
      </c>
      <c r="AG720" s="16"/>
    </row>
    <row r="721" spans="2:33">
      <c r="B721" s="19"/>
      <c r="Q721" s="13" t="s">
        <v>44</v>
      </c>
      <c r="R721" s="13">
        <v>0</v>
      </c>
      <c r="S721" s="13">
        <v>0</v>
      </c>
      <c r="T721" s="13">
        <v>0</v>
      </c>
      <c r="U721" s="13">
        <v>14526</v>
      </c>
      <c r="V721" s="13">
        <v>10657</v>
      </c>
      <c r="W721" s="13">
        <v>6878</v>
      </c>
      <c r="AG721" s="16"/>
    </row>
    <row r="722" spans="2:33">
      <c r="B722" s="19"/>
      <c r="Q722" s="13" t="s">
        <v>45</v>
      </c>
      <c r="R722" s="13">
        <v>0</v>
      </c>
      <c r="S722" s="13">
        <v>17361</v>
      </c>
      <c r="T722" s="13">
        <v>12795</v>
      </c>
      <c r="U722" s="13">
        <v>0</v>
      </c>
      <c r="V722" s="13">
        <v>0</v>
      </c>
      <c r="W722" s="13">
        <v>11150</v>
      </c>
      <c r="AG722" s="16"/>
    </row>
    <row r="723" spans="2:33" ht="15" thickBot="1">
      <c r="B723" s="20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3" t="s">
        <v>46</v>
      </c>
      <c r="R723" s="13">
        <v>19402</v>
      </c>
      <c r="S723" s="13">
        <v>15449</v>
      </c>
      <c r="T723" s="13">
        <v>0</v>
      </c>
      <c r="U723" s="13">
        <v>0</v>
      </c>
      <c r="V723" s="13">
        <v>0</v>
      </c>
      <c r="W723" s="13">
        <v>13813</v>
      </c>
      <c r="X723" s="15"/>
      <c r="Y723" s="15"/>
      <c r="Z723" s="15"/>
      <c r="AA723" s="15"/>
      <c r="AB723" s="15"/>
      <c r="AC723" s="15"/>
      <c r="AD723" s="15"/>
      <c r="AE723" s="15"/>
      <c r="AF723" s="15"/>
      <c r="AG723" s="17"/>
    </row>
    <row r="725" spans="2:33" ht="15" thickBot="1">
      <c r="B725" s="25" t="s">
        <v>388</v>
      </c>
      <c r="C725" s="26" t="s">
        <v>389</v>
      </c>
      <c r="D725" s="26" t="s">
        <v>412</v>
      </c>
      <c r="E725" s="26" t="s">
        <v>413</v>
      </c>
      <c r="F725" s="26" t="s">
        <v>392</v>
      </c>
      <c r="G725" s="26" t="s">
        <v>33</v>
      </c>
      <c r="H725" s="27" t="s">
        <v>33</v>
      </c>
      <c r="I725" s="26" t="s">
        <v>414</v>
      </c>
      <c r="J725" s="27" t="s">
        <v>87</v>
      </c>
      <c r="K725" s="29">
        <v>10</v>
      </c>
      <c r="L725" s="29">
        <v>10</v>
      </c>
      <c r="M725" s="29">
        <v>10</v>
      </c>
      <c r="N725" s="29">
        <v>10</v>
      </c>
      <c r="O725" s="29">
        <v>10</v>
      </c>
      <c r="P725" s="40">
        <v>100</v>
      </c>
      <c r="Q725" s="1" t="s">
        <v>35</v>
      </c>
      <c r="R725" s="2">
        <v>1154</v>
      </c>
      <c r="S725" s="2">
        <v>878</v>
      </c>
      <c r="T725" s="2">
        <v>0</v>
      </c>
      <c r="U725" s="2">
        <v>0</v>
      </c>
      <c r="V725" s="2">
        <v>0</v>
      </c>
      <c r="W725" s="2">
        <v>2014</v>
      </c>
      <c r="X725" s="43">
        <f>SUM(R725:W737)</f>
        <v>34049</v>
      </c>
      <c r="Y725" s="10">
        <v>46204</v>
      </c>
      <c r="Z725" s="11">
        <v>0.21919235148020305</v>
      </c>
      <c r="AA725" s="11">
        <v>0.18278252950868873</v>
      </c>
      <c r="AB725" s="11">
        <v>0.14730848520871084</v>
      </c>
      <c r="AC725" s="11">
        <v>0.12879037718868644</v>
      </c>
      <c r="AD725" s="11">
        <v>0.11451881259976519</v>
      </c>
      <c r="AE725" s="11">
        <v>0.13153841003497066</v>
      </c>
      <c r="AF725" s="11">
        <v>0.3</v>
      </c>
      <c r="AG725" s="13">
        <v>0.23899999999999999</v>
      </c>
    </row>
    <row r="726" spans="2:33">
      <c r="B726" s="18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3" t="s">
        <v>36</v>
      </c>
      <c r="R726" s="13">
        <v>1214</v>
      </c>
      <c r="S726" s="13">
        <v>939</v>
      </c>
      <c r="T726" s="13">
        <v>0</v>
      </c>
      <c r="U726" s="13">
        <v>0</v>
      </c>
      <c r="V726" s="13">
        <v>0</v>
      </c>
      <c r="W726" s="13">
        <v>2021</v>
      </c>
      <c r="X726" s="14"/>
      <c r="Y726" s="14"/>
      <c r="Z726" s="14"/>
      <c r="AA726" s="14"/>
      <c r="AB726" s="14"/>
      <c r="AC726" s="14"/>
      <c r="AD726" s="14"/>
      <c r="AE726" s="14"/>
      <c r="AF726" s="14"/>
      <c r="AG726" s="35"/>
    </row>
    <row r="727" spans="2:33">
      <c r="B727" s="19"/>
      <c r="Q727" s="13" t="s">
        <v>37</v>
      </c>
      <c r="R727" s="13">
        <v>0</v>
      </c>
      <c r="S727" s="13">
        <v>993</v>
      </c>
      <c r="T727" s="13">
        <v>760</v>
      </c>
      <c r="U727" s="13">
        <v>0</v>
      </c>
      <c r="V727" s="13">
        <v>0</v>
      </c>
      <c r="W727" s="13">
        <v>1508</v>
      </c>
      <c r="AG727" s="16"/>
    </row>
    <row r="728" spans="2:33">
      <c r="B728" s="19"/>
      <c r="Q728" s="13" t="s">
        <v>38</v>
      </c>
      <c r="R728" s="13">
        <v>0</v>
      </c>
      <c r="S728" s="13">
        <v>0</v>
      </c>
      <c r="T728" s="13">
        <v>0</v>
      </c>
      <c r="U728" s="13">
        <v>1105</v>
      </c>
      <c r="V728" s="13">
        <v>839</v>
      </c>
      <c r="W728" s="13">
        <v>1648</v>
      </c>
      <c r="AG728" s="16"/>
    </row>
    <row r="729" spans="2:33">
      <c r="B729" s="19"/>
      <c r="Q729" s="13" t="s">
        <v>39</v>
      </c>
      <c r="R729" s="13">
        <v>0</v>
      </c>
      <c r="S729" s="13">
        <v>0</v>
      </c>
      <c r="T729" s="13">
        <v>0</v>
      </c>
      <c r="U729" s="13">
        <v>933</v>
      </c>
      <c r="V729" s="13">
        <v>729</v>
      </c>
      <c r="W729" s="13">
        <v>1307</v>
      </c>
      <c r="AG729" s="16"/>
    </row>
    <row r="730" spans="2:33">
      <c r="B730" s="19"/>
      <c r="Q730" s="13" t="s">
        <v>40</v>
      </c>
      <c r="R730" s="13">
        <v>0</v>
      </c>
      <c r="S730" s="13">
        <v>0</v>
      </c>
      <c r="T730" s="13">
        <v>1042</v>
      </c>
      <c r="U730" s="13">
        <v>810</v>
      </c>
      <c r="V730" s="13">
        <v>0</v>
      </c>
      <c r="W730" s="13">
        <v>1455</v>
      </c>
      <c r="AG730" s="16"/>
    </row>
    <row r="731" spans="2:33">
      <c r="B731" s="19"/>
      <c r="Q731" s="13" t="s">
        <v>394</v>
      </c>
      <c r="R731" s="13">
        <v>591</v>
      </c>
      <c r="S731" s="13">
        <v>436</v>
      </c>
      <c r="T731" s="13">
        <v>0</v>
      </c>
      <c r="U731" s="13">
        <v>0</v>
      </c>
      <c r="V731" s="13">
        <v>0</v>
      </c>
      <c r="W731" s="13">
        <v>964</v>
      </c>
      <c r="AG731" s="16"/>
    </row>
    <row r="732" spans="2:33">
      <c r="B732" s="19"/>
      <c r="Q732" s="13" t="s">
        <v>395</v>
      </c>
      <c r="R732" s="13">
        <v>169</v>
      </c>
      <c r="S732" s="13">
        <v>125</v>
      </c>
      <c r="T732" s="13">
        <v>0</v>
      </c>
      <c r="U732" s="13">
        <v>0</v>
      </c>
      <c r="V732" s="13">
        <v>0</v>
      </c>
      <c r="W732" s="13">
        <v>302</v>
      </c>
      <c r="AG732" s="16"/>
    </row>
    <row r="733" spans="2:33">
      <c r="B733" s="19"/>
      <c r="Q733" s="13" t="s">
        <v>42</v>
      </c>
      <c r="R733" s="13">
        <v>0</v>
      </c>
      <c r="S733" s="13">
        <v>0</v>
      </c>
      <c r="T733" s="13">
        <v>675</v>
      </c>
      <c r="U733" s="13">
        <v>498</v>
      </c>
      <c r="V733" s="13">
        <v>0</v>
      </c>
      <c r="W733" s="13">
        <v>1210</v>
      </c>
      <c r="AG733" s="16"/>
    </row>
    <row r="734" spans="2:33">
      <c r="B734" s="19"/>
      <c r="Q734" s="13" t="s">
        <v>43</v>
      </c>
      <c r="R734" s="13">
        <v>0</v>
      </c>
      <c r="S734" s="13">
        <v>0</v>
      </c>
      <c r="T734" s="13">
        <v>872</v>
      </c>
      <c r="U734" s="13">
        <v>692</v>
      </c>
      <c r="V734" s="13">
        <v>0</v>
      </c>
      <c r="W734" s="13">
        <v>1227</v>
      </c>
      <c r="AG734" s="16"/>
    </row>
    <row r="735" spans="2:33">
      <c r="B735" s="19"/>
      <c r="Q735" s="13" t="s">
        <v>44</v>
      </c>
      <c r="R735" s="13">
        <v>0</v>
      </c>
      <c r="S735" s="13">
        <v>0</v>
      </c>
      <c r="T735" s="13">
        <v>0</v>
      </c>
      <c r="U735" s="13">
        <v>609</v>
      </c>
      <c r="V735" s="13">
        <v>467</v>
      </c>
      <c r="W735" s="13">
        <v>797</v>
      </c>
      <c r="AG735" s="16"/>
    </row>
    <row r="736" spans="2:33">
      <c r="B736" s="19"/>
      <c r="Q736" s="13" t="s">
        <v>45</v>
      </c>
      <c r="R736" s="13">
        <v>0</v>
      </c>
      <c r="S736" s="13">
        <v>441</v>
      </c>
      <c r="T736" s="13">
        <v>325</v>
      </c>
      <c r="U736" s="13">
        <v>0</v>
      </c>
      <c r="V736" s="13">
        <v>0</v>
      </c>
      <c r="W736" s="13">
        <v>768</v>
      </c>
      <c r="AG736" s="16"/>
    </row>
    <row r="737" spans="2:33" ht="15" thickBot="1">
      <c r="B737" s="20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3" t="s">
        <v>46</v>
      </c>
      <c r="R737" s="13">
        <v>430</v>
      </c>
      <c r="S737" s="13">
        <v>321</v>
      </c>
      <c r="T737" s="13">
        <v>0</v>
      </c>
      <c r="U737" s="13">
        <v>0</v>
      </c>
      <c r="V737" s="13">
        <v>0</v>
      </c>
      <c r="W737" s="13">
        <v>781</v>
      </c>
      <c r="X737" s="15"/>
      <c r="Y737" s="15"/>
      <c r="Z737" s="15"/>
      <c r="AA737" s="15"/>
      <c r="AB737" s="15"/>
      <c r="AC737" s="15"/>
      <c r="AD737" s="15"/>
      <c r="AE737" s="15"/>
      <c r="AF737" s="15"/>
      <c r="AG737" s="17"/>
    </row>
    <row r="739" spans="2:33" ht="15" thickBot="1">
      <c r="B739" s="25" t="s">
        <v>388</v>
      </c>
      <c r="C739" s="26" t="s">
        <v>389</v>
      </c>
      <c r="D739" s="26" t="s">
        <v>415</v>
      </c>
      <c r="E739" s="26" t="s">
        <v>416</v>
      </c>
      <c r="F739" s="26" t="s">
        <v>392</v>
      </c>
      <c r="G739" s="26" t="s">
        <v>33</v>
      </c>
      <c r="H739" s="27" t="s">
        <v>33</v>
      </c>
      <c r="I739" s="26" t="s">
        <v>417</v>
      </c>
      <c r="J739" s="27" t="s">
        <v>87</v>
      </c>
      <c r="K739" s="29">
        <v>10</v>
      </c>
      <c r="L739" s="29">
        <v>10</v>
      </c>
      <c r="M739" s="29">
        <v>10</v>
      </c>
      <c r="N739" s="29">
        <v>10</v>
      </c>
      <c r="O739" s="29">
        <v>10</v>
      </c>
      <c r="P739" s="40">
        <v>25</v>
      </c>
      <c r="Q739" s="1" t="s">
        <v>35</v>
      </c>
      <c r="R739" s="2">
        <v>1049</v>
      </c>
      <c r="S739" s="2">
        <v>758</v>
      </c>
      <c r="T739" s="2">
        <v>0</v>
      </c>
      <c r="U739" s="2">
        <v>0</v>
      </c>
      <c r="V739" s="2">
        <v>0</v>
      </c>
      <c r="W739" s="2">
        <v>1876</v>
      </c>
      <c r="X739" s="43">
        <f>SUM(R739:W751)</f>
        <v>38712</v>
      </c>
      <c r="Y739" s="10">
        <v>46204</v>
      </c>
      <c r="Z739" s="11">
        <v>0.21919235148020305</v>
      </c>
      <c r="AA739" s="11">
        <v>0.18278252950868873</v>
      </c>
      <c r="AB739" s="11">
        <v>0.14730848520871084</v>
      </c>
      <c r="AC739" s="11">
        <v>0.12879037718868644</v>
      </c>
      <c r="AD739" s="11">
        <v>0.11451881259976519</v>
      </c>
      <c r="AE739" s="11">
        <v>0.13153841003497066</v>
      </c>
      <c r="AF739" s="11">
        <v>0.3</v>
      </c>
      <c r="AG739" s="13">
        <v>0.23899999999999999</v>
      </c>
    </row>
    <row r="740" spans="2:33">
      <c r="B740" s="18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3" t="s">
        <v>36</v>
      </c>
      <c r="R740" s="13">
        <v>977</v>
      </c>
      <c r="S740" s="13">
        <v>687</v>
      </c>
      <c r="T740" s="13">
        <v>0</v>
      </c>
      <c r="U740" s="13">
        <v>0</v>
      </c>
      <c r="V740" s="13">
        <v>0</v>
      </c>
      <c r="W740" s="13">
        <v>1554</v>
      </c>
      <c r="X740" s="14"/>
      <c r="Y740" s="14"/>
      <c r="Z740" s="14"/>
      <c r="AA740" s="14"/>
      <c r="AB740" s="14"/>
      <c r="AC740" s="14"/>
      <c r="AD740" s="14"/>
      <c r="AE740" s="14"/>
      <c r="AF740" s="14"/>
      <c r="AG740" s="35"/>
    </row>
    <row r="741" spans="2:33">
      <c r="B741" s="19"/>
      <c r="Q741" s="13" t="s">
        <v>37</v>
      </c>
      <c r="R741" s="13">
        <v>0</v>
      </c>
      <c r="S741" s="13">
        <v>1021</v>
      </c>
      <c r="T741" s="13">
        <v>713</v>
      </c>
      <c r="U741" s="13">
        <v>0</v>
      </c>
      <c r="V741" s="13">
        <v>0</v>
      </c>
      <c r="W741" s="13">
        <v>1805</v>
      </c>
      <c r="AG741" s="16"/>
    </row>
    <row r="742" spans="2:33">
      <c r="B742" s="19"/>
      <c r="Q742" s="13" t="s">
        <v>38</v>
      </c>
      <c r="R742" s="13">
        <v>0</v>
      </c>
      <c r="S742" s="13">
        <v>0</v>
      </c>
      <c r="T742" s="13">
        <v>0</v>
      </c>
      <c r="U742" s="13">
        <v>929</v>
      </c>
      <c r="V742" s="13">
        <v>678</v>
      </c>
      <c r="W742" s="13">
        <v>1503</v>
      </c>
      <c r="AG742" s="16"/>
    </row>
    <row r="743" spans="2:33">
      <c r="B743" s="19"/>
      <c r="Q743" s="13" t="s">
        <v>39</v>
      </c>
      <c r="R743" s="13">
        <v>0</v>
      </c>
      <c r="S743" s="13">
        <v>0</v>
      </c>
      <c r="T743" s="13">
        <v>0</v>
      </c>
      <c r="U743" s="13">
        <v>889</v>
      </c>
      <c r="V743" s="13">
        <v>665</v>
      </c>
      <c r="W743" s="13">
        <v>1650</v>
      </c>
      <c r="AG743" s="16"/>
    </row>
    <row r="744" spans="2:33">
      <c r="B744" s="19"/>
      <c r="Q744" s="13" t="s">
        <v>40</v>
      </c>
      <c r="R744" s="13">
        <v>0</v>
      </c>
      <c r="S744" s="13">
        <v>0</v>
      </c>
      <c r="T744" s="13">
        <v>871</v>
      </c>
      <c r="U744" s="13">
        <v>648</v>
      </c>
      <c r="V744" s="13">
        <v>0</v>
      </c>
      <c r="W744" s="13">
        <v>1409</v>
      </c>
      <c r="AG744" s="16"/>
    </row>
    <row r="745" spans="2:33">
      <c r="B745" s="19"/>
      <c r="Q745" s="13" t="s">
        <v>394</v>
      </c>
      <c r="R745" s="13">
        <v>581</v>
      </c>
      <c r="S745" s="13">
        <v>436</v>
      </c>
      <c r="T745" s="13">
        <v>0</v>
      </c>
      <c r="U745" s="13">
        <v>0</v>
      </c>
      <c r="V745" s="13">
        <v>0</v>
      </c>
      <c r="W745" s="13">
        <v>936</v>
      </c>
      <c r="AG745" s="16"/>
    </row>
    <row r="746" spans="2:33">
      <c r="B746" s="19"/>
      <c r="Q746" s="13" t="s">
        <v>395</v>
      </c>
      <c r="R746" s="13">
        <v>165</v>
      </c>
      <c r="S746" s="13">
        <v>128</v>
      </c>
      <c r="T746" s="13">
        <v>0</v>
      </c>
      <c r="U746" s="13">
        <v>0</v>
      </c>
      <c r="V746" s="13">
        <v>0</v>
      </c>
      <c r="W746" s="13">
        <v>322</v>
      </c>
      <c r="AG746" s="16"/>
    </row>
    <row r="747" spans="2:33">
      <c r="B747" s="19"/>
      <c r="Q747" s="13" t="s">
        <v>42</v>
      </c>
      <c r="R747" s="13">
        <v>0</v>
      </c>
      <c r="S747" s="13">
        <v>0</v>
      </c>
      <c r="T747" s="13">
        <v>750</v>
      </c>
      <c r="U747" s="13">
        <v>559</v>
      </c>
      <c r="V747" s="13">
        <v>0</v>
      </c>
      <c r="W747" s="13">
        <v>1504</v>
      </c>
      <c r="AG747" s="16"/>
    </row>
    <row r="748" spans="2:33">
      <c r="B748" s="19"/>
      <c r="Q748" s="13" t="s">
        <v>43</v>
      </c>
      <c r="R748" s="13">
        <v>0</v>
      </c>
      <c r="S748" s="13">
        <v>0</v>
      </c>
      <c r="T748" s="13">
        <v>979</v>
      </c>
      <c r="U748" s="13">
        <v>696</v>
      </c>
      <c r="V748" s="13">
        <v>0</v>
      </c>
      <c r="W748" s="13">
        <v>1328</v>
      </c>
      <c r="AG748" s="16"/>
    </row>
    <row r="749" spans="2:33">
      <c r="B749" s="19"/>
      <c r="Q749" s="13" t="s">
        <v>44</v>
      </c>
      <c r="R749" s="13">
        <v>0</v>
      </c>
      <c r="S749" s="13">
        <v>0</v>
      </c>
      <c r="T749" s="13">
        <v>0</v>
      </c>
      <c r="U749" s="13">
        <v>1099</v>
      </c>
      <c r="V749" s="13">
        <v>769</v>
      </c>
      <c r="W749" s="13">
        <v>1410</v>
      </c>
      <c r="AG749" s="16"/>
    </row>
    <row r="750" spans="2:33">
      <c r="B750" s="19"/>
      <c r="Q750" s="13" t="s">
        <v>45</v>
      </c>
      <c r="R750" s="13">
        <v>0</v>
      </c>
      <c r="S750" s="13">
        <v>1070</v>
      </c>
      <c r="T750" s="13">
        <v>754</v>
      </c>
      <c r="U750" s="13">
        <v>0</v>
      </c>
      <c r="V750" s="13">
        <v>0</v>
      </c>
      <c r="W750" s="13">
        <v>1768</v>
      </c>
      <c r="AG750" s="16"/>
    </row>
    <row r="751" spans="2:33" ht="15" thickBot="1">
      <c r="B751" s="20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3" t="s">
        <v>46</v>
      </c>
      <c r="R751" s="13">
        <v>1119</v>
      </c>
      <c r="S751" s="13">
        <v>798</v>
      </c>
      <c r="T751" s="13">
        <v>0</v>
      </c>
      <c r="U751" s="13">
        <v>0</v>
      </c>
      <c r="V751" s="13">
        <v>0</v>
      </c>
      <c r="W751" s="13">
        <v>1859</v>
      </c>
      <c r="X751" s="15"/>
      <c r="Y751" s="15"/>
      <c r="Z751" s="15"/>
      <c r="AA751" s="15"/>
      <c r="AB751" s="15"/>
      <c r="AC751" s="15"/>
      <c r="AD751" s="15"/>
      <c r="AE751" s="15"/>
      <c r="AF751" s="15"/>
      <c r="AG751" s="17"/>
    </row>
    <row r="753" spans="2:33" ht="15" thickBot="1">
      <c r="B753" s="25" t="s">
        <v>388</v>
      </c>
      <c r="C753" s="26" t="s">
        <v>389</v>
      </c>
      <c r="D753" s="26" t="s">
        <v>418</v>
      </c>
      <c r="E753" s="26" t="s">
        <v>419</v>
      </c>
      <c r="F753" s="26" t="s">
        <v>392</v>
      </c>
      <c r="G753" s="26" t="s">
        <v>33</v>
      </c>
      <c r="H753" s="27" t="s">
        <v>33</v>
      </c>
      <c r="I753" s="26" t="s">
        <v>420</v>
      </c>
      <c r="J753" s="27" t="s">
        <v>87</v>
      </c>
      <c r="K753" s="29">
        <v>10</v>
      </c>
      <c r="L753" s="29">
        <v>11</v>
      </c>
      <c r="M753" s="29">
        <v>11</v>
      </c>
      <c r="N753" s="29">
        <v>11</v>
      </c>
      <c r="O753" s="29">
        <v>11</v>
      </c>
      <c r="P753" s="40">
        <v>25</v>
      </c>
      <c r="Q753" s="1" t="s">
        <v>35</v>
      </c>
      <c r="R753" s="2">
        <v>1225</v>
      </c>
      <c r="S753" s="2">
        <v>893</v>
      </c>
      <c r="T753" s="2">
        <v>0</v>
      </c>
      <c r="U753" s="2">
        <v>0</v>
      </c>
      <c r="V753" s="2">
        <v>0</v>
      </c>
      <c r="W753" s="2">
        <v>2082</v>
      </c>
      <c r="X753" s="43">
        <f>SUM(R753:W765)</f>
        <v>44397</v>
      </c>
      <c r="Y753" s="10">
        <v>46204</v>
      </c>
      <c r="Z753" s="11">
        <v>0.21919235148020305</v>
      </c>
      <c r="AA753" s="11">
        <v>0.18278252950868873</v>
      </c>
      <c r="AB753" s="11">
        <v>0.14730848520871084</v>
      </c>
      <c r="AC753" s="11">
        <v>0.12879037718868644</v>
      </c>
      <c r="AD753" s="11">
        <v>0.11451881259976519</v>
      </c>
      <c r="AE753" s="11">
        <v>0.13153841003497066</v>
      </c>
      <c r="AF753" s="11">
        <v>0.3</v>
      </c>
      <c r="AG753" s="13">
        <v>0.23899999999999999</v>
      </c>
    </row>
    <row r="754" spans="2:33">
      <c r="B754" s="18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35"/>
      <c r="Q754" s="36" t="s">
        <v>36</v>
      </c>
      <c r="R754" s="13">
        <v>1112</v>
      </c>
      <c r="S754" s="13">
        <v>804</v>
      </c>
      <c r="T754" s="13">
        <v>0</v>
      </c>
      <c r="U754" s="13">
        <v>0</v>
      </c>
      <c r="V754" s="13">
        <v>0</v>
      </c>
      <c r="W754" s="37">
        <v>1803</v>
      </c>
      <c r="X754" s="18"/>
      <c r="Y754" s="14"/>
      <c r="Z754" s="14"/>
      <c r="AA754" s="14"/>
      <c r="AB754" s="14"/>
      <c r="AC754" s="14"/>
      <c r="AD754" s="14"/>
      <c r="AE754" s="14"/>
      <c r="AF754" s="14"/>
      <c r="AG754" s="35"/>
    </row>
    <row r="755" spans="2:33">
      <c r="B755" s="19"/>
      <c r="P755" s="16"/>
      <c r="Q755" s="36" t="s">
        <v>37</v>
      </c>
      <c r="R755" s="13">
        <v>0</v>
      </c>
      <c r="S755" s="13">
        <v>1207</v>
      </c>
      <c r="T755" s="13">
        <v>874</v>
      </c>
      <c r="U755" s="13">
        <v>0</v>
      </c>
      <c r="V755" s="13">
        <v>0</v>
      </c>
      <c r="W755" s="37">
        <v>2048</v>
      </c>
      <c r="X755" s="19"/>
      <c r="AG755" s="16"/>
    </row>
    <row r="756" spans="2:33">
      <c r="B756" s="19"/>
      <c r="P756" s="16"/>
      <c r="Q756" s="36" t="s">
        <v>38</v>
      </c>
      <c r="R756" s="13">
        <v>0</v>
      </c>
      <c r="S756" s="13">
        <v>0</v>
      </c>
      <c r="T756" s="13">
        <v>0</v>
      </c>
      <c r="U756" s="13">
        <v>1128</v>
      </c>
      <c r="V756" s="13">
        <v>817</v>
      </c>
      <c r="W756" s="37">
        <v>1564</v>
      </c>
      <c r="X756" s="19"/>
      <c r="AG756" s="16"/>
    </row>
    <row r="757" spans="2:33">
      <c r="B757" s="19"/>
      <c r="P757" s="16"/>
      <c r="Q757" s="36" t="s">
        <v>39</v>
      </c>
      <c r="R757" s="13">
        <v>0</v>
      </c>
      <c r="S757" s="13">
        <v>0</v>
      </c>
      <c r="T757" s="13">
        <v>0</v>
      </c>
      <c r="U757" s="13">
        <v>1110</v>
      </c>
      <c r="V757" s="13">
        <v>810</v>
      </c>
      <c r="W757" s="37">
        <v>1785</v>
      </c>
      <c r="X757" s="19"/>
      <c r="AG757" s="16"/>
    </row>
    <row r="758" spans="2:33">
      <c r="B758" s="19"/>
      <c r="P758" s="16"/>
      <c r="Q758" s="36" t="s">
        <v>40</v>
      </c>
      <c r="R758" s="13">
        <v>0</v>
      </c>
      <c r="S758" s="13">
        <v>0</v>
      </c>
      <c r="T758" s="13">
        <v>1166</v>
      </c>
      <c r="U758" s="13">
        <v>857</v>
      </c>
      <c r="V758" s="13">
        <v>0</v>
      </c>
      <c r="W758" s="37">
        <v>1692</v>
      </c>
      <c r="X758" s="19"/>
      <c r="AG758" s="16"/>
    </row>
    <row r="759" spans="2:33">
      <c r="B759" s="19"/>
      <c r="P759" s="16"/>
      <c r="Q759" s="36" t="s">
        <v>394</v>
      </c>
      <c r="R759" s="13">
        <v>730</v>
      </c>
      <c r="S759" s="13">
        <v>546</v>
      </c>
      <c r="T759" s="13">
        <v>0</v>
      </c>
      <c r="U759" s="13">
        <v>0</v>
      </c>
      <c r="V759" s="13">
        <v>0</v>
      </c>
      <c r="W759" s="37">
        <v>1102</v>
      </c>
      <c r="X759" s="19"/>
      <c r="AG759" s="16"/>
    </row>
    <row r="760" spans="2:33">
      <c r="B760" s="19"/>
      <c r="P760" s="16"/>
      <c r="Q760" s="36" t="s">
        <v>395</v>
      </c>
      <c r="R760" s="13">
        <v>204</v>
      </c>
      <c r="S760" s="13">
        <v>152</v>
      </c>
      <c r="T760" s="13">
        <v>0</v>
      </c>
      <c r="U760" s="13">
        <v>0</v>
      </c>
      <c r="V760" s="13">
        <v>0</v>
      </c>
      <c r="W760" s="37">
        <v>333</v>
      </c>
      <c r="X760" s="19"/>
      <c r="AG760" s="16"/>
    </row>
    <row r="761" spans="2:33">
      <c r="B761" s="19"/>
      <c r="P761" s="16"/>
      <c r="Q761" s="36" t="s">
        <v>42</v>
      </c>
      <c r="R761" s="13">
        <v>0</v>
      </c>
      <c r="S761" s="13">
        <v>0</v>
      </c>
      <c r="T761" s="13">
        <v>916</v>
      </c>
      <c r="U761" s="13">
        <v>696</v>
      </c>
      <c r="V761" s="13">
        <v>0</v>
      </c>
      <c r="W761" s="37">
        <v>1788</v>
      </c>
      <c r="X761" s="19"/>
      <c r="AG761" s="16"/>
    </row>
    <row r="762" spans="2:33">
      <c r="B762" s="19"/>
      <c r="P762" s="16"/>
      <c r="Q762" s="36" t="s">
        <v>43</v>
      </c>
      <c r="R762" s="13">
        <v>0</v>
      </c>
      <c r="S762" s="13">
        <v>0</v>
      </c>
      <c r="T762" s="13">
        <v>1110</v>
      </c>
      <c r="U762" s="13">
        <v>826</v>
      </c>
      <c r="V762" s="13">
        <v>0</v>
      </c>
      <c r="W762" s="37">
        <v>1531</v>
      </c>
      <c r="X762" s="19"/>
      <c r="AG762" s="16"/>
    </row>
    <row r="763" spans="2:33">
      <c r="B763" s="19"/>
      <c r="P763" s="16"/>
      <c r="Q763" s="36" t="s">
        <v>44</v>
      </c>
      <c r="R763" s="13">
        <v>0</v>
      </c>
      <c r="S763" s="13">
        <v>0</v>
      </c>
      <c r="T763" s="13">
        <v>0</v>
      </c>
      <c r="U763" s="13">
        <v>1161</v>
      </c>
      <c r="V763" s="13">
        <v>852</v>
      </c>
      <c r="W763" s="37">
        <v>1569</v>
      </c>
      <c r="X763" s="19"/>
      <c r="AG763" s="16"/>
    </row>
    <row r="764" spans="2:33">
      <c r="B764" s="19"/>
      <c r="P764" s="16"/>
      <c r="Q764" s="36" t="s">
        <v>45</v>
      </c>
      <c r="R764" s="13">
        <v>0</v>
      </c>
      <c r="S764" s="13">
        <v>1121</v>
      </c>
      <c r="T764" s="13">
        <v>820</v>
      </c>
      <c r="U764" s="13">
        <v>0</v>
      </c>
      <c r="V764" s="13">
        <v>0</v>
      </c>
      <c r="W764" s="37">
        <v>1867</v>
      </c>
      <c r="X764" s="19"/>
      <c r="AG764" s="16"/>
    </row>
    <row r="765" spans="2:33" ht="15" thickBot="1">
      <c r="B765" s="20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7"/>
      <c r="Q765" s="36" t="s">
        <v>46</v>
      </c>
      <c r="R765" s="13">
        <v>1218</v>
      </c>
      <c r="S765" s="13">
        <v>894</v>
      </c>
      <c r="T765" s="13">
        <v>0</v>
      </c>
      <c r="U765" s="13">
        <v>0</v>
      </c>
      <c r="V765" s="13">
        <v>0</v>
      </c>
      <c r="W765" s="37">
        <v>1984</v>
      </c>
      <c r="X765" s="20"/>
      <c r="Y765" s="15"/>
      <c r="Z765" s="15"/>
      <c r="AA765" s="15"/>
      <c r="AB765" s="15"/>
      <c r="AC765" s="15"/>
      <c r="AD765" s="15"/>
      <c r="AE765" s="15"/>
      <c r="AF765" s="15"/>
      <c r="AG765" s="17"/>
    </row>
    <row r="767" spans="2:33" ht="15" thickBot="1">
      <c r="B767" s="25" t="s">
        <v>388</v>
      </c>
      <c r="C767" s="26" t="s">
        <v>389</v>
      </c>
      <c r="D767" s="26" t="s">
        <v>421</v>
      </c>
      <c r="E767" s="26" t="s">
        <v>422</v>
      </c>
      <c r="F767" s="26" t="s">
        <v>392</v>
      </c>
      <c r="G767" s="26" t="s">
        <v>33</v>
      </c>
      <c r="H767" s="27" t="s">
        <v>33</v>
      </c>
      <c r="I767" s="26" t="s">
        <v>423</v>
      </c>
      <c r="J767" s="27" t="s">
        <v>87</v>
      </c>
      <c r="K767" s="29">
        <v>10</v>
      </c>
      <c r="L767" s="29">
        <v>10</v>
      </c>
      <c r="M767" s="29">
        <v>10</v>
      </c>
      <c r="N767" s="29">
        <v>10</v>
      </c>
      <c r="O767" s="29">
        <v>10</v>
      </c>
      <c r="P767" s="40">
        <v>25</v>
      </c>
      <c r="Q767" s="1" t="s">
        <v>35</v>
      </c>
      <c r="R767" s="2">
        <v>940</v>
      </c>
      <c r="S767" s="2">
        <v>663</v>
      </c>
      <c r="T767" s="2">
        <v>0</v>
      </c>
      <c r="U767" s="2">
        <v>0</v>
      </c>
      <c r="V767" s="2">
        <v>0</v>
      </c>
      <c r="W767" s="2">
        <v>1777</v>
      </c>
      <c r="X767" s="43">
        <f>SUM(R767:W779)</f>
        <v>34973</v>
      </c>
      <c r="Y767" s="10">
        <v>46204</v>
      </c>
      <c r="Z767" s="11">
        <v>0.21919235148020305</v>
      </c>
      <c r="AA767" s="11">
        <v>0.18278252950868873</v>
      </c>
      <c r="AB767" s="11">
        <v>0.14730848520871084</v>
      </c>
      <c r="AC767" s="11">
        <v>0.12879037718868644</v>
      </c>
      <c r="AD767" s="11">
        <v>0.11451881259976519</v>
      </c>
      <c r="AE767" s="11">
        <v>0.13153841003497066</v>
      </c>
      <c r="AF767" s="11">
        <v>0.3</v>
      </c>
      <c r="AG767" s="13">
        <v>0.23899999999999999</v>
      </c>
    </row>
    <row r="768" spans="2:33">
      <c r="B768" s="18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35"/>
      <c r="Q768" s="36" t="s">
        <v>36</v>
      </c>
      <c r="R768" s="13">
        <v>851</v>
      </c>
      <c r="S768" s="13">
        <v>585</v>
      </c>
      <c r="T768" s="13">
        <v>0</v>
      </c>
      <c r="U768" s="13">
        <v>0</v>
      </c>
      <c r="V768" s="13">
        <v>0</v>
      </c>
      <c r="W768" s="37">
        <v>1580</v>
      </c>
      <c r="X768" s="18"/>
      <c r="Y768" s="14"/>
      <c r="Z768" s="14"/>
      <c r="AA768" s="14"/>
      <c r="AB768" s="14"/>
      <c r="AC768" s="14"/>
      <c r="AD768" s="14"/>
      <c r="AE768" s="14"/>
      <c r="AF768" s="14"/>
      <c r="AG768" s="35"/>
    </row>
    <row r="769" spans="2:33">
      <c r="B769" s="19"/>
      <c r="P769" s="16"/>
      <c r="Q769" s="36" t="s">
        <v>37</v>
      </c>
      <c r="R769" s="13">
        <v>0</v>
      </c>
      <c r="S769" s="13">
        <v>921</v>
      </c>
      <c r="T769" s="13">
        <v>665</v>
      </c>
      <c r="U769" s="13">
        <v>0</v>
      </c>
      <c r="V769" s="13">
        <v>0</v>
      </c>
      <c r="W769" s="37">
        <v>1847</v>
      </c>
      <c r="X769" s="19"/>
      <c r="AG769" s="16"/>
    </row>
    <row r="770" spans="2:33">
      <c r="B770" s="19"/>
      <c r="P770" s="16"/>
      <c r="Q770" s="36" t="s">
        <v>38</v>
      </c>
      <c r="R770" s="13">
        <v>0</v>
      </c>
      <c r="S770" s="13">
        <v>0</v>
      </c>
      <c r="T770" s="13">
        <v>0</v>
      </c>
      <c r="U770" s="13">
        <v>743</v>
      </c>
      <c r="V770" s="13">
        <v>572</v>
      </c>
      <c r="W770" s="37">
        <v>1390</v>
      </c>
      <c r="X770" s="19"/>
      <c r="AG770" s="16"/>
    </row>
    <row r="771" spans="2:33">
      <c r="B771" s="19"/>
      <c r="P771" s="16"/>
      <c r="Q771" s="36" t="s">
        <v>39</v>
      </c>
      <c r="R771" s="13">
        <v>0</v>
      </c>
      <c r="S771" s="13">
        <v>0</v>
      </c>
      <c r="T771" s="13">
        <v>0</v>
      </c>
      <c r="U771" s="13">
        <v>750</v>
      </c>
      <c r="V771" s="13">
        <v>565</v>
      </c>
      <c r="W771" s="37">
        <v>1535</v>
      </c>
      <c r="X771" s="19"/>
      <c r="AG771" s="16"/>
    </row>
    <row r="772" spans="2:33">
      <c r="B772" s="19"/>
      <c r="P772" s="16"/>
      <c r="Q772" s="36" t="s">
        <v>40</v>
      </c>
      <c r="R772" s="13">
        <v>0</v>
      </c>
      <c r="S772" s="13">
        <v>0</v>
      </c>
      <c r="T772" s="13">
        <v>705</v>
      </c>
      <c r="U772" s="13">
        <v>525</v>
      </c>
      <c r="V772" s="13">
        <v>0</v>
      </c>
      <c r="W772" s="37">
        <v>1289</v>
      </c>
      <c r="X772" s="19"/>
      <c r="AG772" s="16"/>
    </row>
    <row r="773" spans="2:33">
      <c r="B773" s="19"/>
      <c r="P773" s="16"/>
      <c r="Q773" s="36" t="s">
        <v>394</v>
      </c>
      <c r="R773" s="13">
        <v>448</v>
      </c>
      <c r="S773" s="13">
        <v>352</v>
      </c>
      <c r="T773" s="13">
        <v>0</v>
      </c>
      <c r="U773" s="13">
        <v>0</v>
      </c>
      <c r="V773" s="13">
        <v>0</v>
      </c>
      <c r="W773" s="37">
        <v>852</v>
      </c>
      <c r="X773" s="19"/>
      <c r="AG773" s="16"/>
    </row>
    <row r="774" spans="2:33">
      <c r="B774" s="19"/>
      <c r="P774" s="16"/>
      <c r="Q774" s="36" t="s">
        <v>395</v>
      </c>
      <c r="R774" s="13">
        <v>117</v>
      </c>
      <c r="S774" s="13">
        <v>94</v>
      </c>
      <c r="T774" s="13">
        <v>0</v>
      </c>
      <c r="U774" s="13">
        <v>0</v>
      </c>
      <c r="V774" s="13">
        <v>0</v>
      </c>
      <c r="W774" s="37">
        <v>257</v>
      </c>
      <c r="X774" s="19"/>
      <c r="AG774" s="16"/>
    </row>
    <row r="775" spans="2:33">
      <c r="B775" s="19"/>
      <c r="P775" s="16"/>
      <c r="Q775" s="36" t="s">
        <v>42</v>
      </c>
      <c r="R775" s="13">
        <v>0</v>
      </c>
      <c r="S775" s="13">
        <v>0</v>
      </c>
      <c r="T775" s="13">
        <v>577</v>
      </c>
      <c r="U775" s="13">
        <v>455</v>
      </c>
      <c r="V775" s="13">
        <v>0</v>
      </c>
      <c r="W775" s="37">
        <v>1366</v>
      </c>
      <c r="X775" s="19"/>
      <c r="AG775" s="16"/>
    </row>
    <row r="776" spans="2:33">
      <c r="B776" s="19"/>
      <c r="P776" s="16"/>
      <c r="Q776" s="36" t="s">
        <v>43</v>
      </c>
      <c r="R776" s="13">
        <v>0</v>
      </c>
      <c r="S776" s="13">
        <v>0</v>
      </c>
      <c r="T776" s="13">
        <v>723</v>
      </c>
      <c r="U776" s="13">
        <v>541</v>
      </c>
      <c r="V776" s="13">
        <v>0</v>
      </c>
      <c r="W776" s="37">
        <v>1217</v>
      </c>
      <c r="X776" s="19"/>
      <c r="AG776" s="16"/>
    </row>
    <row r="777" spans="2:33">
      <c r="B777" s="19"/>
      <c r="P777" s="16"/>
      <c r="Q777" s="36" t="s">
        <v>44</v>
      </c>
      <c r="R777" s="13">
        <v>0</v>
      </c>
      <c r="S777" s="13">
        <v>0</v>
      </c>
      <c r="T777" s="13">
        <v>0</v>
      </c>
      <c r="U777" s="13">
        <v>825</v>
      </c>
      <c r="V777" s="13">
        <v>607</v>
      </c>
      <c r="W777" s="37">
        <v>1333</v>
      </c>
      <c r="X777" s="19"/>
      <c r="AG777" s="16"/>
    </row>
    <row r="778" spans="2:33">
      <c r="B778" s="19"/>
      <c r="P778" s="16"/>
      <c r="Q778" s="36" t="s">
        <v>45</v>
      </c>
      <c r="R778" s="13">
        <v>0</v>
      </c>
      <c r="S778" s="13">
        <v>863</v>
      </c>
      <c r="T778" s="13">
        <v>653</v>
      </c>
      <c r="U778" s="13">
        <v>0</v>
      </c>
      <c r="V778" s="13">
        <v>0</v>
      </c>
      <c r="W778" s="37">
        <v>1904</v>
      </c>
      <c r="X778" s="19"/>
      <c r="AG778" s="16"/>
    </row>
    <row r="779" spans="2:33" ht="15" thickBot="1">
      <c r="B779" s="20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7"/>
      <c r="Q779" s="36" t="s">
        <v>46</v>
      </c>
      <c r="R779" s="13">
        <v>1065</v>
      </c>
      <c r="S779" s="13">
        <v>800</v>
      </c>
      <c r="T779" s="13">
        <v>0</v>
      </c>
      <c r="U779" s="13">
        <v>0</v>
      </c>
      <c r="V779" s="13">
        <v>0</v>
      </c>
      <c r="W779" s="37">
        <v>2021</v>
      </c>
      <c r="X779" s="20"/>
      <c r="Y779" s="15"/>
      <c r="Z779" s="15"/>
      <c r="AA779" s="15"/>
      <c r="AB779" s="15"/>
      <c r="AC779" s="15"/>
      <c r="AD779" s="15"/>
      <c r="AE779" s="15"/>
      <c r="AF779" s="15"/>
      <c r="AG779" s="17"/>
    </row>
    <row r="781" spans="2:33" ht="15" thickBot="1">
      <c r="B781" s="25" t="s">
        <v>388</v>
      </c>
      <c r="C781" s="26" t="s">
        <v>389</v>
      </c>
      <c r="D781" s="26" t="s">
        <v>424</v>
      </c>
      <c r="E781" s="26" t="s">
        <v>425</v>
      </c>
      <c r="F781" s="26" t="s">
        <v>392</v>
      </c>
      <c r="G781" s="26" t="s">
        <v>33</v>
      </c>
      <c r="H781" s="27" t="s">
        <v>33</v>
      </c>
      <c r="I781" s="26" t="s">
        <v>426</v>
      </c>
      <c r="J781" s="27" t="s">
        <v>87</v>
      </c>
      <c r="K781" s="29">
        <v>7</v>
      </c>
      <c r="L781" s="29">
        <v>8</v>
      </c>
      <c r="M781" s="29">
        <v>8</v>
      </c>
      <c r="N781" s="29">
        <v>8</v>
      </c>
      <c r="O781" s="29">
        <v>8</v>
      </c>
      <c r="P781" s="40">
        <v>25</v>
      </c>
      <c r="Q781" s="1" t="s">
        <v>35</v>
      </c>
      <c r="R781" s="2">
        <v>939</v>
      </c>
      <c r="S781" s="2">
        <v>692</v>
      </c>
      <c r="T781" s="2">
        <v>0</v>
      </c>
      <c r="U781" s="2">
        <v>0</v>
      </c>
      <c r="V781" s="2">
        <v>0</v>
      </c>
      <c r="W781" s="2">
        <v>1677</v>
      </c>
      <c r="X781" s="43">
        <f>SUM(R781:W793)</f>
        <v>33182</v>
      </c>
      <c r="Y781" s="10">
        <v>46204</v>
      </c>
      <c r="Z781" s="11">
        <v>0.21919235148020305</v>
      </c>
      <c r="AA781" s="11">
        <v>0.18278252950868873</v>
      </c>
      <c r="AB781" s="11">
        <v>0.14730848520871084</v>
      </c>
      <c r="AC781" s="11">
        <v>0.12879037718868644</v>
      </c>
      <c r="AD781" s="11">
        <v>0.11451881259976519</v>
      </c>
      <c r="AE781" s="11">
        <v>0.13153841003497066</v>
      </c>
      <c r="AF781" s="11">
        <v>0.3</v>
      </c>
      <c r="AG781" s="13">
        <v>0.23899999999999999</v>
      </c>
    </row>
    <row r="782" spans="2:33">
      <c r="B782" s="18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35"/>
      <c r="Q782" s="36" t="s">
        <v>36</v>
      </c>
      <c r="R782" s="13">
        <v>881</v>
      </c>
      <c r="S782" s="13">
        <v>624</v>
      </c>
      <c r="T782" s="13">
        <v>0</v>
      </c>
      <c r="U782" s="13">
        <v>0</v>
      </c>
      <c r="V782" s="13">
        <v>0</v>
      </c>
      <c r="W782" s="37">
        <v>1417</v>
      </c>
      <c r="X782" s="18"/>
      <c r="Y782" s="14"/>
      <c r="Z782" s="14"/>
      <c r="AA782" s="14"/>
      <c r="AB782" s="14"/>
      <c r="AC782" s="14"/>
      <c r="AD782" s="14"/>
      <c r="AE782" s="14"/>
      <c r="AF782" s="14"/>
      <c r="AG782" s="35"/>
    </row>
    <row r="783" spans="2:33">
      <c r="B783" s="19"/>
      <c r="P783" s="16"/>
      <c r="Q783" s="36" t="s">
        <v>37</v>
      </c>
      <c r="R783" s="13">
        <v>0</v>
      </c>
      <c r="S783" s="13">
        <v>919</v>
      </c>
      <c r="T783" s="13">
        <v>670</v>
      </c>
      <c r="U783" s="13">
        <v>0</v>
      </c>
      <c r="V783" s="13">
        <v>0</v>
      </c>
      <c r="W783" s="37">
        <v>1629</v>
      </c>
      <c r="X783" s="19"/>
      <c r="AG783" s="16"/>
    </row>
    <row r="784" spans="2:33">
      <c r="B784" s="19"/>
      <c r="P784" s="16"/>
      <c r="Q784" s="36" t="s">
        <v>38</v>
      </c>
      <c r="R784" s="13">
        <v>0</v>
      </c>
      <c r="S784" s="13">
        <v>0</v>
      </c>
      <c r="T784" s="13">
        <v>0</v>
      </c>
      <c r="U784" s="13">
        <v>845</v>
      </c>
      <c r="V784" s="13">
        <v>617</v>
      </c>
      <c r="W784" s="37">
        <v>1399</v>
      </c>
      <c r="X784" s="19"/>
      <c r="AG784" s="16"/>
    </row>
    <row r="785" spans="2:33">
      <c r="B785" s="19"/>
      <c r="P785" s="16"/>
      <c r="Q785" s="36" t="s">
        <v>39</v>
      </c>
      <c r="R785" s="13">
        <v>0</v>
      </c>
      <c r="S785" s="13">
        <v>0</v>
      </c>
      <c r="T785" s="13">
        <v>0</v>
      </c>
      <c r="U785" s="13">
        <v>783</v>
      </c>
      <c r="V785" s="13">
        <v>583</v>
      </c>
      <c r="W785" s="37">
        <v>1390</v>
      </c>
      <c r="X785" s="19"/>
      <c r="AG785" s="16"/>
    </row>
    <row r="786" spans="2:33">
      <c r="B786" s="19"/>
      <c r="P786" s="16"/>
      <c r="Q786" s="36" t="s">
        <v>40</v>
      </c>
      <c r="R786" s="13">
        <v>0</v>
      </c>
      <c r="S786" s="13">
        <v>0</v>
      </c>
      <c r="T786" s="13">
        <v>714</v>
      </c>
      <c r="U786" s="13">
        <v>545</v>
      </c>
      <c r="V786" s="13">
        <v>0</v>
      </c>
      <c r="W786" s="37">
        <v>1151</v>
      </c>
      <c r="X786" s="19"/>
      <c r="AG786" s="16"/>
    </row>
    <row r="787" spans="2:33">
      <c r="B787" s="19"/>
      <c r="P787" s="16"/>
      <c r="Q787" s="36" t="s">
        <v>394</v>
      </c>
      <c r="R787" s="13">
        <v>456</v>
      </c>
      <c r="S787" s="13">
        <v>355</v>
      </c>
      <c r="T787" s="13">
        <v>0</v>
      </c>
      <c r="U787" s="13">
        <v>0</v>
      </c>
      <c r="V787" s="13">
        <v>0</v>
      </c>
      <c r="W787" s="37">
        <v>771</v>
      </c>
      <c r="X787" s="19"/>
      <c r="AG787" s="16"/>
    </row>
    <row r="788" spans="2:33">
      <c r="B788" s="19"/>
      <c r="P788" s="16"/>
      <c r="Q788" s="36" t="s">
        <v>395</v>
      </c>
      <c r="R788" s="13">
        <v>131</v>
      </c>
      <c r="S788" s="13">
        <v>100</v>
      </c>
      <c r="T788" s="13">
        <v>0</v>
      </c>
      <c r="U788" s="13">
        <v>0</v>
      </c>
      <c r="V788" s="13">
        <v>0</v>
      </c>
      <c r="W788" s="37">
        <v>231</v>
      </c>
      <c r="X788" s="19"/>
      <c r="AG788" s="16"/>
    </row>
    <row r="789" spans="2:33">
      <c r="B789" s="19"/>
      <c r="P789" s="16"/>
      <c r="Q789" s="36" t="s">
        <v>42</v>
      </c>
      <c r="R789" s="13">
        <v>0</v>
      </c>
      <c r="S789" s="13">
        <v>0</v>
      </c>
      <c r="T789" s="13">
        <v>599</v>
      </c>
      <c r="U789" s="13">
        <v>460</v>
      </c>
      <c r="V789" s="13">
        <v>0</v>
      </c>
      <c r="W789" s="37">
        <v>1241</v>
      </c>
      <c r="X789" s="19"/>
      <c r="AG789" s="16"/>
    </row>
    <row r="790" spans="2:33">
      <c r="B790" s="19"/>
      <c r="P790" s="16"/>
      <c r="Q790" s="36" t="s">
        <v>43</v>
      </c>
      <c r="R790" s="13">
        <v>0</v>
      </c>
      <c r="S790" s="13">
        <v>0</v>
      </c>
      <c r="T790" s="13">
        <v>706</v>
      </c>
      <c r="U790" s="13">
        <v>530</v>
      </c>
      <c r="V790" s="13">
        <v>0</v>
      </c>
      <c r="W790" s="37">
        <v>1116</v>
      </c>
      <c r="X790" s="19"/>
      <c r="AG790" s="16"/>
    </row>
    <row r="791" spans="2:33">
      <c r="B791" s="19"/>
      <c r="P791" s="16"/>
      <c r="Q791" s="36" t="s">
        <v>44</v>
      </c>
      <c r="R791" s="13">
        <v>0</v>
      </c>
      <c r="S791" s="13">
        <v>0</v>
      </c>
      <c r="T791" s="13">
        <v>0</v>
      </c>
      <c r="U791" s="13">
        <v>817</v>
      </c>
      <c r="V791" s="13">
        <v>603</v>
      </c>
      <c r="W791" s="37">
        <v>1202</v>
      </c>
      <c r="X791" s="19"/>
      <c r="AG791" s="16"/>
    </row>
    <row r="792" spans="2:33">
      <c r="B792" s="19"/>
      <c r="P792" s="16"/>
      <c r="Q792" s="36" t="s">
        <v>45</v>
      </c>
      <c r="R792" s="13">
        <v>0</v>
      </c>
      <c r="S792" s="13">
        <v>859</v>
      </c>
      <c r="T792" s="13">
        <v>617</v>
      </c>
      <c r="U792" s="13">
        <v>0</v>
      </c>
      <c r="V792" s="13">
        <v>0</v>
      </c>
      <c r="W792" s="37">
        <v>1566</v>
      </c>
      <c r="X792" s="19"/>
      <c r="AG792" s="16"/>
    </row>
    <row r="793" spans="2:33" ht="15" thickBot="1">
      <c r="B793" s="20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7"/>
      <c r="Q793" s="36" t="s">
        <v>46</v>
      </c>
      <c r="R793" s="13">
        <v>943</v>
      </c>
      <c r="S793" s="13">
        <v>689</v>
      </c>
      <c r="T793" s="13">
        <v>0</v>
      </c>
      <c r="U793" s="13">
        <v>0</v>
      </c>
      <c r="V793" s="13">
        <v>0</v>
      </c>
      <c r="W793" s="37">
        <v>1715</v>
      </c>
      <c r="X793" s="20"/>
      <c r="Y793" s="15"/>
      <c r="Z793" s="15"/>
      <c r="AA793" s="15"/>
      <c r="AB793" s="15"/>
      <c r="AC793" s="15"/>
      <c r="AD793" s="15"/>
      <c r="AE793" s="15"/>
      <c r="AF793" s="15"/>
      <c r="AG793" s="17"/>
    </row>
    <row r="795" spans="2:33" ht="15" thickBot="1">
      <c r="B795" s="25" t="s">
        <v>388</v>
      </c>
      <c r="C795" s="26" t="s">
        <v>389</v>
      </c>
      <c r="D795" s="26" t="s">
        <v>427</v>
      </c>
      <c r="E795" s="26" t="s">
        <v>428</v>
      </c>
      <c r="F795" s="26" t="s">
        <v>392</v>
      </c>
      <c r="G795" s="26" t="s">
        <v>33</v>
      </c>
      <c r="H795" s="27" t="s">
        <v>33</v>
      </c>
      <c r="I795" s="26" t="s">
        <v>429</v>
      </c>
      <c r="J795" s="27" t="s">
        <v>87</v>
      </c>
      <c r="K795" s="29">
        <v>65</v>
      </c>
      <c r="L795" s="29">
        <v>65</v>
      </c>
      <c r="M795" s="29">
        <v>65</v>
      </c>
      <c r="N795" s="29">
        <v>65</v>
      </c>
      <c r="O795" s="29">
        <v>65</v>
      </c>
      <c r="P795" s="40">
        <v>110</v>
      </c>
      <c r="Q795" s="1" t="s">
        <v>35</v>
      </c>
      <c r="R795" s="2">
        <v>5925</v>
      </c>
      <c r="S795" s="2">
        <v>4271</v>
      </c>
      <c r="T795" s="2">
        <v>0</v>
      </c>
      <c r="U795" s="2">
        <v>0</v>
      </c>
      <c r="V795" s="2">
        <v>0</v>
      </c>
      <c r="W795" s="2">
        <v>9353</v>
      </c>
      <c r="X795" s="43">
        <f>SUM(R795:W807)</f>
        <v>245087</v>
      </c>
      <c r="Y795" s="10">
        <v>46204</v>
      </c>
      <c r="Z795" s="11">
        <v>0.21919235148020305</v>
      </c>
      <c r="AA795" s="11">
        <v>0.18278252950868873</v>
      </c>
      <c r="AB795" s="11">
        <v>0.14730848520871084</v>
      </c>
      <c r="AC795" s="11">
        <v>0.12879037718868644</v>
      </c>
      <c r="AD795" s="11">
        <v>0.11451881259976519</v>
      </c>
      <c r="AE795" s="11">
        <v>0.13153841003497066</v>
      </c>
      <c r="AF795" s="11">
        <v>0.3</v>
      </c>
      <c r="AG795" s="13">
        <v>0.23899999999999999</v>
      </c>
    </row>
    <row r="796" spans="2:33">
      <c r="B796" s="18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35"/>
      <c r="Q796" s="36" t="s">
        <v>36</v>
      </c>
      <c r="R796" s="13">
        <v>5719</v>
      </c>
      <c r="S796" s="13">
        <v>4134</v>
      </c>
      <c r="T796" s="13">
        <v>0</v>
      </c>
      <c r="U796" s="13">
        <v>0</v>
      </c>
      <c r="V796" s="13">
        <v>0</v>
      </c>
      <c r="W796" s="37">
        <v>8183</v>
      </c>
      <c r="X796" s="18"/>
      <c r="Y796" s="14"/>
      <c r="Z796" s="14"/>
      <c r="AA796" s="14"/>
      <c r="AB796" s="14"/>
      <c r="AC796" s="14"/>
      <c r="AD796" s="14"/>
      <c r="AE796" s="14"/>
      <c r="AF796" s="14"/>
      <c r="AG796" s="35"/>
    </row>
    <row r="797" spans="2:33">
      <c r="B797" s="19"/>
      <c r="P797" s="16"/>
      <c r="Q797" s="36" t="s">
        <v>37</v>
      </c>
      <c r="R797" s="13">
        <v>0</v>
      </c>
      <c r="S797" s="13">
        <v>6450</v>
      </c>
      <c r="T797" s="13">
        <v>4719</v>
      </c>
      <c r="U797" s="13">
        <v>0</v>
      </c>
      <c r="V797" s="13">
        <v>0</v>
      </c>
      <c r="W797" s="37">
        <v>10234</v>
      </c>
      <c r="X797" s="19"/>
      <c r="AG797" s="16"/>
    </row>
    <row r="798" spans="2:33">
      <c r="B798" s="19"/>
      <c r="P798" s="16"/>
      <c r="Q798" s="36" t="s">
        <v>38</v>
      </c>
      <c r="R798" s="13">
        <v>0</v>
      </c>
      <c r="S798" s="13">
        <v>0</v>
      </c>
      <c r="T798" s="13">
        <v>0</v>
      </c>
      <c r="U798" s="13">
        <v>6427</v>
      </c>
      <c r="V798" s="13">
        <v>4723</v>
      </c>
      <c r="W798" s="37">
        <v>9317</v>
      </c>
      <c r="X798" s="19"/>
      <c r="AG798" s="16"/>
    </row>
    <row r="799" spans="2:33">
      <c r="B799" s="19"/>
      <c r="P799" s="16"/>
      <c r="Q799" s="36" t="s">
        <v>39</v>
      </c>
      <c r="R799" s="13">
        <v>0</v>
      </c>
      <c r="S799" s="13">
        <v>0</v>
      </c>
      <c r="T799" s="13">
        <v>0</v>
      </c>
      <c r="U799" s="13">
        <v>6236</v>
      </c>
      <c r="V799" s="13">
        <v>4629</v>
      </c>
      <c r="W799" s="37">
        <v>10482</v>
      </c>
      <c r="X799" s="19"/>
      <c r="AG799" s="16"/>
    </row>
    <row r="800" spans="2:33">
      <c r="B800" s="19"/>
      <c r="P800" s="16"/>
      <c r="Q800" s="36" t="s">
        <v>40</v>
      </c>
      <c r="R800" s="13">
        <v>0</v>
      </c>
      <c r="S800" s="13">
        <v>0</v>
      </c>
      <c r="T800" s="13">
        <v>7140</v>
      </c>
      <c r="U800" s="13">
        <v>5292</v>
      </c>
      <c r="V800" s="13">
        <v>0</v>
      </c>
      <c r="W800" s="37">
        <v>11321</v>
      </c>
      <c r="X800" s="19"/>
      <c r="AG800" s="16"/>
    </row>
    <row r="801" spans="2:33">
      <c r="B801" s="19"/>
      <c r="P801" s="16"/>
      <c r="Q801" s="36" t="s">
        <v>394</v>
      </c>
      <c r="R801" s="13">
        <v>4789</v>
      </c>
      <c r="S801" s="13">
        <v>3600</v>
      </c>
      <c r="T801" s="13">
        <v>0</v>
      </c>
      <c r="U801" s="13">
        <v>0</v>
      </c>
      <c r="V801" s="13">
        <v>0</v>
      </c>
      <c r="W801" s="37">
        <v>7557</v>
      </c>
      <c r="X801" s="19"/>
      <c r="AG801" s="16"/>
    </row>
    <row r="802" spans="2:33">
      <c r="B802" s="19"/>
      <c r="P802" s="16"/>
      <c r="Q802" s="36" t="s">
        <v>395</v>
      </c>
      <c r="R802" s="13">
        <v>1369</v>
      </c>
      <c r="S802" s="13">
        <v>1029</v>
      </c>
      <c r="T802" s="13">
        <v>0</v>
      </c>
      <c r="U802" s="13">
        <v>0</v>
      </c>
      <c r="V802" s="13">
        <v>0</v>
      </c>
      <c r="W802" s="37">
        <v>2362</v>
      </c>
      <c r="X802" s="19"/>
      <c r="AG802" s="16"/>
    </row>
    <row r="803" spans="2:33">
      <c r="B803" s="19"/>
      <c r="P803" s="16"/>
      <c r="Q803" s="36" t="s">
        <v>42</v>
      </c>
      <c r="R803" s="13">
        <v>0</v>
      </c>
      <c r="S803" s="13">
        <v>0</v>
      </c>
      <c r="T803" s="13">
        <v>6660</v>
      </c>
      <c r="U803" s="13">
        <v>5052</v>
      </c>
      <c r="V803" s="13">
        <v>0</v>
      </c>
      <c r="W803" s="37">
        <v>12634</v>
      </c>
      <c r="X803" s="19"/>
      <c r="AG803" s="16"/>
    </row>
    <row r="804" spans="2:33">
      <c r="B804" s="19"/>
      <c r="P804" s="16"/>
      <c r="Q804" s="36" t="s">
        <v>43</v>
      </c>
      <c r="R804" s="13">
        <v>0</v>
      </c>
      <c r="S804" s="13">
        <v>0</v>
      </c>
      <c r="T804" s="13">
        <v>6023</v>
      </c>
      <c r="U804" s="13">
        <v>4413</v>
      </c>
      <c r="V804" s="13">
        <v>0</v>
      </c>
      <c r="W804" s="37">
        <v>8466</v>
      </c>
      <c r="X804" s="19"/>
      <c r="AG804" s="16"/>
    </row>
    <row r="805" spans="2:33">
      <c r="B805" s="19"/>
      <c r="P805" s="16"/>
      <c r="Q805" s="36" t="s">
        <v>44</v>
      </c>
      <c r="R805" s="13">
        <v>0</v>
      </c>
      <c r="S805" s="13">
        <v>0</v>
      </c>
      <c r="T805" s="13">
        <v>0</v>
      </c>
      <c r="U805" s="13">
        <v>6256</v>
      </c>
      <c r="V805" s="13">
        <v>4593</v>
      </c>
      <c r="W805" s="37">
        <v>8531</v>
      </c>
      <c r="X805" s="19"/>
      <c r="AG805" s="16"/>
    </row>
    <row r="806" spans="2:33">
      <c r="B806" s="19"/>
      <c r="P806" s="16"/>
      <c r="Q806" s="36" t="s">
        <v>45</v>
      </c>
      <c r="R806" s="13">
        <v>0</v>
      </c>
      <c r="S806" s="13">
        <v>5606</v>
      </c>
      <c r="T806" s="13">
        <v>4073</v>
      </c>
      <c r="U806" s="13">
        <v>0</v>
      </c>
      <c r="V806" s="13">
        <v>0</v>
      </c>
      <c r="W806" s="37">
        <v>9043</v>
      </c>
      <c r="X806" s="19"/>
      <c r="AG806" s="16"/>
    </row>
    <row r="807" spans="2:33" ht="15" thickBot="1">
      <c r="B807" s="20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7"/>
      <c r="Q807" s="36" t="s">
        <v>46</v>
      </c>
      <c r="R807" s="13">
        <v>5564</v>
      </c>
      <c r="S807" s="13">
        <v>4045</v>
      </c>
      <c r="T807" s="13">
        <v>0</v>
      </c>
      <c r="U807" s="13">
        <v>0</v>
      </c>
      <c r="V807" s="13">
        <v>0</v>
      </c>
      <c r="W807" s="37">
        <v>8867</v>
      </c>
      <c r="X807" s="20"/>
      <c r="Y807" s="15"/>
      <c r="Z807" s="15"/>
      <c r="AA807" s="15"/>
      <c r="AB807" s="15"/>
      <c r="AC807" s="15"/>
      <c r="AD807" s="15"/>
      <c r="AE807" s="15"/>
      <c r="AF807" s="15"/>
      <c r="AG807" s="17"/>
    </row>
    <row r="808" spans="2:33" ht="15" thickBot="1"/>
    <row r="809" spans="2:33" ht="15" thickBot="1">
      <c r="B809" s="53" t="s">
        <v>2191</v>
      </c>
      <c r="C809" s="26" t="s">
        <v>430</v>
      </c>
      <c r="D809" s="26" t="s">
        <v>431</v>
      </c>
      <c r="E809" s="26" t="s">
        <v>432</v>
      </c>
      <c r="F809" s="26" t="s">
        <v>433</v>
      </c>
      <c r="G809" s="26" t="s">
        <v>434</v>
      </c>
      <c r="H809" s="27" t="s">
        <v>435</v>
      </c>
      <c r="I809" s="26" t="s">
        <v>436</v>
      </c>
      <c r="J809" s="27" t="s">
        <v>34</v>
      </c>
      <c r="K809" s="29">
        <v>60</v>
      </c>
      <c r="L809" s="29">
        <v>60</v>
      </c>
      <c r="M809" s="29">
        <v>60</v>
      </c>
      <c r="N809" s="29">
        <v>60</v>
      </c>
      <c r="O809" s="29">
        <v>60</v>
      </c>
      <c r="P809" s="40">
        <v>75</v>
      </c>
      <c r="Q809" s="1" t="s">
        <v>35</v>
      </c>
      <c r="R809" s="2">
        <v>5272</v>
      </c>
      <c r="S809" s="2">
        <v>3153</v>
      </c>
      <c r="T809" s="2">
        <v>0</v>
      </c>
      <c r="U809" s="2">
        <v>0</v>
      </c>
      <c r="V809" s="2">
        <v>0</v>
      </c>
      <c r="W809" s="2">
        <v>3685</v>
      </c>
      <c r="X809" s="43">
        <f>SUM(R809:W822)</f>
        <v>76823</v>
      </c>
      <c r="Y809" s="10">
        <v>46204</v>
      </c>
      <c r="Z809" s="11">
        <v>0.18962454052312397</v>
      </c>
      <c r="AA809" s="11">
        <v>0.15853632235818399</v>
      </c>
      <c r="AB809" s="11">
        <v>0.13130366614667105</v>
      </c>
      <c r="AC809" s="11">
        <v>0.11730241147211601</v>
      </c>
      <c r="AD809" s="11">
        <v>0.10638825231856879</v>
      </c>
      <c r="AE809" s="11">
        <v>0.12205898654316046</v>
      </c>
      <c r="AF809" s="11">
        <v>0.3</v>
      </c>
      <c r="AG809" s="11">
        <v>0.23899999999999999</v>
      </c>
    </row>
    <row r="810" spans="2:33"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35"/>
      <c r="Q810" s="36" t="s">
        <v>36</v>
      </c>
      <c r="R810" s="13">
        <v>3506</v>
      </c>
      <c r="S810" s="13">
        <v>1904</v>
      </c>
      <c r="T810" s="13">
        <v>0</v>
      </c>
      <c r="U810" s="13">
        <v>0</v>
      </c>
      <c r="V810" s="13">
        <v>0</v>
      </c>
      <c r="W810" s="37">
        <v>2714</v>
      </c>
      <c r="X810" s="18"/>
      <c r="Y810" s="14"/>
      <c r="Z810" s="14"/>
      <c r="AA810" s="14"/>
      <c r="AB810" s="14"/>
      <c r="AC810" s="14"/>
      <c r="AD810" s="14"/>
      <c r="AE810" s="14"/>
      <c r="AF810" s="14"/>
      <c r="AG810" s="35"/>
    </row>
    <row r="811" spans="2:33">
      <c r="B811" s="19"/>
      <c r="P811" s="16"/>
      <c r="Q811" s="36" t="s">
        <v>437</v>
      </c>
      <c r="R811" s="13">
        <v>0</v>
      </c>
      <c r="S811" s="13">
        <v>222</v>
      </c>
      <c r="T811" s="13">
        <v>141</v>
      </c>
      <c r="U811" s="13">
        <v>0</v>
      </c>
      <c r="V811" s="13">
        <v>0</v>
      </c>
      <c r="W811" s="37">
        <v>223</v>
      </c>
      <c r="X811" s="19"/>
      <c r="AG811" s="16"/>
    </row>
    <row r="812" spans="2:33">
      <c r="B812" s="19"/>
      <c r="P812" s="16"/>
      <c r="Q812" s="36" t="s">
        <v>167</v>
      </c>
      <c r="R812" s="13">
        <v>0</v>
      </c>
      <c r="S812" s="13">
        <v>3014</v>
      </c>
      <c r="T812" s="13">
        <v>1977</v>
      </c>
      <c r="U812" s="13">
        <v>0</v>
      </c>
      <c r="V812" s="13">
        <v>0</v>
      </c>
      <c r="W812" s="37">
        <v>2166</v>
      </c>
      <c r="X812" s="19"/>
      <c r="AG812" s="16"/>
    </row>
    <row r="813" spans="2:33">
      <c r="B813" s="19"/>
      <c r="P813" s="16"/>
      <c r="Q813" s="36" t="s">
        <v>38</v>
      </c>
      <c r="R813" s="13">
        <v>0</v>
      </c>
      <c r="S813" s="13">
        <v>0</v>
      </c>
      <c r="T813" s="13">
        <v>0</v>
      </c>
      <c r="U813" s="13">
        <v>1431</v>
      </c>
      <c r="V813" s="13">
        <v>1099</v>
      </c>
      <c r="W813" s="37">
        <v>1950</v>
      </c>
      <c r="X813" s="19"/>
      <c r="AG813" s="16"/>
    </row>
    <row r="814" spans="2:33">
      <c r="B814" s="19"/>
      <c r="P814" s="16"/>
      <c r="Q814" s="36" t="s">
        <v>39</v>
      </c>
      <c r="R814" s="13">
        <v>0</v>
      </c>
      <c r="S814" s="13">
        <v>0</v>
      </c>
      <c r="T814" s="13">
        <v>0</v>
      </c>
      <c r="U814" s="13">
        <v>706</v>
      </c>
      <c r="V814" s="13">
        <v>757</v>
      </c>
      <c r="W814" s="37">
        <v>1859</v>
      </c>
      <c r="X814" s="19"/>
      <c r="AG814" s="16"/>
    </row>
    <row r="815" spans="2:33">
      <c r="B815" s="19"/>
      <c r="P815" s="16"/>
      <c r="Q815" s="36" t="s">
        <v>40</v>
      </c>
      <c r="R815" s="13">
        <v>0</v>
      </c>
      <c r="S815" s="13">
        <v>0</v>
      </c>
      <c r="T815" s="13">
        <v>633</v>
      </c>
      <c r="U815" s="13">
        <v>666</v>
      </c>
      <c r="V815" s="13">
        <v>0</v>
      </c>
      <c r="W815" s="37">
        <v>1794</v>
      </c>
      <c r="X815" s="19"/>
      <c r="AG815" s="16"/>
    </row>
    <row r="816" spans="2:33">
      <c r="B816" s="19"/>
      <c r="P816" s="16"/>
      <c r="Q816" s="36" t="s">
        <v>438</v>
      </c>
      <c r="R816" s="13">
        <v>198</v>
      </c>
      <c r="S816" s="13">
        <v>257</v>
      </c>
      <c r="T816" s="13">
        <v>0</v>
      </c>
      <c r="U816" s="13">
        <v>0</v>
      </c>
      <c r="V816" s="13">
        <v>0</v>
      </c>
      <c r="W816" s="37">
        <v>777</v>
      </c>
      <c r="X816" s="19"/>
      <c r="AG816" s="16"/>
    </row>
    <row r="817" spans="2:33">
      <c r="B817" s="19"/>
      <c r="P817" s="16"/>
      <c r="Q817" s="36" t="s">
        <v>439</v>
      </c>
      <c r="R817" s="13">
        <v>344</v>
      </c>
      <c r="S817" s="13">
        <v>466</v>
      </c>
      <c r="T817" s="13">
        <v>0</v>
      </c>
      <c r="U817" s="13">
        <v>0</v>
      </c>
      <c r="V817" s="13">
        <v>0</v>
      </c>
      <c r="W817" s="37">
        <v>1569</v>
      </c>
      <c r="X817" s="19"/>
      <c r="AG817" s="16"/>
    </row>
    <row r="818" spans="2:33">
      <c r="B818" s="19"/>
      <c r="P818" s="16"/>
      <c r="Q818" s="36" t="s">
        <v>42</v>
      </c>
      <c r="R818" s="13">
        <v>0</v>
      </c>
      <c r="S818" s="13">
        <v>0</v>
      </c>
      <c r="T818" s="13">
        <v>892</v>
      </c>
      <c r="U818" s="13">
        <v>821</v>
      </c>
      <c r="V818" s="13">
        <v>0</v>
      </c>
      <c r="W818" s="37">
        <v>2337</v>
      </c>
      <c r="X818" s="19"/>
      <c r="AG818" s="16"/>
    </row>
    <row r="819" spans="2:33">
      <c r="B819" s="19"/>
      <c r="P819" s="16"/>
      <c r="Q819" s="36" t="s">
        <v>43</v>
      </c>
      <c r="R819" s="13">
        <v>0</v>
      </c>
      <c r="S819" s="13">
        <v>0</v>
      </c>
      <c r="T819" s="13">
        <v>1243</v>
      </c>
      <c r="U819" s="13">
        <v>922</v>
      </c>
      <c r="V819" s="13">
        <v>0</v>
      </c>
      <c r="W819" s="37">
        <v>2077</v>
      </c>
      <c r="X819" s="19"/>
      <c r="AG819" s="16"/>
    </row>
    <row r="820" spans="2:33">
      <c r="B820" s="19"/>
      <c r="P820" s="16"/>
      <c r="Q820" s="36" t="s">
        <v>44</v>
      </c>
      <c r="R820" s="13">
        <v>0</v>
      </c>
      <c r="S820" s="13">
        <v>0</v>
      </c>
      <c r="T820" s="13">
        <v>0</v>
      </c>
      <c r="U820" s="13">
        <v>2169</v>
      </c>
      <c r="V820" s="13">
        <v>1397</v>
      </c>
      <c r="W820" s="37">
        <v>2133</v>
      </c>
      <c r="X820" s="19"/>
      <c r="AG820" s="16"/>
    </row>
    <row r="821" spans="2:33">
      <c r="B821" s="19"/>
      <c r="P821" s="16"/>
      <c r="Q821" s="36" t="s">
        <v>45</v>
      </c>
      <c r="R821" s="13">
        <v>0</v>
      </c>
      <c r="S821" s="13">
        <v>3325</v>
      </c>
      <c r="T821" s="13">
        <v>2214</v>
      </c>
      <c r="U821" s="13">
        <v>0</v>
      </c>
      <c r="V821" s="13">
        <v>0</v>
      </c>
      <c r="W821" s="37">
        <v>3169</v>
      </c>
      <c r="X821" s="19"/>
      <c r="AG821" s="16"/>
    </row>
    <row r="822" spans="2:33" ht="15" thickBot="1">
      <c r="B822" s="20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7"/>
      <c r="Q822" s="36" t="s">
        <v>46</v>
      </c>
      <c r="R822" s="13">
        <v>4988</v>
      </c>
      <c r="S822" s="13">
        <v>2851</v>
      </c>
      <c r="T822" s="13">
        <v>0</v>
      </c>
      <c r="U822" s="13">
        <v>0</v>
      </c>
      <c r="V822" s="13">
        <v>0</v>
      </c>
      <c r="W822" s="37">
        <v>3802</v>
      </c>
      <c r="X822" s="20"/>
      <c r="Y822" s="15"/>
      <c r="Z822" s="15"/>
      <c r="AA822" s="15"/>
      <c r="AB822" s="15"/>
      <c r="AC822" s="15"/>
      <c r="AD822" s="15"/>
      <c r="AE822" s="15"/>
      <c r="AF822" s="15"/>
      <c r="AG822" s="17"/>
    </row>
    <row r="823" spans="2:33" ht="15" thickBot="1"/>
    <row r="824" spans="2:33" ht="15" thickBot="1">
      <c r="B824" s="53" t="s">
        <v>2191</v>
      </c>
      <c r="C824" s="26" t="s">
        <v>440</v>
      </c>
      <c r="D824" s="26" t="s">
        <v>441</v>
      </c>
      <c r="E824" s="26" t="s">
        <v>442</v>
      </c>
      <c r="F824" s="26" t="s">
        <v>443</v>
      </c>
      <c r="G824" s="26" t="s">
        <v>444</v>
      </c>
      <c r="H824" s="27" t="s">
        <v>58</v>
      </c>
      <c r="I824" s="26" t="s">
        <v>445</v>
      </c>
      <c r="J824" s="27" t="s">
        <v>87</v>
      </c>
      <c r="K824" s="29">
        <v>31</v>
      </c>
      <c r="L824" s="29">
        <v>31</v>
      </c>
      <c r="M824" s="29">
        <v>31.200000762939499</v>
      </c>
      <c r="N824" s="29">
        <v>31.200000762939499</v>
      </c>
      <c r="O824" s="29">
        <v>31.200000762939499</v>
      </c>
      <c r="P824" s="40">
        <v>31.200000762939499</v>
      </c>
      <c r="Q824" s="1" t="s">
        <v>35</v>
      </c>
      <c r="R824" s="2">
        <v>1614</v>
      </c>
      <c r="S824" s="2">
        <v>1152</v>
      </c>
      <c r="T824" s="2">
        <v>0</v>
      </c>
      <c r="U824" s="2">
        <v>0</v>
      </c>
      <c r="V824" s="2">
        <v>0</v>
      </c>
      <c r="W824" s="2">
        <v>2671</v>
      </c>
      <c r="X824" s="43">
        <f>SUM(R824:W836)</f>
        <v>70246</v>
      </c>
      <c r="Y824" s="10">
        <v>46204</v>
      </c>
      <c r="Z824" s="11">
        <v>0.21915174234314722</v>
      </c>
      <c r="AA824" s="11">
        <v>0.18274192037163289</v>
      </c>
      <c r="AB824" s="11">
        <v>0.14726787607165501</v>
      </c>
      <c r="AC824" s="11">
        <v>0.1287497680516306</v>
      </c>
      <c r="AD824" s="11">
        <v>0.11447820346270936</v>
      </c>
      <c r="AE824" s="11">
        <v>0.13149780089791482</v>
      </c>
      <c r="AF824" s="11">
        <v>0.3</v>
      </c>
      <c r="AG824" s="11">
        <v>0.23899999999999999</v>
      </c>
    </row>
    <row r="825" spans="2:33"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35"/>
      <c r="Q825" s="36" t="s">
        <v>36</v>
      </c>
      <c r="R825" s="13">
        <v>1288</v>
      </c>
      <c r="S825" s="13">
        <v>976</v>
      </c>
      <c r="T825" s="13">
        <v>0</v>
      </c>
      <c r="U825" s="13">
        <v>0</v>
      </c>
      <c r="V825" s="13">
        <v>0</v>
      </c>
      <c r="W825" s="37">
        <v>2561</v>
      </c>
      <c r="X825" s="18"/>
      <c r="Y825" s="14"/>
      <c r="Z825" s="14"/>
      <c r="AA825" s="14"/>
      <c r="AB825" s="14"/>
      <c r="AC825" s="14"/>
      <c r="AD825" s="14"/>
      <c r="AE825" s="14"/>
      <c r="AF825" s="14"/>
      <c r="AG825" s="35"/>
    </row>
    <row r="826" spans="2:33">
      <c r="B826" s="19"/>
      <c r="P826" s="16"/>
      <c r="Q826" s="36" t="s">
        <v>37</v>
      </c>
      <c r="R826" s="13">
        <v>0</v>
      </c>
      <c r="S826" s="13">
        <v>1366</v>
      </c>
      <c r="T826" s="13">
        <v>1010</v>
      </c>
      <c r="U826" s="13">
        <v>0</v>
      </c>
      <c r="V826" s="13">
        <v>0</v>
      </c>
      <c r="W826" s="37">
        <v>2668</v>
      </c>
      <c r="X826" s="19"/>
      <c r="AG826" s="16"/>
    </row>
    <row r="827" spans="2:33">
      <c r="B827" s="19"/>
      <c r="P827" s="16"/>
      <c r="Q827" s="36" t="s">
        <v>38</v>
      </c>
      <c r="R827" s="13">
        <v>0</v>
      </c>
      <c r="S827" s="13">
        <v>0</v>
      </c>
      <c r="T827" s="13">
        <v>0</v>
      </c>
      <c r="U827" s="13">
        <v>1015</v>
      </c>
      <c r="V827" s="13">
        <v>914</v>
      </c>
      <c r="W827" s="37">
        <v>2240</v>
      </c>
      <c r="X827" s="19"/>
      <c r="AG827" s="16"/>
    </row>
    <row r="828" spans="2:33">
      <c r="B828" s="19"/>
      <c r="P828" s="16"/>
      <c r="Q828" s="36" t="s">
        <v>39</v>
      </c>
      <c r="R828" s="13">
        <v>0</v>
      </c>
      <c r="S828" s="13">
        <v>0</v>
      </c>
      <c r="T828" s="13">
        <v>0</v>
      </c>
      <c r="U828" s="13">
        <v>1091</v>
      </c>
      <c r="V828" s="13">
        <v>918</v>
      </c>
      <c r="W828" s="37">
        <v>2559</v>
      </c>
      <c r="X828" s="19"/>
      <c r="AG828" s="16"/>
    </row>
    <row r="829" spans="2:33">
      <c r="B829" s="19"/>
      <c r="P829" s="16"/>
      <c r="Q829" s="36" t="s">
        <v>40</v>
      </c>
      <c r="R829" s="13">
        <v>0</v>
      </c>
      <c r="S829" s="13">
        <v>0</v>
      </c>
      <c r="T829" s="13">
        <v>2030</v>
      </c>
      <c r="U829" s="13">
        <v>1304</v>
      </c>
      <c r="V829" s="13">
        <v>0</v>
      </c>
      <c r="W829" s="37">
        <v>3770</v>
      </c>
      <c r="X829" s="19"/>
      <c r="AG829" s="16"/>
    </row>
    <row r="830" spans="2:33">
      <c r="B830" s="19"/>
      <c r="P830" s="16"/>
      <c r="Q830" s="36" t="s">
        <v>446</v>
      </c>
      <c r="R830" s="13">
        <v>993</v>
      </c>
      <c r="S830" s="13">
        <v>714</v>
      </c>
      <c r="T830" s="13">
        <v>0</v>
      </c>
      <c r="U830" s="13">
        <v>0</v>
      </c>
      <c r="V830" s="13">
        <v>0</v>
      </c>
      <c r="W830" s="37">
        <v>1426</v>
      </c>
      <c r="X830" s="19"/>
      <c r="AG830" s="16"/>
    </row>
    <row r="831" spans="2:33">
      <c r="B831" s="19"/>
      <c r="P831" s="16"/>
      <c r="Q831" s="36" t="s">
        <v>447</v>
      </c>
      <c r="R831" s="13">
        <v>1446</v>
      </c>
      <c r="S831" s="13">
        <v>948</v>
      </c>
      <c r="T831" s="13">
        <v>0</v>
      </c>
      <c r="U831" s="13">
        <v>0</v>
      </c>
      <c r="V831" s="13">
        <v>0</v>
      </c>
      <c r="W831" s="37">
        <v>3065</v>
      </c>
      <c r="X831" s="19"/>
      <c r="AG831" s="16"/>
    </row>
    <row r="832" spans="2:33">
      <c r="B832" s="19"/>
      <c r="P832" s="16"/>
      <c r="Q832" s="36" t="s">
        <v>42</v>
      </c>
      <c r="R832" s="13">
        <v>0</v>
      </c>
      <c r="S832" s="13">
        <v>0</v>
      </c>
      <c r="T832" s="13">
        <v>2144</v>
      </c>
      <c r="U832" s="13">
        <v>1170</v>
      </c>
      <c r="V832" s="13">
        <v>0</v>
      </c>
      <c r="W832" s="37">
        <v>4620</v>
      </c>
      <c r="X832" s="19"/>
      <c r="AG832" s="16"/>
    </row>
    <row r="833" spans="2:33">
      <c r="B833" s="19"/>
      <c r="P833" s="16"/>
      <c r="Q833" s="36" t="s">
        <v>43</v>
      </c>
      <c r="R833" s="13">
        <v>0</v>
      </c>
      <c r="S833" s="13">
        <v>0</v>
      </c>
      <c r="T833" s="13">
        <v>1750</v>
      </c>
      <c r="U833" s="13">
        <v>1218</v>
      </c>
      <c r="V833" s="13">
        <v>0</v>
      </c>
      <c r="W833" s="37">
        <v>3870</v>
      </c>
      <c r="X833" s="19"/>
      <c r="AG833" s="16"/>
    </row>
    <row r="834" spans="2:33">
      <c r="B834" s="19"/>
      <c r="P834" s="16"/>
      <c r="Q834" s="36" t="s">
        <v>44</v>
      </c>
      <c r="R834" s="13">
        <v>0</v>
      </c>
      <c r="S834" s="13">
        <v>0</v>
      </c>
      <c r="T834" s="13">
        <v>0</v>
      </c>
      <c r="U834" s="13">
        <v>1386</v>
      </c>
      <c r="V834" s="13">
        <v>879</v>
      </c>
      <c r="W834" s="37">
        <v>2823</v>
      </c>
      <c r="X834" s="19"/>
      <c r="AG834" s="16"/>
    </row>
    <row r="835" spans="2:33">
      <c r="B835" s="19"/>
      <c r="P835" s="16"/>
      <c r="Q835" s="36" t="s">
        <v>45</v>
      </c>
      <c r="R835" s="13">
        <v>0</v>
      </c>
      <c r="S835" s="13">
        <v>1192</v>
      </c>
      <c r="T835" s="13">
        <v>746</v>
      </c>
      <c r="U835" s="13">
        <v>0</v>
      </c>
      <c r="V835" s="13">
        <v>0</v>
      </c>
      <c r="W835" s="37">
        <v>2890</v>
      </c>
      <c r="X835" s="19"/>
      <c r="AG835" s="16"/>
    </row>
    <row r="836" spans="2:33" ht="15" thickBot="1">
      <c r="B836" s="20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7"/>
      <c r="Q836" s="36" t="s">
        <v>46</v>
      </c>
      <c r="R836" s="13">
        <v>1855</v>
      </c>
      <c r="S836" s="13">
        <v>1095</v>
      </c>
      <c r="T836" s="13">
        <v>0</v>
      </c>
      <c r="U836" s="13">
        <v>0</v>
      </c>
      <c r="V836" s="13">
        <v>0</v>
      </c>
      <c r="W836" s="37">
        <v>2869</v>
      </c>
      <c r="X836" s="20"/>
      <c r="Y836" s="15"/>
      <c r="Z836" s="15"/>
      <c r="AA836" s="15"/>
      <c r="AB836" s="15"/>
      <c r="AC836" s="15"/>
      <c r="AD836" s="15"/>
      <c r="AE836" s="15"/>
      <c r="AF836" s="15"/>
      <c r="AG836" s="17"/>
    </row>
    <row r="837" spans="2:33" ht="15" thickBot="1"/>
    <row r="838" spans="2:33" ht="15" thickBot="1">
      <c r="B838" s="53" t="s">
        <v>2191</v>
      </c>
      <c r="C838" s="26" t="s">
        <v>440</v>
      </c>
      <c r="D838" s="26" t="s">
        <v>448</v>
      </c>
      <c r="E838" s="26" t="s">
        <v>449</v>
      </c>
      <c r="F838" s="26" t="s">
        <v>450</v>
      </c>
      <c r="G838" s="26" t="s">
        <v>451</v>
      </c>
      <c r="H838" s="27" t="s">
        <v>253</v>
      </c>
      <c r="I838" s="26" t="s">
        <v>452</v>
      </c>
      <c r="J838" s="27" t="s">
        <v>34</v>
      </c>
      <c r="K838" s="29">
        <v>60</v>
      </c>
      <c r="L838" s="29">
        <v>70</v>
      </c>
      <c r="M838" s="29">
        <v>70</v>
      </c>
      <c r="N838" s="29">
        <v>70</v>
      </c>
      <c r="O838" s="29">
        <v>70</v>
      </c>
      <c r="P838" s="40">
        <v>104</v>
      </c>
      <c r="Q838" s="1" t="s">
        <v>35</v>
      </c>
      <c r="R838" s="2">
        <v>5675</v>
      </c>
      <c r="S838" s="2">
        <v>3495</v>
      </c>
      <c r="T838" s="2">
        <v>0</v>
      </c>
      <c r="U838" s="2">
        <v>0</v>
      </c>
      <c r="V838" s="2">
        <v>0</v>
      </c>
      <c r="W838" s="2">
        <v>8416</v>
      </c>
      <c r="X838" s="43">
        <f>SUM(R838:W850)</f>
        <v>211682</v>
      </c>
      <c r="Y838" s="10">
        <v>46204</v>
      </c>
      <c r="Z838" s="11">
        <v>0.18962454052312397</v>
      </c>
      <c r="AA838" s="11">
        <v>0.15853632235818399</v>
      </c>
      <c r="AB838" s="11">
        <v>0.13130366614667105</v>
      </c>
      <c r="AC838" s="11">
        <v>0.11730241147211601</v>
      </c>
      <c r="AD838" s="11">
        <v>0.10638825231856879</v>
      </c>
      <c r="AE838" s="11">
        <v>0.12205898654316046</v>
      </c>
      <c r="AF838" s="11">
        <v>0.3</v>
      </c>
      <c r="AG838" s="11">
        <v>0.23899999999999999</v>
      </c>
    </row>
    <row r="839" spans="2:33"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35"/>
      <c r="Q839" s="36" t="s">
        <v>36</v>
      </c>
      <c r="R839" s="13">
        <v>5184</v>
      </c>
      <c r="S839" s="13">
        <v>3239</v>
      </c>
      <c r="T839" s="13">
        <v>0</v>
      </c>
      <c r="U839" s="13">
        <v>0</v>
      </c>
      <c r="V839" s="13">
        <v>0</v>
      </c>
      <c r="W839" s="37">
        <v>7514</v>
      </c>
      <c r="X839" s="18"/>
      <c r="Y839" s="14"/>
      <c r="Z839" s="14"/>
      <c r="AA839" s="14"/>
      <c r="AB839" s="14"/>
      <c r="AC839" s="14"/>
      <c r="AD839" s="14"/>
      <c r="AE839" s="14"/>
      <c r="AF839" s="14"/>
      <c r="AG839" s="35"/>
    </row>
    <row r="840" spans="2:33">
      <c r="B840" s="19"/>
      <c r="P840" s="16"/>
      <c r="Q840" s="36" t="s">
        <v>37</v>
      </c>
      <c r="R840" s="13">
        <v>0</v>
      </c>
      <c r="S840" s="13">
        <v>5343</v>
      </c>
      <c r="T840" s="13">
        <v>3406</v>
      </c>
      <c r="U840" s="13">
        <v>0</v>
      </c>
      <c r="V840" s="13">
        <v>0</v>
      </c>
      <c r="W840" s="37">
        <v>8150</v>
      </c>
      <c r="X840" s="19"/>
      <c r="AG840" s="16"/>
    </row>
    <row r="841" spans="2:33">
      <c r="B841" s="19"/>
      <c r="P841" s="16"/>
      <c r="Q841" s="36" t="s">
        <v>38</v>
      </c>
      <c r="R841" s="13">
        <v>0</v>
      </c>
      <c r="S841" s="13">
        <v>0</v>
      </c>
      <c r="T841" s="13">
        <v>0</v>
      </c>
      <c r="U841" s="13">
        <v>5035</v>
      </c>
      <c r="V841" s="13">
        <v>3288</v>
      </c>
      <c r="W841" s="37">
        <v>7334</v>
      </c>
      <c r="X841" s="19"/>
      <c r="AG841" s="16"/>
    </row>
    <row r="842" spans="2:33">
      <c r="B842" s="19"/>
      <c r="P842" s="16"/>
      <c r="Q842" s="36" t="s">
        <v>39</v>
      </c>
      <c r="R842" s="13">
        <v>0</v>
      </c>
      <c r="S842" s="13">
        <v>0</v>
      </c>
      <c r="T842" s="13">
        <v>0</v>
      </c>
      <c r="U842" s="13">
        <v>4983</v>
      </c>
      <c r="V842" s="13">
        <v>3139</v>
      </c>
      <c r="W842" s="37">
        <v>7741</v>
      </c>
      <c r="X842" s="19"/>
      <c r="AG842" s="16"/>
    </row>
    <row r="843" spans="2:33">
      <c r="B843" s="19"/>
      <c r="P843" s="16"/>
      <c r="Q843" s="36" t="s">
        <v>40</v>
      </c>
      <c r="R843" s="13">
        <v>0</v>
      </c>
      <c r="S843" s="13">
        <v>0</v>
      </c>
      <c r="T843" s="13">
        <v>5100</v>
      </c>
      <c r="U843" s="13">
        <v>3115</v>
      </c>
      <c r="V843" s="13">
        <v>0</v>
      </c>
      <c r="W843" s="37">
        <v>7462</v>
      </c>
      <c r="X843" s="19"/>
      <c r="AG843" s="16"/>
    </row>
    <row r="844" spans="2:33">
      <c r="B844" s="19"/>
      <c r="P844" s="16"/>
      <c r="Q844" s="36" t="s">
        <v>438</v>
      </c>
      <c r="R844" s="13">
        <v>2270</v>
      </c>
      <c r="S844" s="13">
        <v>1337</v>
      </c>
      <c r="T844" s="13">
        <v>0</v>
      </c>
      <c r="U844" s="13">
        <v>0</v>
      </c>
      <c r="V844" s="13">
        <v>0</v>
      </c>
      <c r="W844" s="37">
        <v>2671</v>
      </c>
      <c r="X844" s="19"/>
      <c r="AG844" s="16"/>
    </row>
    <row r="845" spans="2:33">
      <c r="B845" s="19"/>
      <c r="P845" s="16"/>
      <c r="Q845" s="36" t="s">
        <v>439</v>
      </c>
      <c r="R845" s="13">
        <v>4602</v>
      </c>
      <c r="S845" s="13">
        <v>2855</v>
      </c>
      <c r="T845" s="13">
        <v>0</v>
      </c>
      <c r="U845" s="13">
        <v>0</v>
      </c>
      <c r="V845" s="13">
        <v>0</v>
      </c>
      <c r="W845" s="37">
        <v>6706</v>
      </c>
      <c r="X845" s="19"/>
      <c r="AG845" s="16"/>
    </row>
    <row r="846" spans="2:33">
      <c r="B846" s="19"/>
      <c r="P846" s="16"/>
      <c r="Q846" s="36" t="s">
        <v>42</v>
      </c>
      <c r="R846" s="13">
        <v>0</v>
      </c>
      <c r="S846" s="13">
        <v>0</v>
      </c>
      <c r="T846" s="13">
        <v>5996</v>
      </c>
      <c r="U846" s="13">
        <v>3658</v>
      </c>
      <c r="V846" s="13">
        <v>0</v>
      </c>
      <c r="W846" s="37">
        <v>10361</v>
      </c>
      <c r="X846" s="19"/>
      <c r="AG846" s="16"/>
    </row>
    <row r="847" spans="2:33">
      <c r="B847" s="19"/>
      <c r="P847" s="16"/>
      <c r="Q847" s="36" t="s">
        <v>43</v>
      </c>
      <c r="R847" s="13">
        <v>0</v>
      </c>
      <c r="S847" s="13">
        <v>0</v>
      </c>
      <c r="T847" s="13">
        <v>6251</v>
      </c>
      <c r="U847" s="13">
        <v>3907</v>
      </c>
      <c r="V847" s="13">
        <v>0</v>
      </c>
      <c r="W847" s="37">
        <v>9317</v>
      </c>
      <c r="X847" s="19"/>
      <c r="AG847" s="16"/>
    </row>
    <row r="848" spans="2:33">
      <c r="B848" s="19"/>
      <c r="P848" s="16"/>
      <c r="Q848" s="36" t="s">
        <v>44</v>
      </c>
      <c r="R848" s="13">
        <v>0</v>
      </c>
      <c r="S848" s="13">
        <v>0</v>
      </c>
      <c r="T848" s="13">
        <v>0</v>
      </c>
      <c r="U848" s="13">
        <v>5990</v>
      </c>
      <c r="V848" s="13">
        <v>3771</v>
      </c>
      <c r="W848" s="37">
        <v>8699</v>
      </c>
      <c r="X848" s="19"/>
      <c r="AG848" s="16"/>
    </row>
    <row r="849" spans="2:33">
      <c r="B849" s="19"/>
      <c r="P849" s="16"/>
      <c r="Q849" s="36" t="s">
        <v>45</v>
      </c>
      <c r="R849" s="13">
        <v>0</v>
      </c>
      <c r="S849" s="13">
        <v>5018</v>
      </c>
      <c r="T849" s="13">
        <v>3162</v>
      </c>
      <c r="U849" s="13">
        <v>0</v>
      </c>
      <c r="V849" s="13">
        <v>0</v>
      </c>
      <c r="W849" s="37">
        <v>9023</v>
      </c>
      <c r="X849" s="19"/>
      <c r="AG849" s="16"/>
    </row>
    <row r="850" spans="2:33" ht="15" thickBot="1">
      <c r="B850" s="20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7"/>
      <c r="Q850" s="36" t="s">
        <v>46</v>
      </c>
      <c r="R850" s="13">
        <v>5837</v>
      </c>
      <c r="S850" s="13">
        <v>3483</v>
      </c>
      <c r="T850" s="13">
        <v>0</v>
      </c>
      <c r="U850" s="13">
        <v>0</v>
      </c>
      <c r="V850" s="13">
        <v>0</v>
      </c>
      <c r="W850" s="37">
        <v>9149</v>
      </c>
      <c r="X850" s="20"/>
      <c r="Y850" s="15"/>
      <c r="Z850" s="15"/>
      <c r="AA850" s="15"/>
      <c r="AB850" s="15"/>
      <c r="AC850" s="15"/>
      <c r="AD850" s="15"/>
      <c r="AE850" s="15"/>
      <c r="AF850" s="15"/>
      <c r="AG850" s="17"/>
    </row>
    <row r="851" spans="2:33" ht="15" thickBot="1"/>
    <row r="852" spans="2:33" ht="15" thickBot="1">
      <c r="B852" s="53" t="s">
        <v>2191</v>
      </c>
      <c r="C852" s="26" t="s">
        <v>440</v>
      </c>
      <c r="D852" s="26" t="s">
        <v>453</v>
      </c>
      <c r="E852" s="26" t="s">
        <v>454</v>
      </c>
      <c r="F852" s="26" t="s">
        <v>455</v>
      </c>
      <c r="G852" s="26" t="s">
        <v>456</v>
      </c>
      <c r="H852" s="27" t="s">
        <v>47</v>
      </c>
      <c r="I852" s="26" t="s">
        <v>457</v>
      </c>
      <c r="J852" s="27" t="s">
        <v>87</v>
      </c>
      <c r="K852" s="29">
        <v>40</v>
      </c>
      <c r="L852" s="29">
        <v>40</v>
      </c>
      <c r="M852" s="29">
        <v>40</v>
      </c>
      <c r="N852" s="29">
        <v>40</v>
      </c>
      <c r="O852" s="29">
        <v>40</v>
      </c>
      <c r="P852" s="40">
        <v>80</v>
      </c>
      <c r="Q852" s="1" t="s">
        <v>35</v>
      </c>
      <c r="R852" s="2">
        <v>3020</v>
      </c>
      <c r="S852" s="2">
        <v>2300</v>
      </c>
      <c r="T852" s="2">
        <v>0</v>
      </c>
      <c r="U852" s="2">
        <v>0</v>
      </c>
      <c r="V852" s="2">
        <v>0</v>
      </c>
      <c r="W852" s="2">
        <v>4105</v>
      </c>
      <c r="X852" s="43">
        <f>SUM(R852:W864)</f>
        <v>122184</v>
      </c>
      <c r="Y852" s="10">
        <v>46204</v>
      </c>
      <c r="Z852" s="11">
        <v>0.21915174234314722</v>
      </c>
      <c r="AA852" s="11">
        <v>0.18274192037163289</v>
      </c>
      <c r="AB852" s="11">
        <v>0.14726787607165501</v>
      </c>
      <c r="AC852" s="11">
        <v>0.1287497680516306</v>
      </c>
      <c r="AD852" s="11">
        <v>0.11447820346270936</v>
      </c>
      <c r="AE852" s="11">
        <v>0.13149780089791482</v>
      </c>
      <c r="AF852" s="11">
        <v>0.3</v>
      </c>
      <c r="AG852" s="11">
        <v>0.23899999999999999</v>
      </c>
    </row>
    <row r="853" spans="2:33"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35"/>
      <c r="Q853" s="36" t="s">
        <v>36</v>
      </c>
      <c r="R853" s="13">
        <v>2851</v>
      </c>
      <c r="S853" s="13">
        <v>2182</v>
      </c>
      <c r="T853" s="13">
        <v>0</v>
      </c>
      <c r="U853" s="13">
        <v>0</v>
      </c>
      <c r="V853" s="13">
        <v>0</v>
      </c>
      <c r="W853" s="37">
        <v>4373</v>
      </c>
      <c r="X853" s="18"/>
      <c r="Y853" s="14"/>
      <c r="Z853" s="14"/>
      <c r="AA853" s="14"/>
      <c r="AB853" s="14"/>
      <c r="AC853" s="14"/>
      <c r="AD853" s="14"/>
      <c r="AE853" s="14"/>
      <c r="AF853" s="14"/>
      <c r="AG853" s="35"/>
    </row>
    <row r="854" spans="2:33">
      <c r="B854" s="19"/>
      <c r="P854" s="16"/>
      <c r="Q854" s="36" t="s">
        <v>37</v>
      </c>
      <c r="R854" s="13">
        <v>0</v>
      </c>
      <c r="S854" s="13">
        <v>2812</v>
      </c>
      <c r="T854" s="13">
        <v>2177</v>
      </c>
      <c r="U854" s="13">
        <v>0</v>
      </c>
      <c r="V854" s="13">
        <v>0</v>
      </c>
      <c r="W854" s="37">
        <v>4519</v>
      </c>
      <c r="X854" s="19"/>
      <c r="AG854" s="16"/>
    </row>
    <row r="855" spans="2:33">
      <c r="B855" s="19"/>
      <c r="P855" s="16"/>
      <c r="Q855" s="36" t="s">
        <v>38</v>
      </c>
      <c r="R855" s="13">
        <v>0</v>
      </c>
      <c r="S855" s="13">
        <v>0</v>
      </c>
      <c r="T855" s="13">
        <v>0</v>
      </c>
      <c r="U855" s="13">
        <v>2410</v>
      </c>
      <c r="V855" s="13">
        <v>2089</v>
      </c>
      <c r="W855" s="37">
        <v>3980</v>
      </c>
      <c r="X855" s="19"/>
      <c r="AG855" s="16"/>
    </row>
    <row r="856" spans="2:33">
      <c r="B856" s="19"/>
      <c r="P856" s="16"/>
      <c r="Q856" s="36" t="s">
        <v>39</v>
      </c>
      <c r="R856" s="13">
        <v>0</v>
      </c>
      <c r="S856" s="13">
        <v>0</v>
      </c>
      <c r="T856" s="13">
        <v>0</v>
      </c>
      <c r="U856" s="13">
        <v>2670</v>
      </c>
      <c r="V856" s="13">
        <v>2325</v>
      </c>
      <c r="W856" s="37">
        <v>4245</v>
      </c>
      <c r="X856" s="19"/>
      <c r="AG856" s="16"/>
    </row>
    <row r="857" spans="2:33">
      <c r="B857" s="19"/>
      <c r="P857" s="16"/>
      <c r="Q857" s="36" t="s">
        <v>40</v>
      </c>
      <c r="R857" s="13">
        <v>0</v>
      </c>
      <c r="S857" s="13">
        <v>0</v>
      </c>
      <c r="T857" s="13">
        <v>3485</v>
      </c>
      <c r="U857" s="13">
        <v>3103</v>
      </c>
      <c r="V857" s="13">
        <v>0</v>
      </c>
      <c r="W857" s="37">
        <v>4680</v>
      </c>
      <c r="X857" s="19"/>
      <c r="AG857" s="16"/>
    </row>
    <row r="858" spans="2:33">
      <c r="B858" s="19"/>
      <c r="P858" s="16"/>
      <c r="Q858" s="36" t="s">
        <v>438</v>
      </c>
      <c r="R858" s="13">
        <v>1758</v>
      </c>
      <c r="S858" s="13">
        <v>1603</v>
      </c>
      <c r="T858" s="13">
        <v>0</v>
      </c>
      <c r="U858" s="13">
        <v>0</v>
      </c>
      <c r="V858" s="13">
        <v>0</v>
      </c>
      <c r="W858" s="37">
        <v>1859</v>
      </c>
      <c r="X858" s="19"/>
      <c r="AG858" s="16"/>
    </row>
    <row r="859" spans="2:33">
      <c r="B859" s="19"/>
      <c r="P859" s="16"/>
      <c r="Q859" s="36" t="s">
        <v>439</v>
      </c>
      <c r="R859" s="13">
        <v>2531</v>
      </c>
      <c r="S859" s="13">
        <v>2255</v>
      </c>
      <c r="T859" s="13">
        <v>0</v>
      </c>
      <c r="U859" s="13">
        <v>0</v>
      </c>
      <c r="V859" s="13">
        <v>0</v>
      </c>
      <c r="W859" s="37">
        <v>3502</v>
      </c>
      <c r="X859" s="19"/>
      <c r="AG859" s="16"/>
    </row>
    <row r="860" spans="2:33">
      <c r="B860" s="19"/>
      <c r="P860" s="16"/>
      <c r="Q860" s="36" t="s">
        <v>42</v>
      </c>
      <c r="R860" s="13">
        <v>0</v>
      </c>
      <c r="S860" s="13">
        <v>0</v>
      </c>
      <c r="T860" s="13">
        <v>3318</v>
      </c>
      <c r="U860" s="13">
        <v>3000</v>
      </c>
      <c r="V860" s="13">
        <v>0</v>
      </c>
      <c r="W860" s="37">
        <v>5141</v>
      </c>
      <c r="X860" s="19"/>
      <c r="AG860" s="16"/>
    </row>
    <row r="861" spans="2:33">
      <c r="B861" s="19"/>
      <c r="P861" s="16"/>
      <c r="Q861" s="36" t="s">
        <v>43</v>
      </c>
      <c r="R861" s="13">
        <v>0</v>
      </c>
      <c r="S861" s="13">
        <v>0</v>
      </c>
      <c r="T861" s="13">
        <v>3174</v>
      </c>
      <c r="U861" s="13">
        <v>2672</v>
      </c>
      <c r="V861" s="13">
        <v>0</v>
      </c>
      <c r="W861" s="37">
        <v>4332</v>
      </c>
      <c r="X861" s="19"/>
      <c r="AG861" s="16"/>
    </row>
    <row r="862" spans="2:33">
      <c r="B862" s="19"/>
      <c r="P862" s="16"/>
      <c r="Q862" s="36" t="s">
        <v>44</v>
      </c>
      <c r="R862" s="13">
        <v>0</v>
      </c>
      <c r="S862" s="13">
        <v>0</v>
      </c>
      <c r="T862" s="13">
        <v>0</v>
      </c>
      <c r="U862" s="13">
        <v>2727</v>
      </c>
      <c r="V862" s="13">
        <v>2447</v>
      </c>
      <c r="W862" s="37">
        <v>4220</v>
      </c>
      <c r="X862" s="19"/>
      <c r="AG862" s="16"/>
    </row>
    <row r="863" spans="2:33">
      <c r="B863" s="19"/>
      <c r="P863" s="16"/>
      <c r="Q863" s="36" t="s">
        <v>45</v>
      </c>
      <c r="R863" s="13">
        <v>0</v>
      </c>
      <c r="S863" s="13">
        <v>2503</v>
      </c>
      <c r="T863" s="13">
        <v>2042</v>
      </c>
      <c r="U863" s="13">
        <v>0</v>
      </c>
      <c r="V863" s="13">
        <v>0</v>
      </c>
      <c r="W863" s="37">
        <v>4699</v>
      </c>
      <c r="X863" s="19"/>
      <c r="AG863" s="16"/>
    </row>
    <row r="864" spans="2:33" ht="15" thickBot="1">
      <c r="B864" s="20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7"/>
      <c r="Q864" s="36" t="s">
        <v>46</v>
      </c>
      <c r="R864" s="13">
        <v>3418</v>
      </c>
      <c r="S864" s="13">
        <v>2474</v>
      </c>
      <c r="T864" s="13">
        <v>0</v>
      </c>
      <c r="U864" s="13">
        <v>0</v>
      </c>
      <c r="V864" s="13">
        <v>0</v>
      </c>
      <c r="W864" s="37">
        <v>5183</v>
      </c>
      <c r="X864" s="20"/>
      <c r="Y864" s="15"/>
      <c r="Z864" s="15"/>
      <c r="AA864" s="15"/>
      <c r="AB864" s="15"/>
      <c r="AC864" s="15"/>
      <c r="AD864" s="15"/>
      <c r="AE864" s="15"/>
      <c r="AF864" s="15"/>
      <c r="AG864" s="17"/>
    </row>
    <row r="865" spans="2:33" ht="15" thickBot="1"/>
    <row r="866" spans="2:33" ht="15" thickBot="1">
      <c r="B866" s="53" t="s">
        <v>2191</v>
      </c>
      <c r="C866" s="26" t="s">
        <v>458</v>
      </c>
      <c r="D866" s="26" t="s">
        <v>459</v>
      </c>
      <c r="E866" s="26" t="s">
        <v>460</v>
      </c>
      <c r="F866" s="26" t="s">
        <v>461</v>
      </c>
      <c r="G866" s="26" t="s">
        <v>462</v>
      </c>
      <c r="H866" s="27" t="s">
        <v>337</v>
      </c>
      <c r="I866" s="26" t="s">
        <v>463</v>
      </c>
      <c r="J866" s="27" t="s">
        <v>87</v>
      </c>
      <c r="K866" s="29">
        <v>12</v>
      </c>
      <c r="L866" s="29">
        <v>12</v>
      </c>
      <c r="M866" s="29">
        <v>12</v>
      </c>
      <c r="N866" s="29">
        <v>12</v>
      </c>
      <c r="O866" s="29">
        <v>12</v>
      </c>
      <c r="P866" s="40">
        <v>41.419998168945298</v>
      </c>
      <c r="Q866" s="1" t="s">
        <v>35</v>
      </c>
      <c r="R866" s="2">
        <v>640</v>
      </c>
      <c r="S866" s="2">
        <v>340</v>
      </c>
      <c r="T866" s="2">
        <v>0</v>
      </c>
      <c r="U866" s="2">
        <v>0</v>
      </c>
      <c r="V866" s="2">
        <v>0</v>
      </c>
      <c r="W866" s="2">
        <v>836</v>
      </c>
      <c r="X866" s="43">
        <f>SUM(R866:W879)</f>
        <v>29147</v>
      </c>
      <c r="Y866" s="10">
        <v>46204</v>
      </c>
      <c r="Z866" s="11">
        <v>0.21915174234314722</v>
      </c>
      <c r="AA866" s="11">
        <v>0.18274192037163289</v>
      </c>
      <c r="AB866" s="11">
        <v>0.14726787607165501</v>
      </c>
      <c r="AC866" s="11">
        <v>0.1287497680516306</v>
      </c>
      <c r="AD866" s="11">
        <v>0.11447820346270936</v>
      </c>
      <c r="AE866" s="11">
        <v>0.13149780089791482</v>
      </c>
      <c r="AF866" s="11">
        <v>0.3</v>
      </c>
      <c r="AG866" s="11">
        <v>0.23899999999999999</v>
      </c>
    </row>
    <row r="867" spans="2:33"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35"/>
      <c r="Q867" s="36" t="s">
        <v>36</v>
      </c>
      <c r="R867" s="13">
        <v>542</v>
      </c>
      <c r="S867" s="13">
        <v>326</v>
      </c>
      <c r="T867" s="13">
        <v>0</v>
      </c>
      <c r="U867" s="13">
        <v>0</v>
      </c>
      <c r="V867" s="13">
        <v>0</v>
      </c>
      <c r="W867" s="37">
        <v>804</v>
      </c>
      <c r="X867" s="18"/>
      <c r="Y867" s="14"/>
      <c r="Z867" s="14"/>
      <c r="AA867" s="14"/>
      <c r="AB867" s="14"/>
      <c r="AC867" s="14"/>
      <c r="AD867" s="14"/>
      <c r="AE867" s="14"/>
      <c r="AF867" s="14"/>
      <c r="AG867" s="35"/>
    </row>
    <row r="868" spans="2:33">
      <c r="B868" s="19"/>
      <c r="P868" s="16"/>
      <c r="Q868" s="36" t="s">
        <v>230</v>
      </c>
      <c r="R868" s="13">
        <v>0</v>
      </c>
      <c r="S868" s="13">
        <v>174</v>
      </c>
      <c r="T868" s="13">
        <v>67</v>
      </c>
      <c r="U868" s="13">
        <v>0</v>
      </c>
      <c r="V868" s="13">
        <v>0</v>
      </c>
      <c r="W868" s="37">
        <v>204</v>
      </c>
      <c r="X868" s="19"/>
      <c r="AG868" s="16"/>
    </row>
    <row r="869" spans="2:33">
      <c r="B869" s="19"/>
      <c r="P869" s="16"/>
      <c r="Q869" s="36" t="s">
        <v>464</v>
      </c>
      <c r="R869" s="13">
        <v>0</v>
      </c>
      <c r="S869" s="13">
        <v>609</v>
      </c>
      <c r="T869" s="13">
        <v>327</v>
      </c>
      <c r="U869" s="13">
        <v>0</v>
      </c>
      <c r="V869" s="13">
        <v>0</v>
      </c>
      <c r="W869" s="37">
        <v>875</v>
      </c>
      <c r="X869" s="19"/>
      <c r="AG869" s="16"/>
    </row>
    <row r="870" spans="2:33">
      <c r="B870" s="19"/>
      <c r="P870" s="16"/>
      <c r="Q870" s="36" t="s">
        <v>38</v>
      </c>
      <c r="R870" s="13">
        <v>0</v>
      </c>
      <c r="S870" s="13">
        <v>0</v>
      </c>
      <c r="T870" s="13">
        <v>0</v>
      </c>
      <c r="U870" s="13">
        <v>706</v>
      </c>
      <c r="V870" s="13">
        <v>420</v>
      </c>
      <c r="W870" s="37">
        <v>1027</v>
      </c>
      <c r="X870" s="19"/>
      <c r="AG870" s="16"/>
    </row>
    <row r="871" spans="2:33">
      <c r="B871" s="19"/>
      <c r="P871" s="16"/>
      <c r="Q871" s="36" t="s">
        <v>39</v>
      </c>
      <c r="R871" s="13">
        <v>0</v>
      </c>
      <c r="S871" s="13">
        <v>0</v>
      </c>
      <c r="T871" s="13">
        <v>0</v>
      </c>
      <c r="U871" s="13">
        <v>677</v>
      </c>
      <c r="V871" s="13">
        <v>410</v>
      </c>
      <c r="W871" s="37">
        <v>1232</v>
      </c>
      <c r="X871" s="19"/>
      <c r="AG871" s="16"/>
    </row>
    <row r="872" spans="2:33">
      <c r="B872" s="19"/>
      <c r="P872" s="16"/>
      <c r="Q872" s="36" t="s">
        <v>40</v>
      </c>
      <c r="R872" s="13">
        <v>0</v>
      </c>
      <c r="S872" s="13">
        <v>0</v>
      </c>
      <c r="T872" s="13">
        <v>899</v>
      </c>
      <c r="U872" s="13">
        <v>562</v>
      </c>
      <c r="V872" s="13">
        <v>0</v>
      </c>
      <c r="W872" s="37">
        <v>1208</v>
      </c>
      <c r="X872" s="19"/>
      <c r="AG872" s="16"/>
    </row>
    <row r="873" spans="2:33">
      <c r="B873" s="19"/>
      <c r="P873" s="16"/>
      <c r="Q873" s="36" t="s">
        <v>438</v>
      </c>
      <c r="R873" s="13">
        <v>442</v>
      </c>
      <c r="S873" s="13">
        <v>260</v>
      </c>
      <c r="T873" s="13">
        <v>0</v>
      </c>
      <c r="U873" s="13">
        <v>0</v>
      </c>
      <c r="V873" s="13">
        <v>0</v>
      </c>
      <c r="W873" s="37">
        <v>457</v>
      </c>
      <c r="X873" s="19"/>
      <c r="AG873" s="16"/>
    </row>
    <row r="874" spans="2:33">
      <c r="B874" s="19"/>
      <c r="P874" s="16"/>
      <c r="Q874" s="36" t="s">
        <v>439</v>
      </c>
      <c r="R874" s="13">
        <v>551</v>
      </c>
      <c r="S874" s="13">
        <v>373</v>
      </c>
      <c r="T874" s="13">
        <v>0</v>
      </c>
      <c r="U874" s="13">
        <v>0</v>
      </c>
      <c r="V874" s="13">
        <v>0</v>
      </c>
      <c r="W874" s="37">
        <v>771</v>
      </c>
      <c r="X874" s="19"/>
      <c r="AG874" s="16"/>
    </row>
    <row r="875" spans="2:33">
      <c r="B875" s="19"/>
      <c r="P875" s="16"/>
      <c r="Q875" s="36" t="s">
        <v>42</v>
      </c>
      <c r="R875" s="13">
        <v>0</v>
      </c>
      <c r="S875" s="13">
        <v>0</v>
      </c>
      <c r="T875" s="13">
        <v>1050</v>
      </c>
      <c r="U875" s="13">
        <v>467</v>
      </c>
      <c r="V875" s="13">
        <v>0</v>
      </c>
      <c r="W875" s="37">
        <v>1324</v>
      </c>
      <c r="X875" s="19"/>
      <c r="AG875" s="16"/>
    </row>
    <row r="876" spans="2:33">
      <c r="B876" s="19"/>
      <c r="P876" s="16"/>
      <c r="Q876" s="36" t="s">
        <v>43</v>
      </c>
      <c r="R876" s="13">
        <v>0</v>
      </c>
      <c r="S876" s="13">
        <v>0</v>
      </c>
      <c r="T876" s="13">
        <v>842</v>
      </c>
      <c r="U876" s="13">
        <v>483</v>
      </c>
      <c r="V876" s="13">
        <v>0</v>
      </c>
      <c r="W876" s="37">
        <v>1220</v>
      </c>
      <c r="X876" s="19"/>
      <c r="AG876" s="16"/>
    </row>
    <row r="877" spans="2:33">
      <c r="B877" s="19"/>
      <c r="P877" s="16"/>
      <c r="Q877" s="36" t="s">
        <v>44</v>
      </c>
      <c r="R877" s="13">
        <v>0</v>
      </c>
      <c r="S877" s="13">
        <v>0</v>
      </c>
      <c r="T877" s="13">
        <v>0</v>
      </c>
      <c r="U877" s="13">
        <v>761</v>
      </c>
      <c r="V877" s="13">
        <v>414</v>
      </c>
      <c r="W877" s="37">
        <v>1209</v>
      </c>
      <c r="X877" s="19"/>
      <c r="AG877" s="16"/>
    </row>
    <row r="878" spans="2:33">
      <c r="B878" s="19"/>
      <c r="P878" s="16"/>
      <c r="Q878" s="36" t="s">
        <v>45</v>
      </c>
      <c r="R878" s="13">
        <v>0</v>
      </c>
      <c r="S878" s="13">
        <v>767</v>
      </c>
      <c r="T878" s="13">
        <v>441</v>
      </c>
      <c r="U878" s="13">
        <v>0</v>
      </c>
      <c r="V878" s="13">
        <v>0</v>
      </c>
      <c r="W878" s="37">
        <v>1153</v>
      </c>
      <c r="X878" s="19"/>
      <c r="AG878" s="16"/>
    </row>
    <row r="879" spans="2:33" ht="15" thickBot="1">
      <c r="B879" s="20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7"/>
      <c r="Q879" s="36" t="s">
        <v>46</v>
      </c>
      <c r="R879" s="13">
        <v>1114</v>
      </c>
      <c r="S879" s="13">
        <v>642</v>
      </c>
      <c r="T879" s="13">
        <v>0</v>
      </c>
      <c r="U879" s="13">
        <v>0</v>
      </c>
      <c r="V879" s="13">
        <v>0</v>
      </c>
      <c r="W879" s="37">
        <v>1521</v>
      </c>
      <c r="X879" s="20"/>
      <c r="Y879" s="15"/>
      <c r="Z879" s="15"/>
      <c r="AA879" s="15"/>
      <c r="AB879" s="15"/>
      <c r="AC879" s="15"/>
      <c r="AD879" s="15"/>
      <c r="AE879" s="15"/>
      <c r="AF879" s="15"/>
      <c r="AG879" s="17"/>
    </row>
    <row r="880" spans="2:33" ht="15" thickBot="1"/>
    <row r="881" spans="2:33" ht="15" thickBot="1">
      <c r="B881" s="53" t="s">
        <v>2191</v>
      </c>
      <c r="C881" s="26" t="s">
        <v>465</v>
      </c>
      <c r="D881" s="26" t="s">
        <v>466</v>
      </c>
      <c r="E881" s="26" t="s">
        <v>467</v>
      </c>
      <c r="F881" s="26" t="s">
        <v>468</v>
      </c>
      <c r="G881" s="26" t="s">
        <v>469</v>
      </c>
      <c r="H881" s="27" t="s">
        <v>469</v>
      </c>
      <c r="I881" s="26" t="s">
        <v>470</v>
      </c>
      <c r="J881" s="27" t="s">
        <v>87</v>
      </c>
      <c r="K881" s="29">
        <v>30</v>
      </c>
      <c r="L881" s="29">
        <v>30</v>
      </c>
      <c r="M881" s="29">
        <v>30</v>
      </c>
      <c r="N881" s="29">
        <v>30</v>
      </c>
      <c r="O881" s="29">
        <v>30</v>
      </c>
      <c r="P881" s="40">
        <v>60</v>
      </c>
      <c r="Q881" s="1" t="s">
        <v>35</v>
      </c>
      <c r="R881" s="2">
        <v>1964</v>
      </c>
      <c r="S881" s="2">
        <v>1485</v>
      </c>
      <c r="T881" s="2">
        <v>0</v>
      </c>
      <c r="U881" s="2">
        <v>0</v>
      </c>
      <c r="V881" s="2">
        <v>0</v>
      </c>
      <c r="W881" s="2">
        <v>2688</v>
      </c>
      <c r="X881" s="43">
        <f>SUM(R881:W893)</f>
        <v>72378</v>
      </c>
      <c r="Y881" s="10">
        <v>46204</v>
      </c>
      <c r="Z881" s="11">
        <v>0.21915174234314722</v>
      </c>
      <c r="AA881" s="11">
        <v>0.18274192037163289</v>
      </c>
      <c r="AB881" s="11">
        <v>0.14726787607165501</v>
      </c>
      <c r="AC881" s="11">
        <v>0.1287497680516306</v>
      </c>
      <c r="AD881" s="11">
        <v>0.11447820346270936</v>
      </c>
      <c r="AE881" s="11">
        <v>0.13149780089791482</v>
      </c>
      <c r="AF881" s="11">
        <v>0.3</v>
      </c>
      <c r="AG881" s="11">
        <v>0.23899999999999999</v>
      </c>
    </row>
    <row r="882" spans="2:33"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35"/>
      <c r="Q882" s="36" t="s">
        <v>36</v>
      </c>
      <c r="R882" s="13">
        <v>1750</v>
      </c>
      <c r="S882" s="13">
        <v>1243</v>
      </c>
      <c r="T882" s="13">
        <v>0</v>
      </c>
      <c r="U882" s="13">
        <v>0</v>
      </c>
      <c r="V882" s="13">
        <v>0</v>
      </c>
      <c r="W882" s="37">
        <v>2497</v>
      </c>
      <c r="X882" s="18"/>
      <c r="Y882" s="14"/>
      <c r="Z882" s="14"/>
      <c r="AA882" s="14"/>
      <c r="AB882" s="14"/>
      <c r="AC882" s="14"/>
      <c r="AD882" s="14"/>
      <c r="AE882" s="14"/>
      <c r="AF882" s="14"/>
      <c r="AG882" s="35"/>
    </row>
    <row r="883" spans="2:33">
      <c r="B883" s="19"/>
      <c r="P883" s="16"/>
      <c r="Q883" s="36" t="s">
        <v>37</v>
      </c>
      <c r="R883" s="13">
        <v>0</v>
      </c>
      <c r="S883" s="13">
        <v>1907</v>
      </c>
      <c r="T883" s="13">
        <v>1356</v>
      </c>
      <c r="U883" s="13">
        <v>0</v>
      </c>
      <c r="V883" s="13">
        <v>0</v>
      </c>
      <c r="W883" s="37">
        <v>2664</v>
      </c>
      <c r="X883" s="19"/>
      <c r="AG883" s="16"/>
    </row>
    <row r="884" spans="2:33">
      <c r="B884" s="19"/>
      <c r="P884" s="16"/>
      <c r="Q884" s="36" t="s">
        <v>38</v>
      </c>
      <c r="R884" s="13">
        <v>0</v>
      </c>
      <c r="S884" s="13">
        <v>0</v>
      </c>
      <c r="T884" s="13">
        <v>0</v>
      </c>
      <c r="U884" s="13">
        <v>1830</v>
      </c>
      <c r="V884" s="13">
        <v>1198</v>
      </c>
      <c r="W884" s="37">
        <v>2453</v>
      </c>
      <c r="X884" s="19"/>
      <c r="AG884" s="16"/>
    </row>
    <row r="885" spans="2:33">
      <c r="B885" s="19"/>
      <c r="P885" s="16"/>
      <c r="Q885" s="36" t="s">
        <v>39</v>
      </c>
      <c r="R885" s="13">
        <v>0</v>
      </c>
      <c r="S885" s="13">
        <v>0</v>
      </c>
      <c r="T885" s="13">
        <v>0</v>
      </c>
      <c r="U885" s="13">
        <v>1782</v>
      </c>
      <c r="V885" s="13">
        <v>1248</v>
      </c>
      <c r="W885" s="37">
        <v>2600</v>
      </c>
      <c r="X885" s="19"/>
      <c r="AG885" s="16"/>
    </row>
    <row r="886" spans="2:33">
      <c r="B886" s="19"/>
      <c r="P886" s="16"/>
      <c r="Q886" s="36" t="s">
        <v>40</v>
      </c>
      <c r="R886" s="13">
        <v>0</v>
      </c>
      <c r="S886" s="13">
        <v>0</v>
      </c>
      <c r="T886" s="13">
        <v>2267</v>
      </c>
      <c r="U886" s="13">
        <v>1443</v>
      </c>
      <c r="V886" s="13">
        <v>0</v>
      </c>
      <c r="W886" s="37">
        <v>2729</v>
      </c>
      <c r="X886" s="19"/>
      <c r="AG886" s="16"/>
    </row>
    <row r="887" spans="2:33">
      <c r="B887" s="19"/>
      <c r="P887" s="16"/>
      <c r="Q887" s="36" t="s">
        <v>438</v>
      </c>
      <c r="R887" s="13">
        <v>1090</v>
      </c>
      <c r="S887" s="13">
        <v>622</v>
      </c>
      <c r="T887" s="13">
        <v>0</v>
      </c>
      <c r="U887" s="13">
        <v>0</v>
      </c>
      <c r="V887" s="13">
        <v>0</v>
      </c>
      <c r="W887" s="37">
        <v>1131</v>
      </c>
      <c r="X887" s="19"/>
      <c r="AG887" s="16"/>
    </row>
    <row r="888" spans="2:33">
      <c r="B888" s="19"/>
      <c r="P888" s="16"/>
      <c r="Q888" s="36" t="s">
        <v>439</v>
      </c>
      <c r="R888" s="13">
        <v>1639</v>
      </c>
      <c r="S888" s="13">
        <v>963</v>
      </c>
      <c r="T888" s="13">
        <v>0</v>
      </c>
      <c r="U888" s="13">
        <v>0</v>
      </c>
      <c r="V888" s="13">
        <v>0</v>
      </c>
      <c r="W888" s="37">
        <v>1998</v>
      </c>
      <c r="X888" s="19"/>
      <c r="AG888" s="16"/>
    </row>
    <row r="889" spans="2:33">
      <c r="B889" s="19"/>
      <c r="P889" s="16"/>
      <c r="Q889" s="36" t="s">
        <v>42</v>
      </c>
      <c r="R889" s="13">
        <v>0</v>
      </c>
      <c r="S889" s="13">
        <v>0</v>
      </c>
      <c r="T889" s="13">
        <v>2506</v>
      </c>
      <c r="U889" s="13">
        <v>1358</v>
      </c>
      <c r="V889" s="13">
        <v>0</v>
      </c>
      <c r="W889" s="37">
        <v>3077</v>
      </c>
      <c r="X889" s="19"/>
      <c r="AG889" s="16"/>
    </row>
    <row r="890" spans="2:33">
      <c r="B890" s="19"/>
      <c r="P890" s="16"/>
      <c r="Q890" s="36" t="s">
        <v>43</v>
      </c>
      <c r="R890" s="13">
        <v>0</v>
      </c>
      <c r="S890" s="13">
        <v>0</v>
      </c>
      <c r="T890" s="13">
        <v>2280</v>
      </c>
      <c r="U890" s="13">
        <v>1452</v>
      </c>
      <c r="V890" s="13">
        <v>0</v>
      </c>
      <c r="W890" s="37">
        <v>2777</v>
      </c>
      <c r="X890" s="19"/>
      <c r="AG890" s="16"/>
    </row>
    <row r="891" spans="2:33">
      <c r="B891" s="19"/>
      <c r="P891" s="16"/>
      <c r="Q891" s="36" t="s">
        <v>44</v>
      </c>
      <c r="R891" s="13">
        <v>0</v>
      </c>
      <c r="S891" s="13">
        <v>0</v>
      </c>
      <c r="T891" s="13">
        <v>0</v>
      </c>
      <c r="U891" s="13">
        <v>2168</v>
      </c>
      <c r="V891" s="13">
        <v>1391</v>
      </c>
      <c r="W891" s="37">
        <v>2549</v>
      </c>
      <c r="X891" s="19"/>
      <c r="AG891" s="16"/>
    </row>
    <row r="892" spans="2:33">
      <c r="B892" s="19"/>
      <c r="P892" s="16"/>
      <c r="Q892" s="36" t="s">
        <v>45</v>
      </c>
      <c r="R892" s="13">
        <v>0</v>
      </c>
      <c r="S892" s="13">
        <v>1605</v>
      </c>
      <c r="T892" s="13">
        <v>1030</v>
      </c>
      <c r="U892" s="13">
        <v>0</v>
      </c>
      <c r="V892" s="13">
        <v>0</v>
      </c>
      <c r="W892" s="37">
        <v>2239</v>
      </c>
      <c r="X892" s="19"/>
      <c r="AG892" s="16"/>
    </row>
    <row r="893" spans="2:33" ht="15" thickBot="1">
      <c r="B893" s="20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7"/>
      <c r="Q893" s="36" t="s">
        <v>46</v>
      </c>
      <c r="R893" s="13">
        <v>1913</v>
      </c>
      <c r="S893" s="13">
        <v>1064</v>
      </c>
      <c r="T893" s="13">
        <v>0</v>
      </c>
      <c r="U893" s="13">
        <v>0</v>
      </c>
      <c r="V893" s="13">
        <v>0</v>
      </c>
      <c r="W893" s="37">
        <v>2422</v>
      </c>
      <c r="X893" s="20"/>
      <c r="Y893" s="15"/>
      <c r="Z893" s="15"/>
      <c r="AA893" s="15"/>
      <c r="AB893" s="15"/>
      <c r="AC893" s="15"/>
      <c r="AD893" s="15"/>
      <c r="AE893" s="15"/>
      <c r="AF893" s="15"/>
      <c r="AG893" s="17"/>
    </row>
    <row r="894" spans="2:33" ht="15" thickBot="1"/>
    <row r="895" spans="2:33" ht="15" thickBot="1">
      <c r="B895" s="53" t="s">
        <v>2191</v>
      </c>
      <c r="C895" s="26" t="s">
        <v>465</v>
      </c>
      <c r="D895" s="26" t="s">
        <v>471</v>
      </c>
      <c r="E895" s="26" t="s">
        <v>472</v>
      </c>
      <c r="F895" s="26" t="s">
        <v>473</v>
      </c>
      <c r="G895" s="26" t="s">
        <v>98</v>
      </c>
      <c r="H895" s="27" t="s">
        <v>99</v>
      </c>
      <c r="I895" s="26" t="s">
        <v>474</v>
      </c>
      <c r="J895" s="27" t="s">
        <v>87</v>
      </c>
      <c r="K895" s="29">
        <v>35</v>
      </c>
      <c r="L895" s="29">
        <v>35</v>
      </c>
      <c r="M895" s="29">
        <v>35</v>
      </c>
      <c r="N895" s="29">
        <v>35</v>
      </c>
      <c r="O895" s="29">
        <v>35</v>
      </c>
      <c r="P895" s="40">
        <v>82</v>
      </c>
      <c r="Q895" s="1" t="s">
        <v>35</v>
      </c>
      <c r="R895" s="2">
        <v>1517</v>
      </c>
      <c r="S895" s="2">
        <v>767</v>
      </c>
      <c r="T895" s="2">
        <v>0</v>
      </c>
      <c r="U895" s="2">
        <v>0</v>
      </c>
      <c r="V895" s="2">
        <v>0</v>
      </c>
      <c r="W895" s="2">
        <v>1375</v>
      </c>
      <c r="X895" s="43">
        <f>SUM(R895:W908)</f>
        <v>37319.329956054688</v>
      </c>
      <c r="Y895" s="10">
        <v>46204</v>
      </c>
      <c r="Z895" s="11">
        <v>0.21915174234314722</v>
      </c>
      <c r="AA895" s="11">
        <v>0.18274192037163289</v>
      </c>
      <c r="AB895" s="11">
        <v>0.14726787607165501</v>
      </c>
      <c r="AC895" s="11">
        <v>0.1287497680516306</v>
      </c>
      <c r="AD895" s="11">
        <v>0.11447820346270936</v>
      </c>
      <c r="AE895" s="11">
        <v>0.13149780089791482</v>
      </c>
      <c r="AF895" s="11">
        <v>0.3</v>
      </c>
      <c r="AG895" s="11">
        <v>0.23899999999999999</v>
      </c>
    </row>
    <row r="896" spans="2:33"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35"/>
      <c r="Q896" s="36" t="s">
        <v>36</v>
      </c>
      <c r="R896" s="13">
        <v>1199</v>
      </c>
      <c r="S896" s="13">
        <v>602</v>
      </c>
      <c r="T896" s="13">
        <v>0</v>
      </c>
      <c r="U896" s="13">
        <v>0</v>
      </c>
      <c r="V896" s="13">
        <v>0</v>
      </c>
      <c r="W896" s="37">
        <v>1163</v>
      </c>
      <c r="X896" s="18"/>
      <c r="Y896" s="14"/>
      <c r="Z896" s="14"/>
      <c r="AA896" s="14"/>
      <c r="AB896" s="14"/>
      <c r="AC896" s="14"/>
      <c r="AD896" s="14"/>
      <c r="AE896" s="14"/>
      <c r="AF896" s="14"/>
      <c r="AG896" s="35"/>
    </row>
    <row r="897" spans="2:33">
      <c r="B897" s="19"/>
      <c r="P897" s="16"/>
      <c r="Q897" s="36" t="s">
        <v>37</v>
      </c>
      <c r="R897" s="13">
        <v>0</v>
      </c>
      <c r="S897" s="13">
        <v>1228</v>
      </c>
      <c r="T897" s="13">
        <v>598</v>
      </c>
      <c r="U897" s="13">
        <v>0</v>
      </c>
      <c r="V897" s="13">
        <v>0</v>
      </c>
      <c r="W897" s="37">
        <v>1314</v>
      </c>
      <c r="X897" s="19"/>
      <c r="AG897" s="16"/>
    </row>
    <row r="898" spans="2:33">
      <c r="B898" s="19"/>
      <c r="P898" s="16"/>
      <c r="Q898" s="36" t="s">
        <v>38</v>
      </c>
      <c r="R898" s="13">
        <v>0</v>
      </c>
      <c r="S898" s="13">
        <v>0</v>
      </c>
      <c r="T898" s="13">
        <v>0</v>
      </c>
      <c r="U898" s="13">
        <v>923</v>
      </c>
      <c r="V898" s="13">
        <v>522</v>
      </c>
      <c r="W898" s="37">
        <v>1198.3299560546875</v>
      </c>
      <c r="X898" s="19"/>
      <c r="AG898" s="16"/>
    </row>
    <row r="899" spans="2:33">
      <c r="B899" s="19"/>
      <c r="P899" s="16"/>
      <c r="Q899" s="36" t="s">
        <v>39</v>
      </c>
      <c r="R899" s="13">
        <v>0</v>
      </c>
      <c r="S899" s="13">
        <v>0</v>
      </c>
      <c r="T899" s="13">
        <v>0</v>
      </c>
      <c r="U899" s="13">
        <v>899</v>
      </c>
      <c r="V899" s="13">
        <v>487</v>
      </c>
      <c r="W899" s="37">
        <v>1174</v>
      </c>
      <c r="X899" s="19"/>
      <c r="AG899" s="16"/>
    </row>
    <row r="900" spans="2:33">
      <c r="B900" s="19"/>
      <c r="P900" s="16"/>
      <c r="Q900" s="36" t="s">
        <v>40</v>
      </c>
      <c r="R900" s="13">
        <v>0</v>
      </c>
      <c r="S900" s="13">
        <v>0</v>
      </c>
      <c r="T900" s="13">
        <v>1388</v>
      </c>
      <c r="U900" s="13">
        <v>662</v>
      </c>
      <c r="V900" s="13">
        <v>0</v>
      </c>
      <c r="W900" s="37">
        <v>1052</v>
      </c>
      <c r="X900" s="19"/>
      <c r="AG900" s="16"/>
    </row>
    <row r="901" spans="2:33">
      <c r="B901" s="19"/>
      <c r="P901" s="16"/>
      <c r="Q901" s="36" t="s">
        <v>438</v>
      </c>
      <c r="R901" s="13">
        <v>744</v>
      </c>
      <c r="S901" s="13">
        <v>362</v>
      </c>
      <c r="T901" s="13">
        <v>0</v>
      </c>
      <c r="U901" s="13">
        <v>0</v>
      </c>
      <c r="V901" s="13">
        <v>0</v>
      </c>
      <c r="W901" s="37">
        <v>394</v>
      </c>
      <c r="X901" s="19"/>
      <c r="AG901" s="16"/>
    </row>
    <row r="902" spans="2:33">
      <c r="B902" s="19"/>
      <c r="P902" s="16"/>
      <c r="Q902" s="36" t="s">
        <v>447</v>
      </c>
      <c r="R902" s="13">
        <v>1046</v>
      </c>
      <c r="S902" s="13">
        <v>534</v>
      </c>
      <c r="T902" s="13">
        <v>0</v>
      </c>
      <c r="U902" s="13">
        <v>0</v>
      </c>
      <c r="V902" s="13">
        <v>0</v>
      </c>
      <c r="W902" s="37">
        <v>744</v>
      </c>
      <c r="X902" s="19"/>
      <c r="AG902" s="16"/>
    </row>
    <row r="903" spans="2:33">
      <c r="B903" s="19"/>
      <c r="P903" s="16"/>
      <c r="Q903" s="36" t="s">
        <v>42</v>
      </c>
      <c r="R903" s="13">
        <v>0</v>
      </c>
      <c r="S903" s="13">
        <v>0</v>
      </c>
      <c r="T903" s="13">
        <v>1337</v>
      </c>
      <c r="U903" s="13">
        <v>698</v>
      </c>
      <c r="V903" s="13">
        <v>0</v>
      </c>
      <c r="W903" s="37">
        <v>1310</v>
      </c>
      <c r="X903" s="19"/>
      <c r="AG903" s="16"/>
    </row>
    <row r="904" spans="2:33">
      <c r="B904" s="19"/>
      <c r="P904" s="16"/>
      <c r="Q904" s="36" t="s">
        <v>43</v>
      </c>
      <c r="R904" s="13">
        <v>0</v>
      </c>
      <c r="S904" s="13">
        <v>0</v>
      </c>
      <c r="T904" s="13">
        <v>1217</v>
      </c>
      <c r="U904" s="13">
        <v>619</v>
      </c>
      <c r="V904" s="13">
        <v>0</v>
      </c>
      <c r="W904" s="37">
        <v>1122</v>
      </c>
      <c r="X904" s="19"/>
      <c r="AG904" s="16"/>
    </row>
    <row r="905" spans="2:33">
      <c r="B905" s="19"/>
      <c r="P905" s="16"/>
      <c r="Q905" s="36" t="s">
        <v>475</v>
      </c>
      <c r="R905" s="13">
        <v>0</v>
      </c>
      <c r="S905" s="13">
        <v>0</v>
      </c>
      <c r="T905" s="13">
        <v>0</v>
      </c>
      <c r="U905" s="13">
        <v>1020</v>
      </c>
      <c r="V905" s="13">
        <v>569</v>
      </c>
      <c r="W905" s="37">
        <v>1058</v>
      </c>
      <c r="X905" s="19"/>
      <c r="AG905" s="16"/>
    </row>
    <row r="906" spans="2:33">
      <c r="B906" s="19"/>
      <c r="P906" s="16"/>
      <c r="Q906" s="36" t="s">
        <v>476</v>
      </c>
      <c r="R906" s="13">
        <v>0</v>
      </c>
      <c r="S906" s="13">
        <v>0</v>
      </c>
      <c r="T906" s="13">
        <v>0</v>
      </c>
      <c r="U906" s="13">
        <v>29</v>
      </c>
      <c r="V906" s="13">
        <v>13</v>
      </c>
      <c r="W906" s="37">
        <v>0</v>
      </c>
      <c r="X906" s="19"/>
      <c r="AG906" s="16"/>
    </row>
    <row r="907" spans="2:33">
      <c r="B907" s="19"/>
      <c r="P907" s="16"/>
      <c r="Q907" s="36" t="s">
        <v>45</v>
      </c>
      <c r="R907" s="13">
        <v>0</v>
      </c>
      <c r="S907" s="13">
        <v>1069</v>
      </c>
      <c r="T907" s="13">
        <v>590</v>
      </c>
      <c r="U907" s="13">
        <v>0</v>
      </c>
      <c r="V907" s="13">
        <v>0</v>
      </c>
      <c r="W907" s="37">
        <v>1220</v>
      </c>
      <c r="X907" s="19"/>
      <c r="AG907" s="16"/>
    </row>
    <row r="908" spans="2:33" ht="15" thickBot="1">
      <c r="B908" s="20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7"/>
      <c r="Q908" s="36" t="s">
        <v>46</v>
      </c>
      <c r="R908" s="13">
        <v>1423</v>
      </c>
      <c r="S908" s="13">
        <v>759</v>
      </c>
      <c r="T908" s="13">
        <v>0</v>
      </c>
      <c r="U908" s="13">
        <v>0</v>
      </c>
      <c r="V908" s="13">
        <v>0</v>
      </c>
      <c r="W908" s="37">
        <v>1374</v>
      </c>
      <c r="X908" s="20"/>
      <c r="Y908" s="15"/>
      <c r="Z908" s="15"/>
      <c r="AA908" s="15"/>
      <c r="AB908" s="15"/>
      <c r="AC908" s="15"/>
      <c r="AD908" s="15"/>
      <c r="AE908" s="15"/>
      <c r="AF908" s="15"/>
      <c r="AG908" s="17"/>
    </row>
    <row r="909" spans="2:33" ht="15" thickBot="1"/>
    <row r="910" spans="2:33" ht="15" thickBot="1">
      <c r="B910" s="53" t="s">
        <v>2191</v>
      </c>
      <c r="C910" s="26" t="s">
        <v>465</v>
      </c>
      <c r="D910" s="26" t="s">
        <v>477</v>
      </c>
      <c r="E910" s="26" t="s">
        <v>478</v>
      </c>
      <c r="F910" s="26" t="s">
        <v>479</v>
      </c>
      <c r="G910" s="26" t="s">
        <v>480</v>
      </c>
      <c r="H910" s="27" t="s">
        <v>481</v>
      </c>
      <c r="I910" s="26" t="s">
        <v>482</v>
      </c>
      <c r="J910" s="27" t="s">
        <v>87</v>
      </c>
      <c r="K910" s="29">
        <v>23</v>
      </c>
      <c r="L910" s="29">
        <v>23</v>
      </c>
      <c r="M910" s="29">
        <v>23</v>
      </c>
      <c r="N910" s="29">
        <v>23</v>
      </c>
      <c r="O910" s="29">
        <v>23</v>
      </c>
      <c r="P910" s="40">
        <v>23</v>
      </c>
      <c r="Q910" s="1" t="s">
        <v>35</v>
      </c>
      <c r="R910" s="2">
        <v>1512</v>
      </c>
      <c r="S910" s="2">
        <v>696</v>
      </c>
      <c r="T910" s="2">
        <v>0</v>
      </c>
      <c r="U910" s="2">
        <v>0</v>
      </c>
      <c r="V910" s="2">
        <v>0</v>
      </c>
      <c r="W910" s="2">
        <v>1526</v>
      </c>
      <c r="X910" s="43">
        <f>SUM(R910:W922)</f>
        <v>39139</v>
      </c>
      <c r="Y910" s="10">
        <v>46204</v>
      </c>
      <c r="Z910" s="11">
        <v>0.21915174234314722</v>
      </c>
      <c r="AA910" s="11">
        <v>0.18274192037163289</v>
      </c>
      <c r="AB910" s="11">
        <v>0.14726787607165501</v>
      </c>
      <c r="AC910" s="11">
        <v>0.1287497680516306</v>
      </c>
      <c r="AD910" s="11">
        <v>0.11447820346270936</v>
      </c>
      <c r="AE910" s="11">
        <v>0.13149780089791482</v>
      </c>
      <c r="AF910" s="11">
        <v>0.3</v>
      </c>
      <c r="AG910" s="11">
        <v>0.23899999999999999</v>
      </c>
    </row>
    <row r="911" spans="2:33"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35"/>
      <c r="Q911" s="36" t="s">
        <v>36</v>
      </c>
      <c r="R911" s="13">
        <v>1316</v>
      </c>
      <c r="S911" s="13">
        <v>667</v>
      </c>
      <c r="T911" s="13">
        <v>0</v>
      </c>
      <c r="U911" s="13">
        <v>0</v>
      </c>
      <c r="V911" s="13">
        <v>0</v>
      </c>
      <c r="W911" s="37">
        <v>1418</v>
      </c>
      <c r="X911" s="18"/>
      <c r="Y911" s="14"/>
      <c r="Z911" s="14"/>
      <c r="AA911" s="14"/>
      <c r="AB911" s="14"/>
      <c r="AC911" s="14"/>
      <c r="AD911" s="14"/>
      <c r="AE911" s="14"/>
      <c r="AF911" s="14"/>
      <c r="AG911" s="35"/>
    </row>
    <row r="912" spans="2:33">
      <c r="B912" s="19"/>
      <c r="P912" s="16"/>
      <c r="Q912" s="36" t="s">
        <v>37</v>
      </c>
      <c r="R912" s="13">
        <v>0</v>
      </c>
      <c r="S912" s="13">
        <v>1307</v>
      </c>
      <c r="T912" s="13">
        <v>658</v>
      </c>
      <c r="U912" s="13">
        <v>0</v>
      </c>
      <c r="V912" s="13">
        <v>0</v>
      </c>
      <c r="W912" s="37">
        <v>1552</v>
      </c>
      <c r="X912" s="19"/>
      <c r="AG912" s="16"/>
    </row>
    <row r="913" spans="2:33">
      <c r="B913" s="19"/>
      <c r="P913" s="16"/>
      <c r="Q913" s="36" t="s">
        <v>38</v>
      </c>
      <c r="R913" s="13">
        <v>0</v>
      </c>
      <c r="S913" s="13">
        <v>0</v>
      </c>
      <c r="T913" s="13">
        <v>0</v>
      </c>
      <c r="U913" s="13">
        <v>1068</v>
      </c>
      <c r="V913" s="13">
        <v>553</v>
      </c>
      <c r="W913" s="37">
        <v>1373</v>
      </c>
      <c r="X913" s="19"/>
      <c r="AG913" s="16"/>
    </row>
    <row r="914" spans="2:33">
      <c r="B914" s="19"/>
      <c r="P914" s="16"/>
      <c r="Q914" s="36" t="s">
        <v>39</v>
      </c>
      <c r="R914" s="13">
        <v>0</v>
      </c>
      <c r="S914" s="13">
        <v>0</v>
      </c>
      <c r="T914" s="13">
        <v>0</v>
      </c>
      <c r="U914" s="13">
        <v>944</v>
      </c>
      <c r="V914" s="13">
        <v>505</v>
      </c>
      <c r="W914" s="37">
        <v>1531</v>
      </c>
      <c r="X914" s="19"/>
      <c r="AG914" s="16"/>
    </row>
    <row r="915" spans="2:33">
      <c r="B915" s="19"/>
      <c r="P915" s="16"/>
      <c r="Q915" s="36" t="s">
        <v>40</v>
      </c>
      <c r="R915" s="13">
        <v>0</v>
      </c>
      <c r="S915" s="13">
        <v>0</v>
      </c>
      <c r="T915" s="13">
        <v>1018</v>
      </c>
      <c r="U915" s="13">
        <v>553</v>
      </c>
      <c r="V915" s="13">
        <v>0</v>
      </c>
      <c r="W915" s="37">
        <v>1478</v>
      </c>
      <c r="X915" s="19"/>
      <c r="AG915" s="16"/>
    </row>
    <row r="916" spans="2:33">
      <c r="B916" s="19"/>
      <c r="P916" s="16"/>
      <c r="Q916" s="36" t="s">
        <v>438</v>
      </c>
      <c r="R916" s="13">
        <v>485</v>
      </c>
      <c r="S916" s="13">
        <v>235</v>
      </c>
      <c r="T916" s="13">
        <v>0</v>
      </c>
      <c r="U916" s="13">
        <v>0</v>
      </c>
      <c r="V916" s="13">
        <v>0</v>
      </c>
      <c r="W916" s="37">
        <v>578</v>
      </c>
      <c r="X916" s="19"/>
      <c r="AG916" s="16"/>
    </row>
    <row r="917" spans="2:33">
      <c r="B917" s="19"/>
      <c r="P917" s="16"/>
      <c r="Q917" s="36" t="s">
        <v>447</v>
      </c>
      <c r="R917" s="13">
        <v>740</v>
      </c>
      <c r="S917" s="13">
        <v>389</v>
      </c>
      <c r="T917" s="13">
        <v>0</v>
      </c>
      <c r="U917" s="13">
        <v>0</v>
      </c>
      <c r="V917" s="13">
        <v>0</v>
      </c>
      <c r="W917" s="37">
        <v>1023</v>
      </c>
      <c r="X917" s="19"/>
      <c r="AG917" s="16"/>
    </row>
    <row r="918" spans="2:33">
      <c r="B918" s="19"/>
      <c r="P918" s="16"/>
      <c r="Q918" s="36" t="s">
        <v>42</v>
      </c>
      <c r="R918" s="13">
        <v>0</v>
      </c>
      <c r="S918" s="13">
        <v>0</v>
      </c>
      <c r="T918" s="13">
        <v>1088</v>
      </c>
      <c r="U918" s="13">
        <v>563</v>
      </c>
      <c r="V918" s="13">
        <v>0</v>
      </c>
      <c r="W918" s="37">
        <v>1452</v>
      </c>
      <c r="X918" s="19"/>
      <c r="AG918" s="16"/>
    </row>
    <row r="919" spans="2:33">
      <c r="B919" s="19"/>
      <c r="P919" s="16"/>
      <c r="Q919" s="36" t="s">
        <v>43</v>
      </c>
      <c r="R919" s="13">
        <v>0</v>
      </c>
      <c r="S919" s="13">
        <v>0</v>
      </c>
      <c r="T919" s="13">
        <v>999</v>
      </c>
      <c r="U919" s="13">
        <v>593</v>
      </c>
      <c r="V919" s="13">
        <v>0</v>
      </c>
      <c r="W919" s="37">
        <v>1356</v>
      </c>
      <c r="X919" s="19"/>
      <c r="AG919" s="16"/>
    </row>
    <row r="920" spans="2:33">
      <c r="B920" s="19"/>
      <c r="P920" s="16"/>
      <c r="Q920" s="36" t="s">
        <v>44</v>
      </c>
      <c r="R920" s="13">
        <v>0</v>
      </c>
      <c r="S920" s="13">
        <v>0</v>
      </c>
      <c r="T920" s="13">
        <v>0</v>
      </c>
      <c r="U920" s="13">
        <v>1012</v>
      </c>
      <c r="V920" s="13">
        <v>541</v>
      </c>
      <c r="W920" s="37">
        <v>1443</v>
      </c>
      <c r="X920" s="19"/>
      <c r="AG920" s="16"/>
    </row>
    <row r="921" spans="2:33">
      <c r="B921" s="19"/>
      <c r="P921" s="16"/>
      <c r="Q921" s="36" t="s">
        <v>45</v>
      </c>
      <c r="R921" s="13">
        <v>0</v>
      </c>
      <c r="S921" s="13">
        <v>1088</v>
      </c>
      <c r="T921" s="13">
        <v>577</v>
      </c>
      <c r="U921" s="13">
        <v>0</v>
      </c>
      <c r="V921" s="13">
        <v>0</v>
      </c>
      <c r="W921" s="37">
        <v>1480</v>
      </c>
      <c r="X921" s="19"/>
      <c r="AG921" s="16"/>
    </row>
    <row r="922" spans="2:33" ht="15" thickBot="1">
      <c r="B922" s="20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7"/>
      <c r="Q922" s="36" t="s">
        <v>46</v>
      </c>
      <c r="R922" s="13">
        <v>1512</v>
      </c>
      <c r="S922" s="13">
        <v>708</v>
      </c>
      <c r="T922" s="13">
        <v>0</v>
      </c>
      <c r="U922" s="13">
        <v>0</v>
      </c>
      <c r="V922" s="13">
        <v>0</v>
      </c>
      <c r="W922" s="37">
        <v>1602</v>
      </c>
      <c r="X922" s="20"/>
      <c r="Y922" s="15"/>
      <c r="Z922" s="15"/>
      <c r="AA922" s="15"/>
      <c r="AB922" s="15"/>
      <c r="AC922" s="15"/>
      <c r="AD922" s="15"/>
      <c r="AE922" s="15"/>
      <c r="AF922" s="15"/>
      <c r="AG922" s="17"/>
    </row>
    <row r="923" spans="2:33" ht="15" thickBot="1"/>
    <row r="924" spans="2:33" ht="15" thickBot="1">
      <c r="B924" s="53" t="s">
        <v>2191</v>
      </c>
      <c r="C924" s="26" t="s">
        <v>483</v>
      </c>
      <c r="D924" s="26" t="s">
        <v>484</v>
      </c>
      <c r="E924" s="26" t="s">
        <v>485</v>
      </c>
      <c r="F924" s="26" t="s">
        <v>486</v>
      </c>
      <c r="G924" s="26" t="s">
        <v>81</v>
      </c>
      <c r="H924" s="27" t="s">
        <v>81</v>
      </c>
      <c r="I924" s="26" t="s">
        <v>487</v>
      </c>
      <c r="J924" s="27" t="s">
        <v>87</v>
      </c>
      <c r="K924" s="29">
        <v>15</v>
      </c>
      <c r="L924" s="29">
        <v>20</v>
      </c>
      <c r="M924" s="29">
        <v>20</v>
      </c>
      <c r="N924" s="29">
        <v>20</v>
      </c>
      <c r="O924" s="29">
        <v>20</v>
      </c>
      <c r="P924" s="40">
        <v>24.249000549316399</v>
      </c>
      <c r="Q924" s="1" t="s">
        <v>35</v>
      </c>
      <c r="R924" s="2">
        <v>846</v>
      </c>
      <c r="S924" s="2">
        <v>245</v>
      </c>
      <c r="T924" s="2">
        <v>0</v>
      </c>
      <c r="U924" s="2">
        <v>0</v>
      </c>
      <c r="V924" s="2">
        <v>0</v>
      </c>
      <c r="W924" s="2">
        <v>960</v>
      </c>
      <c r="X924" s="43">
        <f>SUM(R924:W936)</f>
        <v>20180</v>
      </c>
      <c r="Y924" s="10">
        <v>46204</v>
      </c>
      <c r="Z924" s="11">
        <v>0.21915174234314722</v>
      </c>
      <c r="AA924" s="11">
        <v>0.18274192037163289</v>
      </c>
      <c r="AB924" s="11">
        <v>0.14726787607165501</v>
      </c>
      <c r="AC924" s="11">
        <v>0.1287497680516306</v>
      </c>
      <c r="AD924" s="11">
        <v>0.11447820346270936</v>
      </c>
      <c r="AE924" s="11">
        <v>0.13149780089791482</v>
      </c>
      <c r="AF924" s="11">
        <v>0.3</v>
      </c>
      <c r="AG924" s="11">
        <v>0.23899999999999999</v>
      </c>
    </row>
    <row r="925" spans="2:33"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35"/>
      <c r="Q925" s="36" t="s">
        <v>36</v>
      </c>
      <c r="R925" s="13">
        <v>870</v>
      </c>
      <c r="S925" s="13">
        <v>261</v>
      </c>
      <c r="T925" s="13">
        <v>0</v>
      </c>
      <c r="U925" s="13">
        <v>0</v>
      </c>
      <c r="V925" s="13">
        <v>0</v>
      </c>
      <c r="W925" s="37">
        <v>875</v>
      </c>
      <c r="X925" s="18"/>
      <c r="Y925" s="14"/>
      <c r="Z925" s="14"/>
      <c r="AA925" s="14"/>
      <c r="AB925" s="14"/>
      <c r="AC925" s="14"/>
      <c r="AD925" s="14"/>
      <c r="AE925" s="14"/>
      <c r="AF925" s="14"/>
      <c r="AG925" s="35"/>
    </row>
    <row r="926" spans="2:33">
      <c r="B926" s="19"/>
      <c r="P926" s="16"/>
      <c r="Q926" s="36" t="s">
        <v>37</v>
      </c>
      <c r="R926" s="13">
        <v>0</v>
      </c>
      <c r="S926" s="13">
        <v>876</v>
      </c>
      <c r="T926" s="13">
        <v>247</v>
      </c>
      <c r="U926" s="13">
        <v>0</v>
      </c>
      <c r="V926" s="13">
        <v>0</v>
      </c>
      <c r="W926" s="37">
        <v>972</v>
      </c>
      <c r="X926" s="19"/>
      <c r="AG926" s="16"/>
    </row>
    <row r="927" spans="2:33">
      <c r="B927" s="19"/>
      <c r="P927" s="16"/>
      <c r="Q927" s="36" t="s">
        <v>38</v>
      </c>
      <c r="R927" s="13">
        <v>0</v>
      </c>
      <c r="S927" s="13">
        <v>0</v>
      </c>
      <c r="T927" s="13">
        <v>0</v>
      </c>
      <c r="U927" s="13">
        <v>620</v>
      </c>
      <c r="V927" s="13">
        <v>214</v>
      </c>
      <c r="W927" s="37">
        <v>780</v>
      </c>
      <c r="X927" s="19"/>
      <c r="AG927" s="16"/>
    </row>
    <row r="928" spans="2:33">
      <c r="B928" s="19"/>
      <c r="P928" s="16"/>
      <c r="Q928" s="36" t="s">
        <v>39</v>
      </c>
      <c r="R928" s="13">
        <v>0</v>
      </c>
      <c r="S928" s="13">
        <v>0</v>
      </c>
      <c r="T928" s="13">
        <v>0</v>
      </c>
      <c r="U928" s="13">
        <v>449</v>
      </c>
      <c r="V928" s="13">
        <v>197</v>
      </c>
      <c r="W928" s="37">
        <v>824</v>
      </c>
      <c r="X928" s="19"/>
      <c r="AG928" s="16"/>
    </row>
    <row r="929" spans="2:33">
      <c r="B929" s="19"/>
      <c r="P929" s="16"/>
      <c r="Q929" s="36" t="s">
        <v>40</v>
      </c>
      <c r="R929" s="13">
        <v>0</v>
      </c>
      <c r="S929" s="13">
        <v>0</v>
      </c>
      <c r="T929" s="13">
        <v>402</v>
      </c>
      <c r="U929" s="13">
        <v>178</v>
      </c>
      <c r="V929" s="13">
        <v>0</v>
      </c>
      <c r="W929" s="37">
        <v>791</v>
      </c>
      <c r="X929" s="19"/>
      <c r="AG929" s="16"/>
    </row>
    <row r="930" spans="2:33">
      <c r="B930" s="19"/>
      <c r="P930" s="16"/>
      <c r="Q930" s="36" t="s">
        <v>438</v>
      </c>
      <c r="R930" s="13">
        <v>156</v>
      </c>
      <c r="S930" s="13">
        <v>66</v>
      </c>
      <c r="T930" s="13">
        <v>0</v>
      </c>
      <c r="U930" s="13">
        <v>0</v>
      </c>
      <c r="V930" s="13">
        <v>0</v>
      </c>
      <c r="W930" s="37">
        <v>245</v>
      </c>
      <c r="X930" s="19"/>
      <c r="AG930" s="16"/>
    </row>
    <row r="931" spans="2:33">
      <c r="B931" s="19"/>
      <c r="P931" s="16"/>
      <c r="Q931" s="36" t="s">
        <v>447</v>
      </c>
      <c r="R931" s="13">
        <v>252</v>
      </c>
      <c r="S931" s="13">
        <v>129</v>
      </c>
      <c r="T931" s="13">
        <v>0</v>
      </c>
      <c r="U931" s="13">
        <v>0</v>
      </c>
      <c r="V931" s="13">
        <v>0</v>
      </c>
      <c r="W931" s="37">
        <v>540</v>
      </c>
      <c r="X931" s="19"/>
      <c r="AG931" s="16"/>
    </row>
    <row r="932" spans="2:33">
      <c r="B932" s="19"/>
      <c r="P932" s="16"/>
      <c r="Q932" s="36" t="s">
        <v>42</v>
      </c>
      <c r="R932" s="13">
        <v>0</v>
      </c>
      <c r="S932" s="13">
        <v>0</v>
      </c>
      <c r="T932" s="13">
        <v>308</v>
      </c>
      <c r="U932" s="13">
        <v>177</v>
      </c>
      <c r="V932" s="13">
        <v>0</v>
      </c>
      <c r="W932" s="37">
        <v>834</v>
      </c>
      <c r="X932" s="19"/>
      <c r="AG932" s="16"/>
    </row>
    <row r="933" spans="2:33">
      <c r="B933" s="19"/>
      <c r="P933" s="16"/>
      <c r="Q933" s="36" t="s">
        <v>43</v>
      </c>
      <c r="R933" s="13">
        <v>0</v>
      </c>
      <c r="S933" s="13">
        <v>0</v>
      </c>
      <c r="T933" s="13">
        <v>442</v>
      </c>
      <c r="U933" s="13">
        <v>189</v>
      </c>
      <c r="V933" s="13">
        <v>0</v>
      </c>
      <c r="W933" s="37">
        <v>784</v>
      </c>
      <c r="X933" s="19"/>
      <c r="AG933" s="16"/>
    </row>
    <row r="934" spans="2:33">
      <c r="B934" s="19"/>
      <c r="P934" s="16"/>
      <c r="Q934" s="36" t="s">
        <v>44</v>
      </c>
      <c r="R934" s="13">
        <v>0</v>
      </c>
      <c r="S934" s="13">
        <v>0</v>
      </c>
      <c r="T934" s="13">
        <v>0</v>
      </c>
      <c r="U934" s="13">
        <v>612</v>
      </c>
      <c r="V934" s="13">
        <v>248</v>
      </c>
      <c r="W934" s="37">
        <v>808</v>
      </c>
      <c r="X934" s="19"/>
      <c r="AG934" s="16"/>
    </row>
    <row r="935" spans="2:33">
      <c r="B935" s="19"/>
      <c r="P935" s="16"/>
      <c r="Q935" s="36" t="s">
        <v>45</v>
      </c>
      <c r="R935" s="13">
        <v>0</v>
      </c>
      <c r="S935" s="13">
        <v>801</v>
      </c>
      <c r="T935" s="13">
        <v>230</v>
      </c>
      <c r="U935" s="13">
        <v>0</v>
      </c>
      <c r="V935" s="13">
        <v>0</v>
      </c>
      <c r="W935" s="37">
        <v>790</v>
      </c>
      <c r="X935" s="19"/>
      <c r="AG935" s="16"/>
    </row>
    <row r="936" spans="2:33" ht="15" thickBot="1">
      <c r="B936" s="20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7"/>
      <c r="Q936" s="36" t="s">
        <v>46</v>
      </c>
      <c r="R936" s="13">
        <v>830</v>
      </c>
      <c r="S936" s="13">
        <v>270</v>
      </c>
      <c r="T936" s="13">
        <v>0</v>
      </c>
      <c r="U936" s="13">
        <v>0</v>
      </c>
      <c r="V936" s="13">
        <v>0</v>
      </c>
      <c r="W936" s="37">
        <v>862</v>
      </c>
      <c r="X936" s="20"/>
      <c r="Y936" s="15"/>
      <c r="Z936" s="15"/>
      <c r="AA936" s="15"/>
      <c r="AB936" s="15"/>
      <c r="AC936" s="15"/>
      <c r="AD936" s="15"/>
      <c r="AE936" s="15"/>
      <c r="AF936" s="15"/>
      <c r="AG936" s="17"/>
    </row>
    <row r="937" spans="2:33" ht="15" thickBot="1"/>
    <row r="938" spans="2:33" ht="15" thickBot="1">
      <c r="B938" s="53" t="s">
        <v>2191</v>
      </c>
      <c r="C938" s="26" t="s">
        <v>488</v>
      </c>
      <c r="D938" s="26" t="s">
        <v>489</v>
      </c>
      <c r="E938" s="26" t="s">
        <v>490</v>
      </c>
      <c r="F938" s="26" t="s">
        <v>491</v>
      </c>
      <c r="G938" s="26" t="s">
        <v>72</v>
      </c>
      <c r="H938" s="27" t="s">
        <v>72</v>
      </c>
      <c r="I938" s="26" t="s">
        <v>492</v>
      </c>
      <c r="J938" s="27" t="s">
        <v>87</v>
      </c>
      <c r="K938" s="29">
        <v>10</v>
      </c>
      <c r="L938" s="29">
        <v>14</v>
      </c>
      <c r="M938" s="29">
        <v>14</v>
      </c>
      <c r="N938" s="29">
        <v>14</v>
      </c>
      <c r="O938" s="29">
        <v>14</v>
      </c>
      <c r="P938" s="40">
        <v>20</v>
      </c>
      <c r="Q938" s="1" t="s">
        <v>35</v>
      </c>
      <c r="R938" s="2">
        <v>391</v>
      </c>
      <c r="S938" s="2">
        <v>208</v>
      </c>
      <c r="T938" s="2">
        <v>0</v>
      </c>
      <c r="U938" s="2">
        <v>0</v>
      </c>
      <c r="V938" s="2">
        <v>0</v>
      </c>
      <c r="W938" s="2">
        <v>951</v>
      </c>
      <c r="X938" s="43">
        <f>SUM(R938:W950)</f>
        <v>15250</v>
      </c>
      <c r="Y938" s="10">
        <v>46204</v>
      </c>
      <c r="Z938" s="11">
        <v>0.21915174234314722</v>
      </c>
      <c r="AA938" s="11">
        <v>0.18274192037163289</v>
      </c>
      <c r="AB938" s="11">
        <v>0.14726787607165501</v>
      </c>
      <c r="AC938" s="11">
        <v>0.1287497680516306</v>
      </c>
      <c r="AD938" s="11">
        <v>0.11447820346270936</v>
      </c>
      <c r="AE938" s="11">
        <v>0.13149780089791482</v>
      </c>
      <c r="AF938" s="11">
        <v>0.3</v>
      </c>
      <c r="AG938" s="11">
        <v>0.23899999999999999</v>
      </c>
    </row>
    <row r="939" spans="2:33"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35"/>
      <c r="Q939" s="36" t="s">
        <v>36</v>
      </c>
      <c r="R939" s="13">
        <v>353</v>
      </c>
      <c r="S939" s="13">
        <v>203</v>
      </c>
      <c r="T939" s="13">
        <v>0</v>
      </c>
      <c r="U939" s="13">
        <v>0</v>
      </c>
      <c r="V939" s="13">
        <v>0</v>
      </c>
      <c r="W939" s="37">
        <v>883</v>
      </c>
      <c r="X939" s="18"/>
      <c r="Y939" s="14"/>
      <c r="Z939" s="14"/>
      <c r="AA939" s="14"/>
      <c r="AB939" s="14"/>
      <c r="AC939" s="14"/>
      <c r="AD939" s="14"/>
      <c r="AE939" s="14"/>
      <c r="AF939" s="14"/>
      <c r="AG939" s="35"/>
    </row>
    <row r="940" spans="2:33">
      <c r="B940" s="19"/>
      <c r="P940" s="16"/>
      <c r="Q940" s="36" t="s">
        <v>37</v>
      </c>
      <c r="R940" s="13">
        <v>0</v>
      </c>
      <c r="S940" s="13">
        <v>331</v>
      </c>
      <c r="T940" s="13">
        <v>200</v>
      </c>
      <c r="U940" s="13">
        <v>0</v>
      </c>
      <c r="V940" s="13">
        <v>0</v>
      </c>
      <c r="W940" s="37">
        <v>870</v>
      </c>
      <c r="X940" s="19"/>
      <c r="AG940" s="16"/>
    </row>
    <row r="941" spans="2:33">
      <c r="B941" s="19"/>
      <c r="P941" s="16"/>
      <c r="Q941" s="36" t="s">
        <v>38</v>
      </c>
      <c r="R941" s="13">
        <v>0</v>
      </c>
      <c r="S941" s="13">
        <v>0</v>
      </c>
      <c r="T941" s="13">
        <v>0</v>
      </c>
      <c r="U941" s="13">
        <v>231</v>
      </c>
      <c r="V941" s="13">
        <v>166</v>
      </c>
      <c r="W941" s="37">
        <v>714</v>
      </c>
      <c r="X941" s="19"/>
      <c r="AG941" s="16"/>
    </row>
    <row r="942" spans="2:33">
      <c r="B942" s="19"/>
      <c r="P942" s="16"/>
      <c r="Q942" s="36" t="s">
        <v>39</v>
      </c>
      <c r="R942" s="13">
        <v>0</v>
      </c>
      <c r="S942" s="13">
        <v>0</v>
      </c>
      <c r="T942" s="13">
        <v>0</v>
      </c>
      <c r="U942" s="13">
        <v>210</v>
      </c>
      <c r="V942" s="13">
        <v>152</v>
      </c>
      <c r="W942" s="37">
        <v>736</v>
      </c>
      <c r="X942" s="19"/>
      <c r="AG942" s="16"/>
    </row>
    <row r="943" spans="2:33">
      <c r="B943" s="19"/>
      <c r="P943" s="16"/>
      <c r="Q943" s="36" t="s">
        <v>40</v>
      </c>
      <c r="R943" s="13">
        <v>0</v>
      </c>
      <c r="S943" s="13">
        <v>0</v>
      </c>
      <c r="T943" s="13">
        <v>227</v>
      </c>
      <c r="U943" s="13">
        <v>162</v>
      </c>
      <c r="V943" s="13">
        <v>0</v>
      </c>
      <c r="W943" s="37">
        <v>793</v>
      </c>
      <c r="X943" s="19"/>
      <c r="AG943" s="16"/>
    </row>
    <row r="944" spans="2:33">
      <c r="B944" s="19"/>
      <c r="P944" s="16"/>
      <c r="Q944" s="36" t="s">
        <v>446</v>
      </c>
      <c r="R944" s="13">
        <v>142</v>
      </c>
      <c r="S944" s="13">
        <v>85</v>
      </c>
      <c r="T944" s="13">
        <v>0</v>
      </c>
      <c r="U944" s="13">
        <v>0</v>
      </c>
      <c r="V944" s="13">
        <v>0</v>
      </c>
      <c r="W944" s="37">
        <v>284</v>
      </c>
      <c r="X944" s="19"/>
      <c r="AG944" s="16"/>
    </row>
    <row r="945" spans="2:33">
      <c r="B945" s="19"/>
      <c r="P945" s="16"/>
      <c r="Q945" s="36" t="s">
        <v>447</v>
      </c>
      <c r="R945" s="13">
        <v>157</v>
      </c>
      <c r="S945" s="13">
        <v>112</v>
      </c>
      <c r="T945" s="13">
        <v>0</v>
      </c>
      <c r="U945" s="13">
        <v>0</v>
      </c>
      <c r="V945" s="13">
        <v>0</v>
      </c>
      <c r="W945" s="37">
        <v>557</v>
      </c>
      <c r="X945" s="19"/>
      <c r="AG945" s="16"/>
    </row>
    <row r="946" spans="2:33">
      <c r="B946" s="19"/>
      <c r="P946" s="16"/>
      <c r="Q946" s="36" t="s">
        <v>42</v>
      </c>
      <c r="R946" s="13">
        <v>0</v>
      </c>
      <c r="S946" s="13">
        <v>0</v>
      </c>
      <c r="T946" s="13">
        <v>217</v>
      </c>
      <c r="U946" s="13">
        <v>164</v>
      </c>
      <c r="V946" s="13">
        <v>0</v>
      </c>
      <c r="W946" s="37">
        <v>876</v>
      </c>
      <c r="X946" s="19"/>
      <c r="AG946" s="16"/>
    </row>
    <row r="947" spans="2:33">
      <c r="B947" s="19"/>
      <c r="P947" s="16"/>
      <c r="Q947" s="36" t="s">
        <v>43</v>
      </c>
      <c r="R947" s="13">
        <v>0</v>
      </c>
      <c r="S947" s="13">
        <v>0</v>
      </c>
      <c r="T947" s="13">
        <v>240</v>
      </c>
      <c r="U947" s="13">
        <v>165</v>
      </c>
      <c r="V947" s="13">
        <v>0</v>
      </c>
      <c r="W947" s="37">
        <v>724</v>
      </c>
      <c r="X947" s="19"/>
      <c r="AG947" s="16"/>
    </row>
    <row r="948" spans="2:33">
      <c r="B948" s="19"/>
      <c r="P948" s="16"/>
      <c r="Q948" s="36" t="s">
        <v>44</v>
      </c>
      <c r="R948" s="13">
        <v>0</v>
      </c>
      <c r="S948" s="13">
        <v>0</v>
      </c>
      <c r="T948" s="13">
        <v>0</v>
      </c>
      <c r="U948" s="13">
        <v>262</v>
      </c>
      <c r="V948" s="13">
        <v>184</v>
      </c>
      <c r="W948" s="37">
        <v>743</v>
      </c>
      <c r="X948" s="19"/>
      <c r="AG948" s="16"/>
    </row>
    <row r="949" spans="2:33">
      <c r="B949" s="19"/>
      <c r="P949" s="16"/>
      <c r="Q949" s="36" t="s">
        <v>45</v>
      </c>
      <c r="R949" s="13">
        <v>0</v>
      </c>
      <c r="S949" s="13">
        <v>313</v>
      </c>
      <c r="T949" s="13">
        <v>184</v>
      </c>
      <c r="U949" s="13">
        <v>0</v>
      </c>
      <c r="V949" s="13">
        <v>0</v>
      </c>
      <c r="W949" s="37">
        <v>715</v>
      </c>
      <c r="X949" s="19"/>
      <c r="AG949" s="16"/>
    </row>
    <row r="950" spans="2:33" ht="15" thickBot="1">
      <c r="B950" s="20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7"/>
      <c r="Q950" s="36" t="s">
        <v>46</v>
      </c>
      <c r="R950" s="13">
        <v>394</v>
      </c>
      <c r="S950" s="13">
        <v>213</v>
      </c>
      <c r="T950" s="13">
        <v>0</v>
      </c>
      <c r="U950" s="13">
        <v>0</v>
      </c>
      <c r="V950" s="13">
        <v>0</v>
      </c>
      <c r="W950" s="37">
        <v>738</v>
      </c>
      <c r="X950" s="20"/>
      <c r="Y950" s="15"/>
      <c r="Z950" s="15"/>
      <c r="AA950" s="15"/>
      <c r="AB950" s="15"/>
      <c r="AC950" s="15"/>
      <c r="AD950" s="15"/>
      <c r="AE950" s="15"/>
      <c r="AF950" s="15"/>
      <c r="AG950" s="17"/>
    </row>
    <row r="951" spans="2:33" ht="15" thickBot="1"/>
    <row r="952" spans="2:33" ht="15" thickBot="1">
      <c r="B952" s="53" t="s">
        <v>2191</v>
      </c>
      <c r="C952" s="26" t="s">
        <v>493</v>
      </c>
      <c r="D952" s="26" t="s">
        <v>494</v>
      </c>
      <c r="E952" s="26" t="s">
        <v>495</v>
      </c>
      <c r="F952" s="26" t="s">
        <v>496</v>
      </c>
      <c r="G952" s="26" t="s">
        <v>497</v>
      </c>
      <c r="H952" s="27" t="s">
        <v>498</v>
      </c>
      <c r="I952" s="26" t="s">
        <v>499</v>
      </c>
      <c r="J952" s="27" t="s">
        <v>87</v>
      </c>
      <c r="K952" s="29">
        <v>40</v>
      </c>
      <c r="L952" s="29">
        <v>50</v>
      </c>
      <c r="M952" s="29">
        <v>50</v>
      </c>
      <c r="N952" s="29">
        <v>50</v>
      </c>
      <c r="O952" s="29">
        <v>50</v>
      </c>
      <c r="P952" s="40">
        <v>50</v>
      </c>
      <c r="Q952" s="1" t="s">
        <v>35</v>
      </c>
      <c r="R952" s="2">
        <v>4145</v>
      </c>
      <c r="S952" s="2">
        <v>2479</v>
      </c>
      <c r="T952" s="2">
        <v>0</v>
      </c>
      <c r="U952" s="2">
        <v>0</v>
      </c>
      <c r="V952" s="2">
        <v>0</v>
      </c>
      <c r="W952" s="2">
        <v>5717</v>
      </c>
      <c r="X952" s="43">
        <f>SUM(R952:W964)</f>
        <v>102013</v>
      </c>
      <c r="Y952" s="10">
        <v>46204</v>
      </c>
      <c r="Z952" s="11">
        <v>0.21915174234314722</v>
      </c>
      <c r="AA952" s="11">
        <v>0.18274192037163289</v>
      </c>
      <c r="AB952" s="11">
        <v>0.14726787607165501</v>
      </c>
      <c r="AC952" s="11">
        <v>0.1287497680516306</v>
      </c>
      <c r="AD952" s="11">
        <v>0.11447820346270936</v>
      </c>
      <c r="AE952" s="11">
        <v>0.13149780089791482</v>
      </c>
      <c r="AF952" s="11">
        <v>0.3</v>
      </c>
      <c r="AG952" s="11">
        <v>0.23899999999999999</v>
      </c>
    </row>
    <row r="953" spans="2:33"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35"/>
      <c r="Q953" s="36" t="s">
        <v>36</v>
      </c>
      <c r="R953" s="13">
        <v>2762</v>
      </c>
      <c r="S953" s="13">
        <v>1835</v>
      </c>
      <c r="T953" s="13">
        <v>0</v>
      </c>
      <c r="U953" s="13">
        <v>0</v>
      </c>
      <c r="V953" s="13">
        <v>0</v>
      </c>
      <c r="W953" s="37">
        <v>4326</v>
      </c>
      <c r="X953" s="18"/>
      <c r="Y953" s="14"/>
      <c r="Z953" s="14"/>
      <c r="AA953" s="14"/>
      <c r="AB953" s="14"/>
      <c r="AC953" s="14"/>
      <c r="AD953" s="14"/>
      <c r="AE953" s="14"/>
      <c r="AF953" s="14"/>
      <c r="AG953" s="35"/>
    </row>
    <row r="954" spans="2:33">
      <c r="B954" s="19"/>
      <c r="P954" s="16"/>
      <c r="Q954" s="36" t="s">
        <v>37</v>
      </c>
      <c r="R954" s="13">
        <v>0</v>
      </c>
      <c r="S954" s="13">
        <v>2661</v>
      </c>
      <c r="T954" s="13">
        <v>1822</v>
      </c>
      <c r="U954" s="13">
        <v>0</v>
      </c>
      <c r="V954" s="13">
        <v>0</v>
      </c>
      <c r="W954" s="37">
        <v>4812</v>
      </c>
      <c r="X954" s="19"/>
      <c r="AG954" s="16"/>
    </row>
    <row r="955" spans="2:33">
      <c r="B955" s="19"/>
      <c r="P955" s="16"/>
      <c r="Q955" s="36" t="s">
        <v>38</v>
      </c>
      <c r="R955" s="13">
        <v>0</v>
      </c>
      <c r="S955" s="13">
        <v>0</v>
      </c>
      <c r="T955" s="13">
        <v>0</v>
      </c>
      <c r="U955" s="13">
        <v>2374</v>
      </c>
      <c r="V955" s="13">
        <v>1628</v>
      </c>
      <c r="W955" s="37">
        <v>3931</v>
      </c>
      <c r="X955" s="19"/>
      <c r="AG955" s="16"/>
    </row>
    <row r="956" spans="2:33">
      <c r="B956" s="19"/>
      <c r="P956" s="16"/>
      <c r="Q956" s="36" t="s">
        <v>39</v>
      </c>
      <c r="R956" s="13">
        <v>0</v>
      </c>
      <c r="S956" s="13">
        <v>0</v>
      </c>
      <c r="T956" s="13">
        <v>0</v>
      </c>
      <c r="U956" s="13">
        <v>2491</v>
      </c>
      <c r="V956" s="13">
        <v>1640</v>
      </c>
      <c r="W956" s="37">
        <v>4365</v>
      </c>
      <c r="X956" s="19"/>
      <c r="AG956" s="16"/>
    </row>
    <row r="957" spans="2:33">
      <c r="B957" s="19"/>
      <c r="P957" s="16"/>
      <c r="Q957" s="36" t="s">
        <v>40</v>
      </c>
      <c r="R957" s="13">
        <v>0</v>
      </c>
      <c r="S957" s="13">
        <v>0</v>
      </c>
      <c r="T957" s="13">
        <v>2017</v>
      </c>
      <c r="U957" s="13">
        <v>1344</v>
      </c>
      <c r="V957" s="13">
        <v>0</v>
      </c>
      <c r="W957" s="37">
        <v>3540</v>
      </c>
      <c r="X957" s="19"/>
      <c r="AG957" s="16"/>
    </row>
    <row r="958" spans="2:33">
      <c r="B958" s="19"/>
      <c r="P958" s="16"/>
      <c r="Q958" s="36" t="s">
        <v>500</v>
      </c>
      <c r="R958" s="13">
        <v>718</v>
      </c>
      <c r="S958" s="13">
        <v>479</v>
      </c>
      <c r="T958" s="13">
        <v>0</v>
      </c>
      <c r="U958" s="13">
        <v>0</v>
      </c>
      <c r="V958" s="13">
        <v>0</v>
      </c>
      <c r="W958" s="37">
        <v>983</v>
      </c>
      <c r="X958" s="19"/>
      <c r="AG958" s="16"/>
    </row>
    <row r="959" spans="2:33">
      <c r="B959" s="19"/>
      <c r="P959" s="16"/>
      <c r="Q959" s="36" t="s">
        <v>501</v>
      </c>
      <c r="R959" s="13">
        <v>1297</v>
      </c>
      <c r="S959" s="13">
        <v>863</v>
      </c>
      <c r="T959" s="13">
        <v>0</v>
      </c>
      <c r="U959" s="13">
        <v>0</v>
      </c>
      <c r="V959" s="13">
        <v>0</v>
      </c>
      <c r="W959" s="37">
        <v>2306</v>
      </c>
      <c r="X959" s="19"/>
      <c r="AG959" s="16"/>
    </row>
    <row r="960" spans="2:33">
      <c r="B960" s="19"/>
      <c r="P960" s="16"/>
      <c r="Q960" s="36" t="s">
        <v>42</v>
      </c>
      <c r="R960" s="13">
        <v>0</v>
      </c>
      <c r="S960" s="13">
        <v>0</v>
      </c>
      <c r="T960" s="13">
        <v>1759</v>
      </c>
      <c r="U960" s="13">
        <v>1142</v>
      </c>
      <c r="V960" s="13">
        <v>0</v>
      </c>
      <c r="W960" s="37">
        <v>3473</v>
      </c>
      <c r="X960" s="19"/>
      <c r="AG960" s="16"/>
    </row>
    <row r="961" spans="2:33">
      <c r="B961" s="19"/>
      <c r="P961" s="16"/>
      <c r="Q961" s="36" t="s">
        <v>43</v>
      </c>
      <c r="R961" s="13">
        <v>0</v>
      </c>
      <c r="S961" s="13">
        <v>0</v>
      </c>
      <c r="T961" s="13">
        <v>2009</v>
      </c>
      <c r="U961" s="13">
        <v>1355</v>
      </c>
      <c r="V961" s="13">
        <v>0</v>
      </c>
      <c r="W961" s="37">
        <v>3461</v>
      </c>
      <c r="X961" s="19"/>
      <c r="AG961" s="16"/>
    </row>
    <row r="962" spans="2:33">
      <c r="B962" s="19"/>
      <c r="P962" s="16"/>
      <c r="Q962" s="36" t="s">
        <v>44</v>
      </c>
      <c r="R962" s="13">
        <v>0</v>
      </c>
      <c r="S962" s="13">
        <v>0</v>
      </c>
      <c r="T962" s="13">
        <v>0</v>
      </c>
      <c r="U962" s="13">
        <v>2438</v>
      </c>
      <c r="V962" s="13">
        <v>1640</v>
      </c>
      <c r="W962" s="37">
        <v>4000</v>
      </c>
      <c r="X962" s="19"/>
      <c r="AG962" s="16"/>
    </row>
    <row r="963" spans="2:33">
      <c r="B963" s="19"/>
      <c r="P963" s="16"/>
      <c r="Q963" s="36" t="s">
        <v>45</v>
      </c>
      <c r="R963" s="13">
        <v>0</v>
      </c>
      <c r="S963" s="13">
        <v>2816</v>
      </c>
      <c r="T963" s="13">
        <v>1776</v>
      </c>
      <c r="U963" s="13">
        <v>0</v>
      </c>
      <c r="V963" s="13">
        <v>0</v>
      </c>
      <c r="W963" s="37">
        <v>5152</v>
      </c>
      <c r="X963" s="19"/>
      <c r="AG963" s="16"/>
    </row>
    <row r="964" spans="2:33" ht="15" thickBot="1">
      <c r="B964" s="20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7"/>
      <c r="Q964" s="36" t="s">
        <v>46</v>
      </c>
      <c r="R964" s="13">
        <v>3441</v>
      </c>
      <c r="S964" s="13">
        <v>1989</v>
      </c>
      <c r="T964" s="13">
        <v>0</v>
      </c>
      <c r="U964" s="13">
        <v>0</v>
      </c>
      <c r="V964" s="13">
        <v>0</v>
      </c>
      <c r="W964" s="37">
        <v>5027</v>
      </c>
      <c r="X964" s="20"/>
      <c r="Y964" s="15"/>
      <c r="Z964" s="15"/>
      <c r="AA964" s="15"/>
      <c r="AB964" s="15"/>
      <c r="AC964" s="15"/>
      <c r="AD964" s="15"/>
      <c r="AE964" s="15"/>
      <c r="AF964" s="15"/>
      <c r="AG964" s="17"/>
    </row>
    <row r="965" spans="2:33" ht="15" thickBot="1"/>
    <row r="966" spans="2:33" ht="15" thickBot="1">
      <c r="B966" s="53" t="s">
        <v>2191</v>
      </c>
      <c r="C966" s="26" t="s">
        <v>493</v>
      </c>
      <c r="D966" s="26" t="s">
        <v>502</v>
      </c>
      <c r="E966" s="26" t="s">
        <v>503</v>
      </c>
      <c r="F966" s="26" t="s">
        <v>504</v>
      </c>
      <c r="G966" s="26" t="s">
        <v>505</v>
      </c>
      <c r="H966" s="27" t="s">
        <v>55</v>
      </c>
      <c r="I966" s="26" t="s">
        <v>506</v>
      </c>
      <c r="J966" s="27" t="s">
        <v>87</v>
      </c>
      <c r="K966" s="29">
        <v>30</v>
      </c>
      <c r="L966" s="29">
        <v>30</v>
      </c>
      <c r="M966" s="29">
        <v>30</v>
      </c>
      <c r="N966" s="29">
        <v>30</v>
      </c>
      <c r="O966" s="29">
        <v>30</v>
      </c>
      <c r="P966" s="40">
        <v>30</v>
      </c>
      <c r="Q966" s="1" t="s">
        <v>35</v>
      </c>
      <c r="R966" s="2">
        <v>1910</v>
      </c>
      <c r="S966" s="2">
        <v>914</v>
      </c>
      <c r="T966" s="2">
        <v>0</v>
      </c>
      <c r="U966" s="2">
        <v>0</v>
      </c>
      <c r="V966" s="2">
        <v>0</v>
      </c>
      <c r="W966" s="2">
        <v>2575</v>
      </c>
      <c r="X966" s="43">
        <f>SUM(R966:W978)</f>
        <v>50205</v>
      </c>
      <c r="Y966" s="10">
        <v>46204</v>
      </c>
      <c r="Z966" s="11">
        <v>0.21915174234314722</v>
      </c>
      <c r="AA966" s="11">
        <v>0.18274192037163289</v>
      </c>
      <c r="AB966" s="11">
        <v>0.14726787607165501</v>
      </c>
      <c r="AC966" s="11">
        <v>0.1287497680516306</v>
      </c>
      <c r="AD966" s="11">
        <v>0.11447820346270936</v>
      </c>
      <c r="AE966" s="11">
        <v>0.13149780089791482</v>
      </c>
      <c r="AF966" s="11">
        <v>0.3</v>
      </c>
      <c r="AG966" s="11">
        <v>0.23899999999999999</v>
      </c>
    </row>
    <row r="967" spans="2:33"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35"/>
      <c r="Q967" s="36" t="s">
        <v>36</v>
      </c>
      <c r="R967" s="13">
        <v>1579</v>
      </c>
      <c r="S967" s="13">
        <v>711</v>
      </c>
      <c r="T967" s="13">
        <v>0</v>
      </c>
      <c r="U967" s="13">
        <v>0</v>
      </c>
      <c r="V967" s="13">
        <v>0</v>
      </c>
      <c r="W967" s="37">
        <v>2426</v>
      </c>
      <c r="X967" s="18"/>
      <c r="Y967" s="14"/>
      <c r="Z967" s="14"/>
      <c r="AA967" s="14"/>
      <c r="AB967" s="14"/>
      <c r="AC967" s="14"/>
      <c r="AD967" s="14"/>
      <c r="AE967" s="14"/>
      <c r="AF967" s="14"/>
      <c r="AG967" s="35"/>
    </row>
    <row r="968" spans="2:33">
      <c r="B968" s="19"/>
      <c r="P968" s="16"/>
      <c r="Q968" s="36" t="s">
        <v>37</v>
      </c>
      <c r="R968" s="13">
        <v>0</v>
      </c>
      <c r="S968" s="13">
        <v>1374</v>
      </c>
      <c r="T968" s="13">
        <v>663</v>
      </c>
      <c r="U968" s="13">
        <v>0</v>
      </c>
      <c r="V968" s="13">
        <v>0</v>
      </c>
      <c r="W968" s="37">
        <v>2437</v>
      </c>
      <c r="X968" s="19"/>
      <c r="AG968" s="16"/>
    </row>
    <row r="969" spans="2:33">
      <c r="B969" s="19"/>
      <c r="P969" s="16"/>
      <c r="Q969" s="36" t="s">
        <v>38</v>
      </c>
      <c r="R969" s="13">
        <v>0</v>
      </c>
      <c r="S969" s="13">
        <v>0</v>
      </c>
      <c r="T969" s="13">
        <v>0</v>
      </c>
      <c r="U969" s="13">
        <v>1141</v>
      </c>
      <c r="V969" s="13">
        <v>654</v>
      </c>
      <c r="W969" s="37">
        <v>2103</v>
      </c>
      <c r="X969" s="19"/>
      <c r="AG969" s="16"/>
    </row>
    <row r="970" spans="2:33">
      <c r="B970" s="19"/>
      <c r="P970" s="16"/>
      <c r="Q970" s="36" t="s">
        <v>39</v>
      </c>
      <c r="R970" s="13">
        <v>0</v>
      </c>
      <c r="S970" s="13">
        <v>0</v>
      </c>
      <c r="T970" s="13">
        <v>0</v>
      </c>
      <c r="U970" s="13">
        <v>1066</v>
      </c>
      <c r="V970" s="13">
        <v>608</v>
      </c>
      <c r="W970" s="37">
        <v>2234</v>
      </c>
      <c r="X970" s="19"/>
      <c r="AG970" s="16"/>
    </row>
    <row r="971" spans="2:33">
      <c r="B971" s="19"/>
      <c r="P971" s="16"/>
      <c r="Q971" s="36" t="s">
        <v>40</v>
      </c>
      <c r="R971" s="13">
        <v>0</v>
      </c>
      <c r="S971" s="13">
        <v>0</v>
      </c>
      <c r="T971" s="13">
        <v>1021</v>
      </c>
      <c r="U971" s="13">
        <v>584</v>
      </c>
      <c r="V971" s="13">
        <v>0</v>
      </c>
      <c r="W971" s="37">
        <v>2163</v>
      </c>
      <c r="X971" s="19"/>
      <c r="AG971" s="16"/>
    </row>
    <row r="972" spans="2:33">
      <c r="B972" s="19"/>
      <c r="P972" s="16"/>
      <c r="Q972" s="36" t="s">
        <v>438</v>
      </c>
      <c r="R972" s="13">
        <v>428</v>
      </c>
      <c r="S972" s="13">
        <v>299</v>
      </c>
      <c r="T972" s="13">
        <v>0</v>
      </c>
      <c r="U972" s="13">
        <v>0</v>
      </c>
      <c r="V972" s="13">
        <v>0</v>
      </c>
      <c r="W972" s="37">
        <v>772</v>
      </c>
      <c r="X972" s="19"/>
      <c r="AG972" s="16"/>
    </row>
    <row r="973" spans="2:33">
      <c r="B973" s="19"/>
      <c r="P973" s="16"/>
      <c r="Q973" s="36" t="s">
        <v>439</v>
      </c>
      <c r="R973" s="13">
        <v>744</v>
      </c>
      <c r="S973" s="13">
        <v>437</v>
      </c>
      <c r="T973" s="13">
        <v>0</v>
      </c>
      <c r="U973" s="13">
        <v>0</v>
      </c>
      <c r="V973" s="13">
        <v>0</v>
      </c>
      <c r="W973" s="37">
        <v>1513</v>
      </c>
      <c r="X973" s="19"/>
      <c r="AG973" s="16"/>
    </row>
    <row r="974" spans="2:33">
      <c r="B974" s="19"/>
      <c r="P974" s="16"/>
      <c r="Q974" s="36" t="s">
        <v>42</v>
      </c>
      <c r="R974" s="13">
        <v>0</v>
      </c>
      <c r="S974" s="13">
        <v>0</v>
      </c>
      <c r="T974" s="13">
        <v>957</v>
      </c>
      <c r="U974" s="13">
        <v>635</v>
      </c>
      <c r="V974" s="13">
        <v>0</v>
      </c>
      <c r="W974" s="37">
        <v>2329</v>
      </c>
      <c r="X974" s="19"/>
      <c r="AG974" s="16"/>
    </row>
    <row r="975" spans="2:33">
      <c r="B975" s="19"/>
      <c r="P975" s="16"/>
      <c r="Q975" s="36" t="s">
        <v>43</v>
      </c>
      <c r="R975" s="13">
        <v>0</v>
      </c>
      <c r="S975" s="13">
        <v>0</v>
      </c>
      <c r="T975" s="13">
        <v>1063</v>
      </c>
      <c r="U975" s="13">
        <v>693</v>
      </c>
      <c r="V975" s="13">
        <v>0</v>
      </c>
      <c r="W975" s="37">
        <v>2165</v>
      </c>
      <c r="X975" s="19"/>
      <c r="AG975" s="16"/>
    </row>
    <row r="976" spans="2:33">
      <c r="B976" s="19"/>
      <c r="P976" s="16"/>
      <c r="Q976" s="36" t="s">
        <v>44</v>
      </c>
      <c r="R976" s="13">
        <v>0</v>
      </c>
      <c r="S976" s="13">
        <v>0</v>
      </c>
      <c r="T976" s="13">
        <v>0</v>
      </c>
      <c r="U976" s="13">
        <v>1103</v>
      </c>
      <c r="V976" s="13">
        <v>662</v>
      </c>
      <c r="W976" s="37">
        <v>2187</v>
      </c>
      <c r="X976" s="19"/>
      <c r="AG976" s="16"/>
    </row>
    <row r="977" spans="2:33">
      <c r="B977" s="19"/>
      <c r="P977" s="16"/>
      <c r="Q977" s="36" t="s">
        <v>45</v>
      </c>
      <c r="R977" s="13">
        <v>0</v>
      </c>
      <c r="S977" s="13">
        <v>1087</v>
      </c>
      <c r="T977" s="13">
        <v>598</v>
      </c>
      <c r="U977" s="13">
        <v>0</v>
      </c>
      <c r="V977" s="13">
        <v>0</v>
      </c>
      <c r="W977" s="37">
        <v>2168</v>
      </c>
      <c r="X977" s="19"/>
      <c r="AG977" s="16"/>
    </row>
    <row r="978" spans="2:33" ht="15" thickBot="1">
      <c r="B978" s="20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7"/>
      <c r="Q978" s="36" t="s">
        <v>46</v>
      </c>
      <c r="R978" s="13">
        <v>1341</v>
      </c>
      <c r="S978" s="13">
        <v>638</v>
      </c>
      <c r="T978" s="13">
        <v>0</v>
      </c>
      <c r="U978" s="13">
        <v>0</v>
      </c>
      <c r="V978" s="13">
        <v>0</v>
      </c>
      <c r="W978" s="37">
        <v>2223</v>
      </c>
      <c r="X978" s="20"/>
      <c r="Y978" s="15"/>
      <c r="Z978" s="15"/>
      <c r="AA978" s="15"/>
      <c r="AB978" s="15"/>
      <c r="AC978" s="15"/>
      <c r="AD978" s="15"/>
      <c r="AE978" s="15"/>
      <c r="AF978" s="15"/>
      <c r="AG978" s="17"/>
    </row>
    <row r="979" spans="2:33" ht="15" thickBot="1"/>
    <row r="980" spans="2:33" ht="15" thickBot="1">
      <c r="B980" s="53" t="s">
        <v>2191</v>
      </c>
      <c r="C980" s="26" t="s">
        <v>493</v>
      </c>
      <c r="D980" s="26" t="s">
        <v>507</v>
      </c>
      <c r="E980" s="26" t="s">
        <v>508</v>
      </c>
      <c r="F980" s="26" t="s">
        <v>509</v>
      </c>
      <c r="G980" s="26" t="s">
        <v>510</v>
      </c>
      <c r="H980" s="27" t="s">
        <v>511</v>
      </c>
      <c r="I980" s="26" t="s">
        <v>512</v>
      </c>
      <c r="J980" s="27" t="s">
        <v>87</v>
      </c>
      <c r="K980" s="29">
        <v>13.855999946594199</v>
      </c>
      <c r="L980" s="29">
        <v>20.784999847412099</v>
      </c>
      <c r="M980" s="29">
        <v>20.784999847412099</v>
      </c>
      <c r="N980" s="29">
        <v>20.784999847412099</v>
      </c>
      <c r="O980" s="29">
        <v>20.784999847412099</v>
      </c>
      <c r="P980" s="40">
        <v>20.784999847412099</v>
      </c>
      <c r="Q980" s="1" t="s">
        <v>35</v>
      </c>
      <c r="R980" s="2">
        <v>1764</v>
      </c>
      <c r="S980" s="2">
        <v>880</v>
      </c>
      <c r="T980" s="2">
        <v>0</v>
      </c>
      <c r="U980" s="2">
        <v>0</v>
      </c>
      <c r="V980" s="2">
        <v>0</v>
      </c>
      <c r="W980" s="2">
        <v>1612</v>
      </c>
      <c r="X980" s="43">
        <f>SUM(R980:W992)</f>
        <v>35842</v>
      </c>
      <c r="Y980" s="10">
        <v>46204</v>
      </c>
      <c r="Z980" s="11">
        <v>0.21915174234314722</v>
      </c>
      <c r="AA980" s="11">
        <v>0.18274192037163289</v>
      </c>
      <c r="AB980" s="11">
        <v>0.14726787607165501</v>
      </c>
      <c r="AC980" s="11">
        <v>0.1287497680516306</v>
      </c>
      <c r="AD980" s="11">
        <v>0.11447820346270936</v>
      </c>
      <c r="AE980" s="11">
        <v>0.13149780089791482</v>
      </c>
      <c r="AF980" s="11">
        <v>0.3</v>
      </c>
      <c r="AG980" s="11">
        <v>0.23899999999999999</v>
      </c>
    </row>
    <row r="981" spans="2:33"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35"/>
      <c r="Q981" s="36" t="s">
        <v>36</v>
      </c>
      <c r="R981" s="13">
        <v>1549</v>
      </c>
      <c r="S981" s="13">
        <v>779</v>
      </c>
      <c r="T981" s="13">
        <v>0</v>
      </c>
      <c r="U981" s="13">
        <v>0</v>
      </c>
      <c r="V981" s="13">
        <v>0</v>
      </c>
      <c r="W981" s="37">
        <v>1497</v>
      </c>
      <c r="X981" s="18"/>
      <c r="Y981" s="14"/>
      <c r="Z981" s="14"/>
      <c r="AA981" s="14"/>
      <c r="AB981" s="14"/>
      <c r="AC981" s="14"/>
      <c r="AD981" s="14"/>
      <c r="AE981" s="14"/>
      <c r="AF981" s="14"/>
      <c r="AG981" s="35"/>
    </row>
    <row r="982" spans="2:33">
      <c r="B982" s="19"/>
      <c r="P982" s="16"/>
      <c r="Q982" s="36" t="s">
        <v>37</v>
      </c>
      <c r="R982" s="13">
        <v>0</v>
      </c>
      <c r="S982" s="13">
        <v>1606</v>
      </c>
      <c r="T982" s="13">
        <v>859</v>
      </c>
      <c r="U982" s="13">
        <v>0</v>
      </c>
      <c r="V982" s="13">
        <v>0</v>
      </c>
      <c r="W982" s="37">
        <v>1538</v>
      </c>
      <c r="X982" s="19"/>
      <c r="AG982" s="16"/>
    </row>
    <row r="983" spans="2:33">
      <c r="B983" s="19"/>
      <c r="P983" s="16"/>
      <c r="Q983" s="36" t="s">
        <v>38</v>
      </c>
      <c r="R983" s="13">
        <v>0</v>
      </c>
      <c r="S983" s="13">
        <v>0</v>
      </c>
      <c r="T983" s="13">
        <v>0</v>
      </c>
      <c r="U983" s="13">
        <v>1095</v>
      </c>
      <c r="V983" s="13">
        <v>657</v>
      </c>
      <c r="W983" s="37">
        <v>1367</v>
      </c>
      <c r="X983" s="19"/>
      <c r="AG983" s="16"/>
    </row>
    <row r="984" spans="2:33">
      <c r="B984" s="19"/>
      <c r="P984" s="16"/>
      <c r="Q984" s="36" t="s">
        <v>39</v>
      </c>
      <c r="R984" s="13">
        <v>0</v>
      </c>
      <c r="S984" s="13">
        <v>0</v>
      </c>
      <c r="T984" s="13">
        <v>0</v>
      </c>
      <c r="U984" s="13">
        <v>775</v>
      </c>
      <c r="V984" s="13">
        <v>510</v>
      </c>
      <c r="W984" s="37">
        <v>1420</v>
      </c>
      <c r="X984" s="19"/>
      <c r="AG984" s="16"/>
    </row>
    <row r="985" spans="2:33">
      <c r="B985" s="19"/>
      <c r="P985" s="16"/>
      <c r="Q985" s="36" t="s">
        <v>40</v>
      </c>
      <c r="R985" s="13">
        <v>0</v>
      </c>
      <c r="S985" s="13">
        <v>0</v>
      </c>
      <c r="T985" s="13">
        <v>489</v>
      </c>
      <c r="U985" s="13">
        <v>358</v>
      </c>
      <c r="V985" s="13">
        <v>0</v>
      </c>
      <c r="W985" s="37">
        <v>1249</v>
      </c>
      <c r="X985" s="19"/>
      <c r="AG985" s="16"/>
    </row>
    <row r="986" spans="2:33">
      <c r="B986" s="19"/>
      <c r="P986" s="16"/>
      <c r="Q986" s="36" t="s">
        <v>438</v>
      </c>
      <c r="R986" s="13">
        <v>231</v>
      </c>
      <c r="S986" s="13">
        <v>151</v>
      </c>
      <c r="T986" s="13">
        <v>0</v>
      </c>
      <c r="U986" s="13">
        <v>0</v>
      </c>
      <c r="V986" s="13">
        <v>0</v>
      </c>
      <c r="W986" s="37">
        <v>462</v>
      </c>
      <c r="X986" s="19"/>
      <c r="AG986" s="16"/>
    </row>
    <row r="987" spans="2:33">
      <c r="B987" s="19"/>
      <c r="P987" s="16"/>
      <c r="Q987" s="36" t="s">
        <v>447</v>
      </c>
      <c r="R987" s="13">
        <v>315</v>
      </c>
      <c r="S987" s="13">
        <v>248</v>
      </c>
      <c r="T987" s="13">
        <v>0</v>
      </c>
      <c r="U987" s="13">
        <v>0</v>
      </c>
      <c r="V987" s="13">
        <v>0</v>
      </c>
      <c r="W987" s="37">
        <v>777</v>
      </c>
      <c r="X987" s="19"/>
      <c r="AG987" s="16"/>
    </row>
    <row r="988" spans="2:33">
      <c r="B988" s="19"/>
      <c r="P988" s="16"/>
      <c r="Q988" s="36" t="s">
        <v>42</v>
      </c>
      <c r="R988" s="13">
        <v>0</v>
      </c>
      <c r="S988" s="13">
        <v>0</v>
      </c>
      <c r="T988" s="13">
        <v>526</v>
      </c>
      <c r="U988" s="13">
        <v>381</v>
      </c>
      <c r="V988" s="13">
        <v>0</v>
      </c>
      <c r="W988" s="37">
        <v>1267</v>
      </c>
      <c r="X988" s="19"/>
      <c r="AG988" s="16"/>
    </row>
    <row r="989" spans="2:33">
      <c r="B989" s="19"/>
      <c r="P989" s="16"/>
      <c r="Q989" s="36" t="s">
        <v>43</v>
      </c>
      <c r="R989" s="13">
        <v>0</v>
      </c>
      <c r="S989" s="13">
        <v>0</v>
      </c>
      <c r="T989" s="13">
        <v>486</v>
      </c>
      <c r="U989" s="13">
        <v>365</v>
      </c>
      <c r="V989" s="13">
        <v>0</v>
      </c>
      <c r="W989" s="37">
        <v>1114</v>
      </c>
      <c r="X989" s="19"/>
      <c r="AG989" s="16"/>
    </row>
    <row r="990" spans="2:33">
      <c r="B990" s="19"/>
      <c r="P990" s="16"/>
      <c r="Q990" s="36" t="s">
        <v>44</v>
      </c>
      <c r="R990" s="13">
        <v>0</v>
      </c>
      <c r="S990" s="13">
        <v>0</v>
      </c>
      <c r="T990" s="13">
        <v>0</v>
      </c>
      <c r="U990" s="13">
        <v>655</v>
      </c>
      <c r="V990" s="13">
        <v>372</v>
      </c>
      <c r="W990" s="37">
        <v>1196</v>
      </c>
      <c r="X990" s="19"/>
      <c r="AG990" s="16"/>
    </row>
    <row r="991" spans="2:33">
      <c r="B991" s="19"/>
      <c r="P991" s="16"/>
      <c r="Q991" s="36" t="s">
        <v>45</v>
      </c>
      <c r="R991" s="13">
        <v>0</v>
      </c>
      <c r="S991" s="13">
        <v>1321</v>
      </c>
      <c r="T991" s="13">
        <v>656</v>
      </c>
      <c r="U991" s="13">
        <v>0</v>
      </c>
      <c r="V991" s="13">
        <v>0</v>
      </c>
      <c r="W991" s="37">
        <v>1366</v>
      </c>
      <c r="X991" s="19"/>
      <c r="AG991" s="16"/>
    </row>
    <row r="992" spans="2:33" ht="15" thickBot="1">
      <c r="B992" s="20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7"/>
      <c r="Q992" s="36" t="s">
        <v>46</v>
      </c>
      <c r="R992" s="13">
        <v>1675</v>
      </c>
      <c r="S992" s="13">
        <v>838</v>
      </c>
      <c r="T992" s="13">
        <v>0</v>
      </c>
      <c r="U992" s="13">
        <v>0</v>
      </c>
      <c r="V992" s="13">
        <v>0</v>
      </c>
      <c r="W992" s="37">
        <v>1436</v>
      </c>
      <c r="X992" s="20"/>
      <c r="Y992" s="15"/>
      <c r="Z992" s="15"/>
      <c r="AA992" s="15"/>
      <c r="AB992" s="15"/>
      <c r="AC992" s="15"/>
      <c r="AD992" s="15"/>
      <c r="AE992" s="15"/>
      <c r="AF992" s="15"/>
      <c r="AG992" s="17"/>
    </row>
    <row r="993" spans="2:33" ht="15" thickBot="1"/>
    <row r="994" spans="2:33" ht="15" thickBot="1">
      <c r="B994" s="53" t="s">
        <v>2191</v>
      </c>
      <c r="C994" s="26" t="s">
        <v>513</v>
      </c>
      <c r="D994" s="26" t="s">
        <v>514</v>
      </c>
      <c r="E994" s="26" t="s">
        <v>515</v>
      </c>
      <c r="F994" s="26" t="s">
        <v>516</v>
      </c>
      <c r="G994" s="26" t="s">
        <v>517</v>
      </c>
      <c r="H994" s="27" t="s">
        <v>518</v>
      </c>
      <c r="I994" s="26" t="s">
        <v>519</v>
      </c>
      <c r="J994" s="27" t="s">
        <v>87</v>
      </c>
      <c r="K994" s="29">
        <v>30</v>
      </c>
      <c r="L994" s="29">
        <v>30</v>
      </c>
      <c r="M994" s="29">
        <v>30</v>
      </c>
      <c r="N994" s="29">
        <v>30</v>
      </c>
      <c r="O994" s="29">
        <v>30</v>
      </c>
      <c r="P994" s="40">
        <v>125</v>
      </c>
      <c r="Q994" s="1" t="s">
        <v>35</v>
      </c>
      <c r="R994" s="2">
        <v>2671</v>
      </c>
      <c r="S994" s="2">
        <v>1676</v>
      </c>
      <c r="T994" s="2">
        <v>0</v>
      </c>
      <c r="U994" s="2">
        <v>0</v>
      </c>
      <c r="V994" s="2">
        <v>0</v>
      </c>
      <c r="W994" s="2">
        <v>3089</v>
      </c>
      <c r="X994" s="43">
        <f>SUM(R994:W1007)</f>
        <v>100538</v>
      </c>
      <c r="Y994" s="10">
        <v>46204</v>
      </c>
      <c r="Z994" s="11">
        <v>0.21915174234314722</v>
      </c>
      <c r="AA994" s="11">
        <v>0.18274192037163289</v>
      </c>
      <c r="AB994" s="11">
        <v>0.14726787607165501</v>
      </c>
      <c r="AC994" s="11">
        <v>0.1287497680516306</v>
      </c>
      <c r="AD994" s="11">
        <v>0.11447820346270936</v>
      </c>
      <c r="AE994" s="11">
        <v>0.13149780089791482</v>
      </c>
      <c r="AF994" s="11">
        <v>0.3</v>
      </c>
      <c r="AG994" s="11">
        <v>0.23899999999999999</v>
      </c>
    </row>
    <row r="995" spans="2:33"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35"/>
      <c r="Q995" s="36" t="s">
        <v>36</v>
      </c>
      <c r="R995" s="13">
        <v>2449</v>
      </c>
      <c r="S995" s="13">
        <v>1560</v>
      </c>
      <c r="T995" s="13">
        <v>0</v>
      </c>
      <c r="U995" s="13">
        <v>0</v>
      </c>
      <c r="V995" s="13">
        <v>0</v>
      </c>
      <c r="W995" s="37">
        <v>2695</v>
      </c>
      <c r="X995" s="18"/>
      <c r="Y995" s="14"/>
      <c r="Z995" s="14"/>
      <c r="AA995" s="14"/>
      <c r="AB995" s="14"/>
      <c r="AC995" s="14"/>
      <c r="AD995" s="14"/>
      <c r="AE995" s="14"/>
      <c r="AF995" s="14"/>
      <c r="AG995" s="35"/>
    </row>
    <row r="996" spans="2:33">
      <c r="B996" s="19"/>
      <c r="P996" s="16"/>
      <c r="Q996" s="36" t="s">
        <v>437</v>
      </c>
      <c r="R996" s="13">
        <v>0</v>
      </c>
      <c r="S996" s="13">
        <v>100</v>
      </c>
      <c r="T996" s="13">
        <v>58</v>
      </c>
      <c r="U996" s="13">
        <v>0</v>
      </c>
      <c r="V996" s="13">
        <v>0</v>
      </c>
      <c r="W996" s="37">
        <v>382</v>
      </c>
      <c r="X996" s="19"/>
      <c r="AG996" s="16"/>
    </row>
    <row r="997" spans="2:33">
      <c r="B997" s="19"/>
      <c r="P997" s="16"/>
      <c r="Q997" s="36" t="s">
        <v>167</v>
      </c>
      <c r="R997" s="13">
        <v>0</v>
      </c>
      <c r="S997" s="13">
        <v>2352</v>
      </c>
      <c r="T997" s="13">
        <v>1518</v>
      </c>
      <c r="U997" s="13">
        <v>0</v>
      </c>
      <c r="V997" s="13">
        <v>0</v>
      </c>
      <c r="W997" s="37">
        <v>2563</v>
      </c>
      <c r="X997" s="19"/>
      <c r="AG997" s="16"/>
    </row>
    <row r="998" spans="2:33">
      <c r="B998" s="19"/>
      <c r="P998" s="16"/>
      <c r="Q998" s="36" t="s">
        <v>38</v>
      </c>
      <c r="R998" s="13">
        <v>0</v>
      </c>
      <c r="S998" s="13">
        <v>0</v>
      </c>
      <c r="T998" s="13">
        <v>0</v>
      </c>
      <c r="U998" s="13">
        <v>2174</v>
      </c>
      <c r="V998" s="13">
        <v>1450</v>
      </c>
      <c r="W998" s="37">
        <v>2574</v>
      </c>
      <c r="X998" s="19"/>
      <c r="AG998" s="16"/>
    </row>
    <row r="999" spans="2:33">
      <c r="B999" s="19"/>
      <c r="P999" s="16"/>
      <c r="Q999" s="36" t="s">
        <v>39</v>
      </c>
      <c r="R999" s="13">
        <v>0</v>
      </c>
      <c r="S999" s="13">
        <v>0</v>
      </c>
      <c r="T999" s="13">
        <v>0</v>
      </c>
      <c r="U999" s="13">
        <v>2755</v>
      </c>
      <c r="V999" s="13">
        <v>1971</v>
      </c>
      <c r="W999" s="37">
        <v>4788</v>
      </c>
      <c r="X999" s="19"/>
      <c r="AG999" s="16"/>
    </row>
    <row r="1000" spans="2:33">
      <c r="B1000" s="19"/>
      <c r="P1000" s="16"/>
      <c r="Q1000" s="36" t="s">
        <v>40</v>
      </c>
      <c r="R1000" s="13">
        <v>0</v>
      </c>
      <c r="S1000" s="13">
        <v>0</v>
      </c>
      <c r="T1000" s="13">
        <v>2908</v>
      </c>
      <c r="U1000" s="13">
        <v>2094</v>
      </c>
      <c r="V1000" s="13">
        <v>0</v>
      </c>
      <c r="W1000" s="37">
        <v>4691</v>
      </c>
      <c r="X1000" s="19"/>
      <c r="AG1000" s="16"/>
    </row>
    <row r="1001" spans="2:33">
      <c r="B1001" s="19"/>
      <c r="P1001" s="16"/>
      <c r="Q1001" s="36" t="s">
        <v>520</v>
      </c>
      <c r="R1001" s="13">
        <v>1529</v>
      </c>
      <c r="S1001" s="13">
        <v>1089</v>
      </c>
      <c r="T1001" s="13">
        <v>0</v>
      </c>
      <c r="U1001" s="13">
        <v>0</v>
      </c>
      <c r="V1001" s="13">
        <v>0</v>
      </c>
      <c r="W1001" s="37">
        <v>2189</v>
      </c>
      <c r="X1001" s="19"/>
      <c r="AG1001" s="16"/>
    </row>
    <row r="1002" spans="2:33">
      <c r="B1002" s="19"/>
      <c r="P1002" s="16"/>
      <c r="Q1002" s="36" t="s">
        <v>521</v>
      </c>
      <c r="R1002" s="13">
        <v>1477</v>
      </c>
      <c r="S1002" s="13">
        <v>1044</v>
      </c>
      <c r="T1002" s="13">
        <v>0</v>
      </c>
      <c r="U1002" s="13">
        <v>0</v>
      </c>
      <c r="V1002" s="13">
        <v>0</v>
      </c>
      <c r="W1002" s="37">
        <v>2274</v>
      </c>
      <c r="X1002" s="19"/>
      <c r="AG1002" s="16"/>
    </row>
    <row r="1003" spans="2:33">
      <c r="B1003" s="19"/>
      <c r="P1003" s="16"/>
      <c r="Q1003" s="36" t="s">
        <v>42</v>
      </c>
      <c r="R1003" s="13">
        <v>0</v>
      </c>
      <c r="S1003" s="13">
        <v>0</v>
      </c>
      <c r="T1003" s="13">
        <v>2516</v>
      </c>
      <c r="U1003" s="13">
        <v>1782</v>
      </c>
      <c r="V1003" s="13">
        <v>0</v>
      </c>
      <c r="W1003" s="37">
        <v>4752</v>
      </c>
      <c r="X1003" s="19"/>
      <c r="AG1003" s="16"/>
    </row>
    <row r="1004" spans="2:33">
      <c r="B1004" s="19"/>
      <c r="P1004" s="16"/>
      <c r="Q1004" s="36" t="s">
        <v>43</v>
      </c>
      <c r="R1004" s="13">
        <v>0</v>
      </c>
      <c r="S1004" s="13">
        <v>0</v>
      </c>
      <c r="T1004" s="13">
        <v>2914</v>
      </c>
      <c r="U1004" s="13">
        <v>2074</v>
      </c>
      <c r="V1004" s="13">
        <v>0</v>
      </c>
      <c r="W1004" s="37">
        <v>4326</v>
      </c>
      <c r="X1004" s="19"/>
      <c r="AG1004" s="16"/>
    </row>
    <row r="1005" spans="2:33">
      <c r="B1005" s="19"/>
      <c r="P1005" s="16"/>
      <c r="Q1005" s="36" t="s">
        <v>44</v>
      </c>
      <c r="R1005" s="13">
        <v>0</v>
      </c>
      <c r="S1005" s="13">
        <v>0</v>
      </c>
      <c r="T1005" s="13">
        <v>0</v>
      </c>
      <c r="U1005" s="13">
        <v>3145</v>
      </c>
      <c r="V1005" s="13">
        <v>2189</v>
      </c>
      <c r="W1005" s="37">
        <v>4337</v>
      </c>
      <c r="X1005" s="19"/>
      <c r="AG1005" s="16"/>
    </row>
    <row r="1006" spans="2:33">
      <c r="B1006" s="19"/>
      <c r="P1006" s="16"/>
      <c r="Q1006" s="36" t="s">
        <v>100</v>
      </c>
      <c r="R1006" s="13">
        <v>0</v>
      </c>
      <c r="S1006" s="13">
        <v>1638</v>
      </c>
      <c r="T1006" s="13">
        <v>1127</v>
      </c>
      <c r="U1006" s="13">
        <v>0</v>
      </c>
      <c r="V1006" s="13">
        <v>0</v>
      </c>
      <c r="W1006" s="37">
        <v>2535</v>
      </c>
      <c r="X1006" s="19"/>
      <c r="AG1006" s="16"/>
    </row>
    <row r="1007" spans="2:33" ht="15" thickBot="1">
      <c r="B1007" s="20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7"/>
      <c r="Q1007" s="36" t="s">
        <v>522</v>
      </c>
      <c r="R1007" s="13">
        <v>2650</v>
      </c>
      <c r="S1007" s="13">
        <v>2735</v>
      </c>
      <c r="T1007" s="13">
        <v>695</v>
      </c>
      <c r="U1007" s="13">
        <v>0</v>
      </c>
      <c r="V1007" s="13">
        <v>0</v>
      </c>
      <c r="W1007" s="37">
        <v>5003</v>
      </c>
      <c r="X1007" s="20"/>
      <c r="Y1007" s="15"/>
      <c r="Z1007" s="15"/>
      <c r="AA1007" s="15"/>
      <c r="AB1007" s="15"/>
      <c r="AC1007" s="15"/>
      <c r="AD1007" s="15"/>
      <c r="AE1007" s="15"/>
      <c r="AF1007" s="15"/>
      <c r="AG1007" s="17"/>
    </row>
    <row r="1008" spans="2:33" ht="15" thickBot="1"/>
    <row r="1009" spans="2:33" ht="15" thickBot="1">
      <c r="B1009" s="53" t="s">
        <v>2191</v>
      </c>
      <c r="C1009" s="26" t="s">
        <v>513</v>
      </c>
      <c r="D1009" s="26" t="s">
        <v>523</v>
      </c>
      <c r="E1009" s="26" t="s">
        <v>524</v>
      </c>
      <c r="F1009" s="26" t="s">
        <v>525</v>
      </c>
      <c r="G1009" s="26" t="s">
        <v>526</v>
      </c>
      <c r="H1009" s="27" t="s">
        <v>52</v>
      </c>
      <c r="I1009" s="26" t="s">
        <v>527</v>
      </c>
      <c r="J1009" s="27" t="s">
        <v>87</v>
      </c>
      <c r="K1009" s="29">
        <v>23</v>
      </c>
      <c r="L1009" s="29">
        <v>23</v>
      </c>
      <c r="M1009" s="29">
        <v>23</v>
      </c>
      <c r="N1009" s="29">
        <v>23</v>
      </c>
      <c r="O1009" s="29">
        <v>23</v>
      </c>
      <c r="P1009" s="40">
        <v>23</v>
      </c>
      <c r="Q1009" s="1" t="s">
        <v>35</v>
      </c>
      <c r="R1009" s="2">
        <v>1341</v>
      </c>
      <c r="S1009" s="2">
        <v>913</v>
      </c>
      <c r="T1009" s="2">
        <v>0</v>
      </c>
      <c r="U1009" s="2">
        <v>0</v>
      </c>
      <c r="V1009" s="2">
        <v>0</v>
      </c>
      <c r="W1009" s="2">
        <v>2451</v>
      </c>
      <c r="X1009" s="43">
        <f>SUM(R1009:W1021)</f>
        <v>46842</v>
      </c>
      <c r="Y1009" s="10">
        <v>46204</v>
      </c>
      <c r="Z1009" s="11">
        <v>0.21915174234314722</v>
      </c>
      <c r="AA1009" s="11">
        <v>0.18274192037163289</v>
      </c>
      <c r="AB1009" s="11">
        <v>0.14726787607165501</v>
      </c>
      <c r="AC1009" s="11">
        <v>0.1287497680516306</v>
      </c>
      <c r="AD1009" s="11">
        <v>0.11447820346270936</v>
      </c>
      <c r="AE1009" s="11">
        <v>0.13149780089791482</v>
      </c>
      <c r="AF1009" s="11">
        <v>0.3</v>
      </c>
      <c r="AG1009" s="11">
        <v>0.23899999999999999</v>
      </c>
    </row>
    <row r="1010" spans="2:33"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35"/>
      <c r="Q1010" s="36" t="s">
        <v>36</v>
      </c>
      <c r="R1010" s="13">
        <v>1200</v>
      </c>
      <c r="S1010" s="13">
        <v>808</v>
      </c>
      <c r="T1010" s="13">
        <v>0</v>
      </c>
      <c r="U1010" s="13">
        <v>0</v>
      </c>
      <c r="V1010" s="13">
        <v>0</v>
      </c>
      <c r="W1010" s="37">
        <v>2006</v>
      </c>
      <c r="X1010" s="18"/>
      <c r="Y1010" s="14"/>
      <c r="Z1010" s="14"/>
      <c r="AA1010" s="14"/>
      <c r="AB1010" s="14"/>
      <c r="AC1010" s="14"/>
      <c r="AD1010" s="14"/>
      <c r="AE1010" s="14"/>
      <c r="AF1010" s="14"/>
      <c r="AG1010" s="35"/>
    </row>
    <row r="1011" spans="2:33">
      <c r="B1011" s="19"/>
      <c r="P1011" s="16"/>
      <c r="Q1011" s="36" t="s">
        <v>37</v>
      </c>
      <c r="R1011" s="13">
        <v>0</v>
      </c>
      <c r="S1011" s="13">
        <v>1256</v>
      </c>
      <c r="T1011" s="13">
        <v>847</v>
      </c>
      <c r="U1011" s="13">
        <v>0</v>
      </c>
      <c r="V1011" s="13">
        <v>0</v>
      </c>
      <c r="W1011" s="37">
        <v>2299</v>
      </c>
      <c r="X1011" s="19"/>
      <c r="AG1011" s="16"/>
    </row>
    <row r="1012" spans="2:33">
      <c r="B1012" s="19"/>
      <c r="P1012" s="16"/>
      <c r="Q1012" s="36" t="s">
        <v>38</v>
      </c>
      <c r="R1012" s="13">
        <v>0</v>
      </c>
      <c r="S1012" s="13">
        <v>0</v>
      </c>
      <c r="T1012" s="13">
        <v>0</v>
      </c>
      <c r="U1012" s="13">
        <v>1099</v>
      </c>
      <c r="V1012" s="13">
        <v>748</v>
      </c>
      <c r="W1012" s="37">
        <v>1712</v>
      </c>
      <c r="X1012" s="19"/>
      <c r="AG1012" s="16"/>
    </row>
    <row r="1013" spans="2:33">
      <c r="B1013" s="19"/>
      <c r="P1013" s="16"/>
      <c r="Q1013" s="36" t="s">
        <v>39</v>
      </c>
      <c r="R1013" s="13">
        <v>0</v>
      </c>
      <c r="S1013" s="13">
        <v>0</v>
      </c>
      <c r="T1013" s="13">
        <v>0</v>
      </c>
      <c r="U1013" s="13">
        <v>1047</v>
      </c>
      <c r="V1013" s="13">
        <v>742</v>
      </c>
      <c r="W1013" s="37">
        <v>1832</v>
      </c>
      <c r="X1013" s="19"/>
      <c r="AG1013" s="16"/>
    </row>
    <row r="1014" spans="2:33">
      <c r="B1014" s="19"/>
      <c r="P1014" s="16"/>
      <c r="Q1014" s="36" t="s">
        <v>40</v>
      </c>
      <c r="R1014" s="13">
        <v>0</v>
      </c>
      <c r="S1014" s="13">
        <v>0</v>
      </c>
      <c r="T1014" s="13">
        <v>953</v>
      </c>
      <c r="U1014" s="13">
        <v>732</v>
      </c>
      <c r="V1014" s="13">
        <v>0</v>
      </c>
      <c r="W1014" s="37">
        <v>1617</v>
      </c>
      <c r="X1014" s="19"/>
      <c r="AG1014" s="16"/>
    </row>
    <row r="1015" spans="2:33">
      <c r="B1015" s="19"/>
      <c r="P1015" s="16"/>
      <c r="Q1015" s="36" t="s">
        <v>520</v>
      </c>
      <c r="R1015" s="13">
        <v>581</v>
      </c>
      <c r="S1015" s="13">
        <v>406</v>
      </c>
      <c r="T1015" s="13">
        <v>0</v>
      </c>
      <c r="U1015" s="13">
        <v>0</v>
      </c>
      <c r="V1015" s="13">
        <v>0</v>
      </c>
      <c r="W1015" s="37">
        <v>879</v>
      </c>
      <c r="X1015" s="19"/>
      <c r="AG1015" s="16"/>
    </row>
    <row r="1016" spans="2:33">
      <c r="B1016" s="19"/>
      <c r="P1016" s="16"/>
      <c r="Q1016" s="36" t="s">
        <v>521</v>
      </c>
      <c r="R1016" s="13">
        <v>520</v>
      </c>
      <c r="S1016" s="13">
        <v>407</v>
      </c>
      <c r="T1016" s="13">
        <v>0</v>
      </c>
      <c r="U1016" s="13">
        <v>0</v>
      </c>
      <c r="V1016" s="13">
        <v>0</v>
      </c>
      <c r="W1016" s="37">
        <v>768</v>
      </c>
      <c r="X1016" s="19"/>
      <c r="AG1016" s="16"/>
    </row>
    <row r="1017" spans="2:33">
      <c r="B1017" s="19"/>
      <c r="P1017" s="16"/>
      <c r="Q1017" s="36" t="s">
        <v>42</v>
      </c>
      <c r="R1017" s="13">
        <v>0</v>
      </c>
      <c r="S1017" s="13">
        <v>0</v>
      </c>
      <c r="T1017" s="13">
        <v>904</v>
      </c>
      <c r="U1017" s="13">
        <v>681</v>
      </c>
      <c r="V1017" s="13">
        <v>0</v>
      </c>
      <c r="W1017" s="37">
        <v>1730</v>
      </c>
      <c r="X1017" s="19"/>
      <c r="AG1017" s="16"/>
    </row>
    <row r="1018" spans="2:33">
      <c r="B1018" s="19"/>
      <c r="P1018" s="16"/>
      <c r="Q1018" s="36" t="s">
        <v>43</v>
      </c>
      <c r="R1018" s="13">
        <v>0</v>
      </c>
      <c r="S1018" s="13">
        <v>0</v>
      </c>
      <c r="T1018" s="13">
        <v>1019</v>
      </c>
      <c r="U1018" s="13">
        <v>695</v>
      </c>
      <c r="V1018" s="13">
        <v>0</v>
      </c>
      <c r="W1018" s="37">
        <v>1664</v>
      </c>
      <c r="X1018" s="19"/>
      <c r="AG1018" s="16"/>
    </row>
    <row r="1019" spans="2:33">
      <c r="B1019" s="19"/>
      <c r="P1019" s="16"/>
      <c r="Q1019" s="36" t="s">
        <v>44</v>
      </c>
      <c r="R1019" s="13">
        <v>0</v>
      </c>
      <c r="S1019" s="13">
        <v>0</v>
      </c>
      <c r="T1019" s="13">
        <v>0</v>
      </c>
      <c r="U1019" s="13">
        <v>1045</v>
      </c>
      <c r="V1019" s="13">
        <v>745</v>
      </c>
      <c r="W1019" s="37">
        <v>1622</v>
      </c>
      <c r="X1019" s="19"/>
      <c r="AG1019" s="16"/>
    </row>
    <row r="1020" spans="2:33">
      <c r="B1020" s="19"/>
      <c r="P1020" s="16"/>
      <c r="Q1020" s="36" t="s">
        <v>45</v>
      </c>
      <c r="R1020" s="13">
        <v>0</v>
      </c>
      <c r="S1020" s="13">
        <v>1379</v>
      </c>
      <c r="T1020" s="13">
        <v>816</v>
      </c>
      <c r="U1020" s="13">
        <v>0</v>
      </c>
      <c r="V1020" s="13">
        <v>0</v>
      </c>
      <c r="W1020" s="37">
        <v>2040</v>
      </c>
      <c r="X1020" s="19"/>
      <c r="AG1020" s="16"/>
    </row>
    <row r="1021" spans="2:33" ht="15" thickBot="1">
      <c r="B1021" s="20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7"/>
      <c r="Q1021" s="36" t="s">
        <v>46</v>
      </c>
      <c r="R1021" s="13">
        <v>1854</v>
      </c>
      <c r="S1021" s="13">
        <v>1014</v>
      </c>
      <c r="T1021" s="13">
        <v>0</v>
      </c>
      <c r="U1021" s="13">
        <v>0</v>
      </c>
      <c r="V1021" s="13">
        <v>0</v>
      </c>
      <c r="W1021" s="37">
        <v>2470</v>
      </c>
      <c r="X1021" s="20"/>
      <c r="Y1021" s="15"/>
      <c r="Z1021" s="15"/>
      <c r="AA1021" s="15"/>
      <c r="AB1021" s="15"/>
      <c r="AC1021" s="15"/>
      <c r="AD1021" s="15"/>
      <c r="AE1021" s="15"/>
      <c r="AF1021" s="15"/>
      <c r="AG1021" s="17"/>
    </row>
    <row r="1022" spans="2:33" ht="15" thickBot="1"/>
    <row r="1023" spans="2:33" ht="15" thickBot="1">
      <c r="B1023" s="53" t="s">
        <v>2191</v>
      </c>
      <c r="C1023" s="26" t="s">
        <v>528</v>
      </c>
      <c r="D1023" s="26" t="s">
        <v>529</v>
      </c>
      <c r="E1023" s="26" t="s">
        <v>530</v>
      </c>
      <c r="F1023" s="26" t="s">
        <v>179</v>
      </c>
      <c r="G1023" s="26" t="s">
        <v>180</v>
      </c>
      <c r="H1023" s="27" t="s">
        <v>33</v>
      </c>
      <c r="I1023" s="26" t="s">
        <v>531</v>
      </c>
      <c r="J1023" s="27" t="s">
        <v>34</v>
      </c>
      <c r="K1023" s="29">
        <v>80</v>
      </c>
      <c r="L1023" s="29">
        <v>80</v>
      </c>
      <c r="M1023" s="29">
        <v>80</v>
      </c>
      <c r="N1023" s="29">
        <v>80</v>
      </c>
      <c r="O1023" s="29">
        <v>80</v>
      </c>
      <c r="P1023" s="40">
        <v>140</v>
      </c>
      <c r="Q1023" s="1" t="s">
        <v>35</v>
      </c>
      <c r="R1023" s="2">
        <v>10707</v>
      </c>
      <c r="S1023" s="2">
        <v>7843</v>
      </c>
      <c r="T1023" s="2">
        <v>0</v>
      </c>
      <c r="U1023" s="2">
        <v>0</v>
      </c>
      <c r="V1023" s="2">
        <v>0</v>
      </c>
      <c r="W1023" s="2">
        <v>14026</v>
      </c>
      <c r="X1023" s="43">
        <f>SUM(R1023:W1036)</f>
        <v>273357</v>
      </c>
      <c r="Y1023" s="10">
        <v>46204</v>
      </c>
      <c r="Z1023" s="11">
        <v>0.18962454052312397</v>
      </c>
      <c r="AA1023" s="11">
        <v>0.15853632235818399</v>
      </c>
      <c r="AB1023" s="11">
        <v>0.13130366614667105</v>
      </c>
      <c r="AC1023" s="11">
        <v>0.11730241147211601</v>
      </c>
      <c r="AD1023" s="11">
        <v>0.10638825231856879</v>
      </c>
      <c r="AE1023" s="11">
        <v>0.12205898654316046</v>
      </c>
      <c r="AF1023" s="11">
        <v>0.3</v>
      </c>
      <c r="AG1023" s="11">
        <v>0.23899999999999999</v>
      </c>
    </row>
    <row r="1024" spans="2:33"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35"/>
      <c r="Q1024" s="36" t="s">
        <v>36</v>
      </c>
      <c r="R1024" s="13">
        <v>8360</v>
      </c>
      <c r="S1024" s="13">
        <v>6345</v>
      </c>
      <c r="T1024" s="13">
        <v>0</v>
      </c>
      <c r="U1024" s="13">
        <v>0</v>
      </c>
      <c r="V1024" s="13">
        <v>0</v>
      </c>
      <c r="W1024" s="37">
        <v>12055</v>
      </c>
      <c r="X1024" s="18"/>
      <c r="Y1024" s="14"/>
      <c r="Z1024" s="14"/>
      <c r="AA1024" s="14"/>
      <c r="AB1024" s="14"/>
      <c r="AC1024" s="14"/>
      <c r="AD1024" s="14"/>
      <c r="AE1024" s="14"/>
      <c r="AF1024" s="14"/>
      <c r="AG1024" s="35"/>
    </row>
    <row r="1025" spans="2:33">
      <c r="B1025" s="19"/>
      <c r="P1025" s="16"/>
      <c r="Q1025" s="36" t="s">
        <v>437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37">
        <v>1323</v>
      </c>
      <c r="X1025" s="19"/>
      <c r="AG1025" s="16"/>
    </row>
    <row r="1026" spans="2:33">
      <c r="B1026" s="19"/>
      <c r="P1026" s="16"/>
      <c r="Q1026" s="36" t="s">
        <v>167</v>
      </c>
      <c r="R1026" s="13">
        <v>0</v>
      </c>
      <c r="S1026" s="13">
        <v>7914</v>
      </c>
      <c r="T1026" s="13">
        <v>6241</v>
      </c>
      <c r="U1026" s="13">
        <v>0</v>
      </c>
      <c r="V1026" s="13">
        <v>0</v>
      </c>
      <c r="W1026" s="37">
        <v>11095</v>
      </c>
      <c r="X1026" s="19"/>
      <c r="AG1026" s="16"/>
    </row>
    <row r="1027" spans="2:33">
      <c r="B1027" s="19"/>
      <c r="P1027" s="16"/>
      <c r="Q1027" s="36" t="s">
        <v>38</v>
      </c>
      <c r="R1027" s="13">
        <v>0</v>
      </c>
      <c r="S1027" s="13">
        <v>0</v>
      </c>
      <c r="T1027" s="13">
        <v>0</v>
      </c>
      <c r="U1027" s="13">
        <v>3032</v>
      </c>
      <c r="V1027" s="13">
        <v>3050</v>
      </c>
      <c r="W1027" s="37">
        <v>8859</v>
      </c>
      <c r="X1027" s="19"/>
      <c r="AG1027" s="16"/>
    </row>
    <row r="1028" spans="2:33">
      <c r="B1028" s="19"/>
      <c r="P1028" s="16"/>
      <c r="Q1028" s="36" t="s">
        <v>39</v>
      </c>
      <c r="R1028" s="13">
        <v>0</v>
      </c>
      <c r="S1028" s="13">
        <v>0</v>
      </c>
      <c r="T1028" s="13">
        <v>0</v>
      </c>
      <c r="U1028" s="13">
        <v>3907</v>
      </c>
      <c r="V1028" s="13">
        <v>3640</v>
      </c>
      <c r="W1028" s="37">
        <v>8724</v>
      </c>
      <c r="X1028" s="19"/>
      <c r="AG1028" s="16"/>
    </row>
    <row r="1029" spans="2:33">
      <c r="B1029" s="19"/>
      <c r="P1029" s="16"/>
      <c r="Q1029" s="36" t="s">
        <v>40</v>
      </c>
      <c r="R1029" s="13">
        <v>0</v>
      </c>
      <c r="S1029" s="13">
        <v>0</v>
      </c>
      <c r="T1029" s="13">
        <v>5325</v>
      </c>
      <c r="U1029" s="13">
        <v>4785</v>
      </c>
      <c r="V1029" s="13">
        <v>0</v>
      </c>
      <c r="W1029" s="37">
        <v>9119</v>
      </c>
      <c r="X1029" s="19"/>
      <c r="AG1029" s="16"/>
    </row>
    <row r="1030" spans="2:33">
      <c r="B1030" s="19"/>
      <c r="P1030" s="16"/>
      <c r="Q1030" s="36" t="s">
        <v>438</v>
      </c>
      <c r="R1030" s="13">
        <v>2366</v>
      </c>
      <c r="S1030" s="13">
        <v>2014</v>
      </c>
      <c r="T1030" s="13">
        <v>0</v>
      </c>
      <c r="U1030" s="13">
        <v>0</v>
      </c>
      <c r="V1030" s="13">
        <v>0</v>
      </c>
      <c r="W1030" s="37">
        <v>3259</v>
      </c>
      <c r="X1030" s="19"/>
      <c r="AG1030" s="16"/>
    </row>
    <row r="1031" spans="2:33">
      <c r="B1031" s="19"/>
      <c r="P1031" s="16"/>
      <c r="Q1031" s="36" t="s">
        <v>439</v>
      </c>
      <c r="R1031" s="13">
        <v>3913</v>
      </c>
      <c r="S1031" s="13">
        <v>3290</v>
      </c>
      <c r="T1031" s="13">
        <v>0</v>
      </c>
      <c r="U1031" s="13">
        <v>0</v>
      </c>
      <c r="V1031" s="13">
        <v>0</v>
      </c>
      <c r="W1031" s="37">
        <v>6680</v>
      </c>
      <c r="X1031" s="19"/>
      <c r="AG1031" s="16"/>
    </row>
    <row r="1032" spans="2:33">
      <c r="B1032" s="19"/>
      <c r="P1032" s="16"/>
      <c r="Q1032" s="36" t="s">
        <v>42</v>
      </c>
      <c r="R1032" s="13">
        <v>0</v>
      </c>
      <c r="S1032" s="13">
        <v>0</v>
      </c>
      <c r="T1032" s="13">
        <v>6133</v>
      </c>
      <c r="U1032" s="13">
        <v>4956</v>
      </c>
      <c r="V1032" s="13">
        <v>0</v>
      </c>
      <c r="W1032" s="37">
        <v>12482</v>
      </c>
      <c r="X1032" s="19"/>
      <c r="AG1032" s="16"/>
    </row>
    <row r="1033" spans="2:33">
      <c r="B1033" s="19"/>
      <c r="P1033" s="16"/>
      <c r="Q1033" s="36" t="s">
        <v>43</v>
      </c>
      <c r="R1033" s="13">
        <v>0</v>
      </c>
      <c r="S1033" s="13">
        <v>0</v>
      </c>
      <c r="T1033" s="13">
        <v>5919</v>
      </c>
      <c r="U1033" s="13">
        <v>4774</v>
      </c>
      <c r="V1033" s="13">
        <v>0</v>
      </c>
      <c r="W1033" s="37">
        <v>10029</v>
      </c>
      <c r="X1033" s="19"/>
      <c r="AG1033" s="16"/>
    </row>
    <row r="1034" spans="2:33">
      <c r="B1034" s="19"/>
      <c r="P1034" s="16"/>
      <c r="Q1034" s="36" t="s">
        <v>44</v>
      </c>
      <c r="R1034" s="13">
        <v>0</v>
      </c>
      <c r="S1034" s="13">
        <v>0</v>
      </c>
      <c r="T1034" s="13">
        <v>0</v>
      </c>
      <c r="U1034" s="13">
        <v>5326</v>
      </c>
      <c r="V1034" s="13">
        <v>3948</v>
      </c>
      <c r="W1034" s="37">
        <v>9476</v>
      </c>
      <c r="X1034" s="19"/>
      <c r="AG1034" s="16"/>
    </row>
    <row r="1035" spans="2:33">
      <c r="B1035" s="19"/>
      <c r="P1035" s="16"/>
      <c r="Q1035" s="36" t="s">
        <v>45</v>
      </c>
      <c r="R1035" s="13">
        <v>0</v>
      </c>
      <c r="S1035" s="13">
        <v>5434</v>
      </c>
      <c r="T1035" s="13">
        <v>4424</v>
      </c>
      <c r="U1035" s="13">
        <v>0</v>
      </c>
      <c r="V1035" s="13">
        <v>0</v>
      </c>
      <c r="W1035" s="37">
        <v>10749</v>
      </c>
      <c r="X1035" s="19"/>
      <c r="AG1035" s="16"/>
    </row>
    <row r="1036" spans="2:33" ht="15" thickBot="1">
      <c r="B1036" s="20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7"/>
      <c r="Q1036" s="36" t="s">
        <v>46</v>
      </c>
      <c r="R1036" s="13">
        <v>10488</v>
      </c>
      <c r="S1036" s="13">
        <v>7398</v>
      </c>
      <c r="T1036" s="13">
        <v>0</v>
      </c>
      <c r="U1036" s="13">
        <v>0</v>
      </c>
      <c r="V1036" s="13">
        <v>0</v>
      </c>
      <c r="W1036" s="37">
        <v>13949</v>
      </c>
      <c r="X1036" s="20"/>
      <c r="Y1036" s="15"/>
      <c r="Z1036" s="15"/>
      <c r="AA1036" s="15"/>
      <c r="AB1036" s="15"/>
      <c r="AC1036" s="15"/>
      <c r="AD1036" s="15"/>
      <c r="AE1036" s="15"/>
      <c r="AF1036" s="15"/>
      <c r="AG1036" s="17"/>
    </row>
    <row r="1038" spans="2:33" ht="15" thickBot="1">
      <c r="B1038" s="25" t="s">
        <v>532</v>
      </c>
      <c r="C1038" s="26" t="s">
        <v>533</v>
      </c>
      <c r="D1038" s="26" t="s">
        <v>534</v>
      </c>
      <c r="E1038" s="26" t="s">
        <v>535</v>
      </c>
      <c r="F1038" s="26" t="s">
        <v>536</v>
      </c>
      <c r="G1038" s="26" t="s">
        <v>537</v>
      </c>
      <c r="H1038" s="27" t="s">
        <v>33</v>
      </c>
      <c r="I1038" s="26" t="s">
        <v>538</v>
      </c>
      <c r="J1038" s="27" t="s">
        <v>87</v>
      </c>
      <c r="K1038" s="29">
        <v>22</v>
      </c>
      <c r="L1038" s="29">
        <v>22</v>
      </c>
      <c r="M1038" s="29">
        <v>22</v>
      </c>
      <c r="N1038" s="29">
        <v>22</v>
      </c>
      <c r="O1038" s="29">
        <v>22</v>
      </c>
      <c r="P1038" s="40">
        <v>63</v>
      </c>
      <c r="Q1038" s="1" t="s">
        <v>35</v>
      </c>
      <c r="R1038" s="2">
        <v>1627</v>
      </c>
      <c r="S1038" s="2">
        <v>834</v>
      </c>
      <c r="T1038" s="2">
        <v>0</v>
      </c>
      <c r="U1038" s="2">
        <v>0</v>
      </c>
      <c r="V1038" s="2">
        <v>0</v>
      </c>
      <c r="W1038" s="2">
        <v>715</v>
      </c>
      <c r="X1038" s="43">
        <f>SUM(R1038:W1049)</f>
        <v>33846</v>
      </c>
      <c r="Y1038" s="10">
        <v>46204</v>
      </c>
      <c r="Z1038" s="11">
        <v>0.21915174234314722</v>
      </c>
      <c r="AA1038" s="11">
        <v>0.18274192037163289</v>
      </c>
      <c r="AB1038" s="11">
        <v>0.14726787607165501</v>
      </c>
      <c r="AC1038" s="11">
        <v>0.1287497680516306</v>
      </c>
      <c r="AD1038" s="11">
        <v>0.11447820346270936</v>
      </c>
      <c r="AE1038" s="11">
        <v>0.13149780089791482</v>
      </c>
      <c r="AF1038" s="11">
        <v>0.2</v>
      </c>
      <c r="AG1038" s="11">
        <v>0.23899999999999999</v>
      </c>
    </row>
    <row r="1039" spans="2:33">
      <c r="B1039" s="53" t="s">
        <v>2193</v>
      </c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35"/>
      <c r="Q1039" s="36" t="s">
        <v>36</v>
      </c>
      <c r="R1039" s="13">
        <v>1394</v>
      </c>
      <c r="S1039" s="13">
        <v>731</v>
      </c>
      <c r="T1039" s="13">
        <v>0</v>
      </c>
      <c r="U1039" s="13">
        <v>0</v>
      </c>
      <c r="V1039" s="13">
        <v>0</v>
      </c>
      <c r="W1039" s="37">
        <v>480</v>
      </c>
      <c r="X1039" s="18"/>
      <c r="Y1039" s="14"/>
      <c r="Z1039" s="14"/>
      <c r="AA1039" s="14"/>
      <c r="AB1039" s="14"/>
      <c r="AC1039" s="14"/>
      <c r="AD1039" s="14"/>
      <c r="AE1039" s="14"/>
      <c r="AF1039" s="14"/>
      <c r="AG1039" s="35"/>
    </row>
    <row r="1040" spans="2:33">
      <c r="B1040" s="19"/>
      <c r="P1040" s="16"/>
      <c r="Q1040" s="36" t="s">
        <v>37</v>
      </c>
      <c r="R1040" s="13">
        <v>0</v>
      </c>
      <c r="S1040" s="13">
        <v>1660</v>
      </c>
      <c r="T1040" s="13">
        <v>842</v>
      </c>
      <c r="U1040" s="13">
        <v>0</v>
      </c>
      <c r="V1040" s="13">
        <v>0</v>
      </c>
      <c r="W1040" s="37">
        <v>627</v>
      </c>
      <c r="X1040" s="19"/>
      <c r="AG1040" s="16"/>
    </row>
    <row r="1041" spans="2:33">
      <c r="B1041" s="19"/>
      <c r="P1041" s="16"/>
      <c r="Q1041" s="36" t="s">
        <v>38</v>
      </c>
      <c r="R1041" s="13">
        <v>0</v>
      </c>
      <c r="S1041" s="13">
        <v>0</v>
      </c>
      <c r="T1041" s="13">
        <v>0</v>
      </c>
      <c r="U1041" s="13">
        <v>1090</v>
      </c>
      <c r="V1041" s="13">
        <v>568</v>
      </c>
      <c r="W1041" s="37">
        <v>440</v>
      </c>
      <c r="X1041" s="19"/>
      <c r="AG1041" s="16"/>
    </row>
    <row r="1042" spans="2:33">
      <c r="B1042" s="19"/>
      <c r="P1042" s="16"/>
      <c r="Q1042" s="36" t="s">
        <v>39</v>
      </c>
      <c r="R1042" s="13">
        <v>0</v>
      </c>
      <c r="S1042" s="13">
        <v>0</v>
      </c>
      <c r="T1042" s="13">
        <v>0</v>
      </c>
      <c r="U1042" s="13">
        <v>1160</v>
      </c>
      <c r="V1042" s="13">
        <v>641</v>
      </c>
      <c r="W1042" s="37">
        <v>580</v>
      </c>
      <c r="X1042" s="19"/>
      <c r="AG1042" s="16"/>
    </row>
    <row r="1043" spans="2:33">
      <c r="B1043" s="19"/>
      <c r="P1043" s="16"/>
      <c r="Q1043" s="36" t="s">
        <v>40</v>
      </c>
      <c r="R1043" s="13">
        <v>0</v>
      </c>
      <c r="S1043" s="13">
        <v>0</v>
      </c>
      <c r="T1043" s="13">
        <v>2109</v>
      </c>
      <c r="U1043" s="13">
        <v>1160</v>
      </c>
      <c r="V1043" s="13">
        <v>0</v>
      </c>
      <c r="W1043" s="37">
        <v>622</v>
      </c>
      <c r="X1043" s="19"/>
      <c r="AG1043" s="16"/>
    </row>
    <row r="1044" spans="2:33">
      <c r="B1044" s="19"/>
      <c r="P1044" s="16"/>
      <c r="Q1044" s="36" t="s">
        <v>41</v>
      </c>
      <c r="R1044" s="13">
        <v>2567</v>
      </c>
      <c r="S1044" s="13">
        <v>1445</v>
      </c>
      <c r="T1044" s="13">
        <v>0</v>
      </c>
      <c r="U1044" s="13">
        <v>0</v>
      </c>
      <c r="V1044" s="13">
        <v>0</v>
      </c>
      <c r="W1044" s="37">
        <v>640</v>
      </c>
      <c r="X1044" s="19"/>
      <c r="AG1044" s="16"/>
    </row>
    <row r="1045" spans="2:33">
      <c r="B1045" s="19"/>
      <c r="P1045" s="16"/>
      <c r="Q1045" s="36" t="s">
        <v>136</v>
      </c>
      <c r="R1045" s="13">
        <v>0</v>
      </c>
      <c r="S1045" s="13">
        <v>0</v>
      </c>
      <c r="T1045" s="13">
        <v>1587</v>
      </c>
      <c r="U1045" s="13">
        <v>943</v>
      </c>
      <c r="V1045" s="13">
        <v>0</v>
      </c>
      <c r="W1045" s="37">
        <v>520</v>
      </c>
      <c r="X1045" s="19"/>
      <c r="AG1045" s="16"/>
    </row>
    <row r="1046" spans="2:33">
      <c r="B1046" s="19"/>
      <c r="P1046" s="16"/>
      <c r="Q1046" s="36" t="s">
        <v>44</v>
      </c>
      <c r="R1046" s="13">
        <v>0</v>
      </c>
      <c r="S1046" s="13">
        <v>0</v>
      </c>
      <c r="T1046" s="13">
        <v>0</v>
      </c>
      <c r="U1046" s="13">
        <v>1298</v>
      </c>
      <c r="V1046" s="13">
        <v>800</v>
      </c>
      <c r="W1046" s="37">
        <v>446</v>
      </c>
      <c r="X1046" s="19"/>
      <c r="AG1046" s="16"/>
    </row>
    <row r="1047" spans="2:33">
      <c r="B1047" s="19"/>
      <c r="P1047" s="16"/>
      <c r="Q1047" s="36" t="s">
        <v>539</v>
      </c>
      <c r="R1047" s="13">
        <v>0</v>
      </c>
      <c r="S1047" s="13">
        <v>1065</v>
      </c>
      <c r="T1047" s="13">
        <v>589</v>
      </c>
      <c r="U1047" s="13">
        <v>0</v>
      </c>
      <c r="V1047" s="13">
        <v>0</v>
      </c>
      <c r="W1047" s="37">
        <v>589</v>
      </c>
      <c r="X1047" s="19"/>
      <c r="AG1047" s="16"/>
    </row>
    <row r="1048" spans="2:33">
      <c r="B1048" s="19"/>
      <c r="P1048" s="16"/>
      <c r="Q1048" s="36" t="s">
        <v>540</v>
      </c>
      <c r="R1048" s="13">
        <v>0</v>
      </c>
      <c r="S1048" s="13">
        <v>188</v>
      </c>
      <c r="T1048" s="13">
        <v>104</v>
      </c>
      <c r="U1048" s="13">
        <v>0</v>
      </c>
      <c r="V1048" s="13">
        <v>0</v>
      </c>
      <c r="W1048" s="37">
        <v>129</v>
      </c>
      <c r="X1048" s="19"/>
      <c r="AG1048" s="16"/>
    </row>
    <row r="1049" spans="2:33" ht="15" thickBot="1">
      <c r="B1049" s="20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7"/>
      <c r="Q1049" s="36" t="s">
        <v>46</v>
      </c>
      <c r="R1049" s="13">
        <v>1732</v>
      </c>
      <c r="S1049" s="13">
        <v>968</v>
      </c>
      <c r="T1049" s="13">
        <v>0</v>
      </c>
      <c r="U1049" s="13">
        <v>0</v>
      </c>
      <c r="V1049" s="13">
        <v>0</v>
      </c>
      <c r="W1049" s="37">
        <v>956</v>
      </c>
      <c r="X1049" s="20"/>
      <c r="Y1049" s="15"/>
      <c r="Z1049" s="15"/>
      <c r="AA1049" s="15"/>
      <c r="AB1049" s="15"/>
      <c r="AC1049" s="15"/>
      <c r="AD1049" s="15"/>
      <c r="AE1049" s="15"/>
      <c r="AF1049" s="15"/>
      <c r="AG1049" s="17"/>
    </row>
    <row r="1051" spans="2:33" ht="15" thickBot="1">
      <c r="B1051" s="25" t="s">
        <v>532</v>
      </c>
      <c r="C1051" s="26" t="s">
        <v>533</v>
      </c>
      <c r="D1051" s="26" t="s">
        <v>541</v>
      </c>
      <c r="E1051" s="26" t="s">
        <v>542</v>
      </c>
      <c r="F1051" s="26" t="s">
        <v>543</v>
      </c>
      <c r="G1051" s="26" t="s">
        <v>544</v>
      </c>
      <c r="H1051" s="27" t="s">
        <v>33</v>
      </c>
      <c r="I1051" s="26" t="s">
        <v>545</v>
      </c>
      <c r="J1051" s="27" t="s">
        <v>87</v>
      </c>
      <c r="K1051" s="29">
        <v>22</v>
      </c>
      <c r="L1051" s="29">
        <v>22</v>
      </c>
      <c r="M1051" s="29">
        <v>22</v>
      </c>
      <c r="N1051" s="29">
        <v>22</v>
      </c>
      <c r="O1051" s="29">
        <v>22</v>
      </c>
      <c r="P1051" s="40">
        <v>22</v>
      </c>
      <c r="Q1051" s="1" t="s">
        <v>546</v>
      </c>
      <c r="R1051" s="2">
        <v>1753</v>
      </c>
      <c r="S1051" s="2">
        <v>661</v>
      </c>
      <c r="T1051" s="2">
        <v>0</v>
      </c>
      <c r="U1051" s="2">
        <v>0</v>
      </c>
      <c r="V1051" s="2">
        <v>0</v>
      </c>
      <c r="W1051" s="2">
        <v>719</v>
      </c>
      <c r="X1051" s="43">
        <f>SUM(R1051:W1062)</f>
        <v>37538</v>
      </c>
      <c r="Y1051" s="10">
        <v>46204</v>
      </c>
      <c r="Z1051" s="11">
        <v>0.21915174234314722</v>
      </c>
      <c r="AA1051" s="11">
        <v>0.18274192037163289</v>
      </c>
      <c r="AB1051" s="11">
        <v>0.14726787607165501</v>
      </c>
      <c r="AC1051" s="11">
        <v>0.1287497680516306</v>
      </c>
      <c r="AD1051" s="11">
        <v>0.11447820346270936</v>
      </c>
      <c r="AE1051" s="11">
        <v>0.13149780089791482</v>
      </c>
      <c r="AF1051" s="11">
        <v>0.2</v>
      </c>
      <c r="AG1051" s="11">
        <v>0.23899999999999999</v>
      </c>
    </row>
    <row r="1052" spans="2:33">
      <c r="B1052" s="53" t="s">
        <v>2193</v>
      </c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35"/>
      <c r="Q1052" s="36" t="s">
        <v>547</v>
      </c>
      <c r="R1052" s="13">
        <v>1411</v>
      </c>
      <c r="S1052" s="13">
        <v>337</v>
      </c>
      <c r="T1052" s="13">
        <v>0</v>
      </c>
      <c r="U1052" s="13">
        <v>0</v>
      </c>
      <c r="V1052" s="13">
        <v>0</v>
      </c>
      <c r="W1052" s="37">
        <v>439</v>
      </c>
      <c r="X1052" s="18"/>
      <c r="Y1052" s="14"/>
      <c r="Z1052" s="14"/>
      <c r="AA1052" s="14"/>
      <c r="AB1052" s="14"/>
      <c r="AC1052" s="14"/>
      <c r="AD1052" s="14"/>
      <c r="AE1052" s="14"/>
      <c r="AF1052" s="14"/>
      <c r="AG1052" s="35"/>
    </row>
    <row r="1053" spans="2:33">
      <c r="B1053" s="19"/>
      <c r="P1053" s="16"/>
      <c r="Q1053" s="36" t="s">
        <v>37</v>
      </c>
      <c r="R1053" s="13">
        <v>-449</v>
      </c>
      <c r="S1053" s="13">
        <v>1214</v>
      </c>
      <c r="T1053" s="13">
        <v>607</v>
      </c>
      <c r="U1053" s="13">
        <v>0</v>
      </c>
      <c r="V1053" s="13">
        <v>0</v>
      </c>
      <c r="W1053" s="37">
        <v>1681</v>
      </c>
      <c r="X1053" s="19"/>
      <c r="AG1053" s="16"/>
    </row>
    <row r="1054" spans="2:33">
      <c r="B1054" s="19"/>
      <c r="P1054" s="16"/>
      <c r="Q1054" s="36" t="s">
        <v>548</v>
      </c>
      <c r="R1054" s="13">
        <v>0</v>
      </c>
      <c r="S1054" s="13">
        <v>0</v>
      </c>
      <c r="T1054" s="13">
        <v>0</v>
      </c>
      <c r="U1054" s="13">
        <v>1086</v>
      </c>
      <c r="V1054" s="13">
        <v>286</v>
      </c>
      <c r="W1054" s="37">
        <v>489</v>
      </c>
      <c r="X1054" s="19"/>
      <c r="AG1054" s="16"/>
    </row>
    <row r="1055" spans="2:33">
      <c r="B1055" s="19"/>
      <c r="P1055" s="16"/>
      <c r="Q1055" s="36" t="s">
        <v>549</v>
      </c>
      <c r="R1055" s="13">
        <v>0</v>
      </c>
      <c r="S1055" s="13">
        <v>0</v>
      </c>
      <c r="T1055" s="13">
        <v>0</v>
      </c>
      <c r="U1055" s="13">
        <v>535</v>
      </c>
      <c r="V1055" s="13">
        <v>128</v>
      </c>
      <c r="W1055" s="37">
        <v>232</v>
      </c>
      <c r="X1055" s="19"/>
      <c r="AG1055" s="16"/>
    </row>
    <row r="1056" spans="2:33">
      <c r="B1056" s="19"/>
      <c r="P1056" s="16"/>
      <c r="Q1056" s="36" t="s">
        <v>550</v>
      </c>
      <c r="R1056" s="13">
        <v>0</v>
      </c>
      <c r="S1056" s="13">
        <v>0</v>
      </c>
      <c r="T1056" s="13">
        <v>2877</v>
      </c>
      <c r="U1056" s="13">
        <v>1584</v>
      </c>
      <c r="V1056" s="13">
        <v>136</v>
      </c>
      <c r="W1056" s="37">
        <v>1185</v>
      </c>
      <c r="X1056" s="19"/>
      <c r="AG1056" s="16"/>
    </row>
    <row r="1057" spans="2:33">
      <c r="B1057" s="19"/>
      <c r="P1057" s="16"/>
      <c r="Q1057" s="36" t="s">
        <v>41</v>
      </c>
      <c r="R1057" s="13">
        <v>2775</v>
      </c>
      <c r="S1057" s="13">
        <v>354</v>
      </c>
      <c r="T1057" s="13">
        <v>0</v>
      </c>
      <c r="U1057" s="13">
        <v>0</v>
      </c>
      <c r="V1057" s="13">
        <v>0</v>
      </c>
      <c r="W1057" s="37">
        <v>756</v>
      </c>
      <c r="X1057" s="19"/>
      <c r="AG1057" s="16"/>
    </row>
    <row r="1058" spans="2:33">
      <c r="B1058" s="19"/>
      <c r="P1058" s="16"/>
      <c r="Q1058" s="36" t="s">
        <v>551</v>
      </c>
      <c r="R1058" s="13">
        <v>358</v>
      </c>
      <c r="S1058" s="13">
        <v>46</v>
      </c>
      <c r="T1058" s="13">
        <v>0</v>
      </c>
      <c r="U1058" s="13">
        <v>0</v>
      </c>
      <c r="V1058" s="13">
        <v>0</v>
      </c>
      <c r="W1058" s="37">
        <v>98</v>
      </c>
      <c r="X1058" s="19"/>
      <c r="AG1058" s="16"/>
    </row>
    <row r="1059" spans="2:33">
      <c r="B1059" s="19"/>
      <c r="P1059" s="16"/>
      <c r="Q1059" s="36" t="s">
        <v>552</v>
      </c>
      <c r="R1059" s="13">
        <v>0</v>
      </c>
      <c r="S1059" s="13">
        <v>0</v>
      </c>
      <c r="T1059" s="13">
        <v>1569</v>
      </c>
      <c r="U1059" s="13">
        <v>1099</v>
      </c>
      <c r="V1059" s="13">
        <v>0</v>
      </c>
      <c r="W1059" s="37">
        <v>2131</v>
      </c>
      <c r="X1059" s="19"/>
      <c r="AG1059" s="16"/>
    </row>
    <row r="1060" spans="2:33">
      <c r="B1060" s="19"/>
      <c r="P1060" s="16"/>
      <c r="Q1060" s="36" t="s">
        <v>553</v>
      </c>
      <c r="R1060" s="13">
        <v>0</v>
      </c>
      <c r="S1060" s="13">
        <v>0</v>
      </c>
      <c r="T1060" s="13">
        <v>2121</v>
      </c>
      <c r="U1060" s="13">
        <v>2124</v>
      </c>
      <c r="V1060" s="13">
        <v>418</v>
      </c>
      <c r="W1060" s="37">
        <v>1212</v>
      </c>
      <c r="X1060" s="19"/>
      <c r="AG1060" s="16"/>
    </row>
    <row r="1061" spans="2:33">
      <c r="B1061" s="19"/>
      <c r="P1061" s="16"/>
      <c r="Q1061" s="36" t="s">
        <v>554</v>
      </c>
      <c r="R1061" s="13">
        <v>0</v>
      </c>
      <c r="S1061" s="13">
        <v>1160</v>
      </c>
      <c r="T1061" s="13">
        <v>284</v>
      </c>
      <c r="U1061" s="13">
        <v>0</v>
      </c>
      <c r="V1061" s="13">
        <v>0</v>
      </c>
      <c r="W1061" s="37">
        <v>407</v>
      </c>
      <c r="X1061" s="19"/>
      <c r="AG1061" s="16"/>
    </row>
    <row r="1062" spans="2:33" ht="15" thickBot="1">
      <c r="B1062" s="20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7"/>
      <c r="Q1062" s="36" t="s">
        <v>555</v>
      </c>
      <c r="R1062" s="13">
        <v>1755</v>
      </c>
      <c r="S1062" s="13">
        <v>902</v>
      </c>
      <c r="T1062" s="13">
        <v>87</v>
      </c>
      <c r="U1062" s="13">
        <v>0</v>
      </c>
      <c r="V1062" s="13">
        <v>0</v>
      </c>
      <c r="W1062" s="37">
        <v>971</v>
      </c>
      <c r="X1062" s="20"/>
      <c r="Y1062" s="15"/>
      <c r="Z1062" s="15"/>
      <c r="AA1062" s="15"/>
      <c r="AB1062" s="15"/>
      <c r="AC1062" s="15"/>
      <c r="AD1062" s="15"/>
      <c r="AE1062" s="15"/>
      <c r="AF1062" s="15"/>
      <c r="AG1062" s="17"/>
    </row>
    <row r="1064" spans="2:33" ht="15" thickBot="1">
      <c r="B1064" s="25" t="s">
        <v>532</v>
      </c>
      <c r="C1064" s="26" t="s">
        <v>533</v>
      </c>
      <c r="D1064" s="26" t="s">
        <v>556</v>
      </c>
      <c r="E1064" s="26" t="s">
        <v>557</v>
      </c>
      <c r="F1064" s="26" t="s">
        <v>74</v>
      </c>
      <c r="G1064" s="26" t="s">
        <v>75</v>
      </c>
      <c r="H1064" s="27" t="s">
        <v>75</v>
      </c>
      <c r="I1064" s="26" t="s">
        <v>558</v>
      </c>
      <c r="J1064" s="27" t="s">
        <v>87</v>
      </c>
      <c r="K1064" s="29">
        <v>45</v>
      </c>
      <c r="L1064" s="29">
        <v>45</v>
      </c>
      <c r="M1064" s="29">
        <v>45</v>
      </c>
      <c r="N1064" s="29">
        <v>45</v>
      </c>
      <c r="O1064" s="29">
        <v>45</v>
      </c>
      <c r="P1064" s="40">
        <v>56</v>
      </c>
      <c r="Q1064" s="1" t="s">
        <v>35</v>
      </c>
      <c r="R1064" s="2">
        <v>2992</v>
      </c>
      <c r="S1064" s="2">
        <v>789</v>
      </c>
      <c r="T1064" s="2">
        <v>0</v>
      </c>
      <c r="U1064" s="2">
        <v>0</v>
      </c>
      <c r="V1064" s="2">
        <v>0</v>
      </c>
      <c r="W1064" s="2">
        <v>1186</v>
      </c>
      <c r="X1064" s="43">
        <f>SUM(R1064:W1076)</f>
        <v>52865</v>
      </c>
      <c r="Y1064" s="10">
        <v>46204</v>
      </c>
      <c r="Z1064" s="11">
        <v>0.21915174234314722</v>
      </c>
      <c r="AA1064" s="11">
        <v>0.18274192037163289</v>
      </c>
      <c r="AB1064" s="11">
        <v>0.14726787607165501</v>
      </c>
      <c r="AC1064" s="11">
        <v>0.1287497680516306</v>
      </c>
      <c r="AD1064" s="11">
        <v>0.11447820346270936</v>
      </c>
      <c r="AE1064" s="11">
        <v>0.13149780089791482</v>
      </c>
      <c r="AF1064" s="11">
        <v>0.2</v>
      </c>
      <c r="AG1064" s="11">
        <v>0.23899999999999999</v>
      </c>
    </row>
    <row r="1065" spans="2:33">
      <c r="B1065" s="53" t="s">
        <v>2193</v>
      </c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35"/>
      <c r="Q1065" s="36" t="s">
        <v>36</v>
      </c>
      <c r="R1065" s="13">
        <v>2566</v>
      </c>
      <c r="S1065" s="13">
        <v>729</v>
      </c>
      <c r="T1065" s="13">
        <v>0</v>
      </c>
      <c r="U1065" s="13">
        <v>0</v>
      </c>
      <c r="V1065" s="13">
        <v>0</v>
      </c>
      <c r="W1065" s="37">
        <v>919</v>
      </c>
      <c r="X1065" s="18"/>
      <c r="Y1065" s="14"/>
      <c r="Z1065" s="14"/>
      <c r="AA1065" s="14"/>
      <c r="AB1065" s="14"/>
      <c r="AC1065" s="14"/>
      <c r="AD1065" s="14"/>
      <c r="AE1065" s="14"/>
      <c r="AF1065" s="14"/>
      <c r="AG1065" s="35"/>
    </row>
    <row r="1066" spans="2:33">
      <c r="B1066" s="19"/>
      <c r="P1066" s="16"/>
      <c r="Q1066" s="36" t="s">
        <v>37</v>
      </c>
      <c r="R1066" s="13">
        <v>0</v>
      </c>
      <c r="S1066" s="13">
        <v>2742</v>
      </c>
      <c r="T1066" s="13">
        <v>827</v>
      </c>
      <c r="U1066" s="13">
        <v>0</v>
      </c>
      <c r="V1066" s="13">
        <v>0</v>
      </c>
      <c r="W1066" s="37">
        <v>1086</v>
      </c>
      <c r="X1066" s="19"/>
      <c r="AG1066" s="16"/>
    </row>
    <row r="1067" spans="2:33">
      <c r="B1067" s="19"/>
      <c r="P1067" s="16"/>
      <c r="Q1067" s="36" t="s">
        <v>38</v>
      </c>
      <c r="R1067" s="13">
        <v>0</v>
      </c>
      <c r="S1067" s="13">
        <v>0</v>
      </c>
      <c r="T1067" s="13">
        <v>0</v>
      </c>
      <c r="U1067" s="13">
        <v>2404</v>
      </c>
      <c r="V1067" s="13">
        <v>708</v>
      </c>
      <c r="W1067" s="37">
        <v>929</v>
      </c>
      <c r="X1067" s="19"/>
      <c r="AG1067" s="16"/>
    </row>
    <row r="1068" spans="2:33">
      <c r="B1068" s="19"/>
      <c r="P1068" s="16"/>
      <c r="Q1068" s="36" t="s">
        <v>39</v>
      </c>
      <c r="R1068" s="13">
        <v>0</v>
      </c>
      <c r="S1068" s="13">
        <v>0</v>
      </c>
      <c r="T1068" s="13">
        <v>0</v>
      </c>
      <c r="U1068" s="13">
        <v>2884</v>
      </c>
      <c r="V1068" s="13">
        <v>808</v>
      </c>
      <c r="W1068" s="37">
        <v>1230</v>
      </c>
      <c r="X1068" s="19"/>
      <c r="AG1068" s="16"/>
    </row>
    <row r="1069" spans="2:33">
      <c r="B1069" s="19"/>
      <c r="P1069" s="16"/>
      <c r="Q1069" s="36" t="s">
        <v>40</v>
      </c>
      <c r="R1069" s="13">
        <v>0</v>
      </c>
      <c r="S1069" s="13">
        <v>0</v>
      </c>
      <c r="T1069" s="13">
        <v>5152</v>
      </c>
      <c r="U1069" s="13">
        <v>996</v>
      </c>
      <c r="V1069" s="13">
        <v>0</v>
      </c>
      <c r="W1069" s="37">
        <v>1406</v>
      </c>
      <c r="X1069" s="19"/>
      <c r="AG1069" s="16"/>
    </row>
    <row r="1070" spans="2:33">
      <c r="B1070" s="19"/>
      <c r="P1070" s="16"/>
      <c r="Q1070" s="36" t="s">
        <v>41</v>
      </c>
      <c r="R1070" s="13">
        <v>5961</v>
      </c>
      <c r="S1070" s="13">
        <v>1077</v>
      </c>
      <c r="T1070" s="13">
        <v>0</v>
      </c>
      <c r="U1070" s="13">
        <v>0</v>
      </c>
      <c r="V1070" s="13">
        <v>0</v>
      </c>
      <c r="W1070" s="37">
        <v>1575</v>
      </c>
      <c r="X1070" s="19"/>
      <c r="AG1070" s="16"/>
    </row>
    <row r="1071" spans="2:33">
      <c r="B1071" s="19"/>
      <c r="P1071" s="16"/>
      <c r="Q1071" s="36" t="s">
        <v>552</v>
      </c>
      <c r="R1071" s="13">
        <v>0</v>
      </c>
      <c r="S1071" s="13">
        <v>0</v>
      </c>
      <c r="T1071" s="13">
        <v>4677</v>
      </c>
      <c r="U1071" s="13">
        <v>851</v>
      </c>
      <c r="V1071" s="13">
        <v>0</v>
      </c>
      <c r="W1071" s="37">
        <v>1560</v>
      </c>
      <c r="X1071" s="19"/>
      <c r="AG1071" s="16"/>
    </row>
    <row r="1072" spans="2:33">
      <c r="B1072" s="19"/>
      <c r="P1072" s="16"/>
      <c r="Q1072" s="36" t="s">
        <v>43</v>
      </c>
      <c r="R1072" s="13">
        <v>0</v>
      </c>
      <c r="S1072" s="13">
        <v>0</v>
      </c>
      <c r="T1072" s="13">
        <v>4440</v>
      </c>
      <c r="U1072" s="13">
        <v>1032</v>
      </c>
      <c r="V1072" s="13">
        <v>0</v>
      </c>
      <c r="W1072" s="37">
        <v>1339</v>
      </c>
      <c r="X1072" s="19"/>
      <c r="AG1072" s="16"/>
    </row>
    <row r="1073" spans="2:33">
      <c r="B1073" s="19"/>
      <c r="P1073" s="16"/>
      <c r="Q1073" s="36" t="s">
        <v>44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37">
        <v>0</v>
      </c>
      <c r="X1073" s="19"/>
      <c r="AG1073" s="16"/>
    </row>
    <row r="1074" spans="2:33">
      <c r="B1074" s="19"/>
      <c r="P1074" s="16"/>
      <c r="Q1074" s="36" t="s">
        <v>539</v>
      </c>
      <c r="R1074" s="13">
        <v>0</v>
      </c>
      <c r="S1074" s="13">
        <v>0</v>
      </c>
      <c r="T1074" s="13">
        <v>0</v>
      </c>
      <c r="U1074" s="13">
        <v>0</v>
      </c>
      <c r="V1074" s="13">
        <v>0</v>
      </c>
      <c r="W1074" s="37">
        <v>0</v>
      </c>
      <c r="X1074" s="19"/>
      <c r="AG1074" s="16"/>
    </row>
    <row r="1075" spans="2:33">
      <c r="B1075" s="19"/>
      <c r="P1075" s="16"/>
      <c r="Q1075" s="36" t="s">
        <v>540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37">
        <v>0</v>
      </c>
      <c r="X1075" s="19"/>
      <c r="AG1075" s="16"/>
    </row>
    <row r="1076" spans="2:33" ht="15" thickBot="1">
      <c r="B1076" s="20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7"/>
      <c r="Q1076" s="36" t="s">
        <v>46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37">
        <v>0</v>
      </c>
      <c r="X1076" s="20"/>
      <c r="Y1076" s="15"/>
      <c r="Z1076" s="15"/>
      <c r="AA1076" s="15"/>
      <c r="AB1076" s="15"/>
      <c r="AC1076" s="15"/>
      <c r="AD1076" s="15"/>
      <c r="AE1076" s="15"/>
      <c r="AF1076" s="15"/>
      <c r="AG1076" s="17"/>
    </row>
    <row r="1078" spans="2:33" ht="15" thickBot="1">
      <c r="B1078" s="25" t="s">
        <v>532</v>
      </c>
      <c r="C1078" s="26" t="s">
        <v>533</v>
      </c>
      <c r="D1078" s="26" t="s">
        <v>559</v>
      </c>
      <c r="E1078" s="26" t="s">
        <v>560</v>
      </c>
      <c r="F1078" s="26" t="s">
        <v>80</v>
      </c>
      <c r="G1078" s="26" t="s">
        <v>81</v>
      </c>
      <c r="H1078" s="27" t="s">
        <v>81</v>
      </c>
      <c r="I1078" s="26" t="s">
        <v>561</v>
      </c>
      <c r="J1078" s="27" t="s">
        <v>87</v>
      </c>
      <c r="K1078" s="29">
        <v>41</v>
      </c>
      <c r="L1078" s="29">
        <v>41</v>
      </c>
      <c r="M1078" s="29">
        <v>41</v>
      </c>
      <c r="N1078" s="29">
        <v>41</v>
      </c>
      <c r="O1078" s="29">
        <v>41</v>
      </c>
      <c r="P1078" s="40">
        <v>47</v>
      </c>
      <c r="Q1078" s="1" t="s">
        <v>35</v>
      </c>
      <c r="R1078" s="2">
        <v>4106</v>
      </c>
      <c r="S1078" s="2">
        <v>2147</v>
      </c>
      <c r="T1078" s="2">
        <v>0</v>
      </c>
      <c r="U1078" s="2">
        <v>0</v>
      </c>
      <c r="V1078" s="2">
        <v>0</v>
      </c>
      <c r="W1078" s="2">
        <v>1688</v>
      </c>
      <c r="X1078" s="43">
        <f>SUM(R1078:W1091)</f>
        <v>79038</v>
      </c>
      <c r="Y1078" s="10">
        <v>46204</v>
      </c>
      <c r="Z1078" s="11">
        <v>0.21915174234314722</v>
      </c>
      <c r="AA1078" s="11">
        <v>0.18274192037163289</v>
      </c>
      <c r="AB1078" s="11">
        <v>0.14726787607165501</v>
      </c>
      <c r="AC1078" s="11">
        <v>0.1287497680516306</v>
      </c>
      <c r="AD1078" s="11">
        <v>0.11447820346270936</v>
      </c>
      <c r="AE1078" s="11">
        <v>0.13149780089791482</v>
      </c>
      <c r="AF1078" s="11">
        <v>0.2</v>
      </c>
      <c r="AG1078" s="11">
        <v>0.23899999999999999</v>
      </c>
    </row>
    <row r="1079" spans="2:33">
      <c r="B1079" s="53" t="s">
        <v>2193</v>
      </c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35"/>
      <c r="Q1079" s="36" t="s">
        <v>36</v>
      </c>
      <c r="R1079" s="13">
        <v>3400</v>
      </c>
      <c r="S1079" s="13">
        <v>1713</v>
      </c>
      <c r="T1079" s="13">
        <v>0</v>
      </c>
      <c r="U1079" s="13">
        <v>0</v>
      </c>
      <c r="V1079" s="13">
        <v>0</v>
      </c>
      <c r="W1079" s="37">
        <v>1254</v>
      </c>
      <c r="X1079" s="18"/>
      <c r="Y1079" s="14"/>
      <c r="Z1079" s="14"/>
      <c r="AA1079" s="14"/>
      <c r="AB1079" s="14"/>
      <c r="AC1079" s="14"/>
      <c r="AD1079" s="14"/>
      <c r="AE1079" s="14"/>
      <c r="AF1079" s="14"/>
      <c r="AG1079" s="35"/>
    </row>
    <row r="1080" spans="2:33">
      <c r="B1080" s="19"/>
      <c r="P1080" s="16"/>
      <c r="Q1080" s="36" t="s">
        <v>37</v>
      </c>
      <c r="R1080" s="13">
        <v>0</v>
      </c>
      <c r="S1080" s="13">
        <v>3444</v>
      </c>
      <c r="T1080" s="13">
        <v>1756</v>
      </c>
      <c r="U1080" s="13">
        <v>0</v>
      </c>
      <c r="V1080" s="13">
        <v>0</v>
      </c>
      <c r="W1080" s="37">
        <v>1598</v>
      </c>
      <c r="X1080" s="19"/>
      <c r="AG1080" s="16"/>
    </row>
    <row r="1081" spans="2:33">
      <c r="B1081" s="19"/>
      <c r="P1081" s="16"/>
      <c r="Q1081" s="36" t="s">
        <v>38</v>
      </c>
      <c r="R1081" s="13">
        <v>0</v>
      </c>
      <c r="S1081" s="13">
        <v>0</v>
      </c>
      <c r="T1081" s="13">
        <v>0</v>
      </c>
      <c r="U1081" s="13">
        <v>2343</v>
      </c>
      <c r="V1081" s="13">
        <v>1227</v>
      </c>
      <c r="W1081" s="37">
        <v>1114</v>
      </c>
      <c r="X1081" s="19"/>
      <c r="AG1081" s="16"/>
    </row>
    <row r="1082" spans="2:33">
      <c r="B1082" s="19"/>
      <c r="P1082" s="16"/>
      <c r="Q1082" s="36" t="s">
        <v>39</v>
      </c>
      <c r="R1082" s="13">
        <v>0</v>
      </c>
      <c r="S1082" s="13">
        <v>0</v>
      </c>
      <c r="T1082" s="13">
        <v>0</v>
      </c>
      <c r="U1082" s="13">
        <v>2344</v>
      </c>
      <c r="V1082" s="13">
        <v>1359</v>
      </c>
      <c r="W1082" s="37">
        <v>1071</v>
      </c>
      <c r="X1082" s="19"/>
      <c r="AG1082" s="16"/>
    </row>
    <row r="1083" spans="2:33">
      <c r="B1083" s="19"/>
      <c r="P1083" s="16"/>
      <c r="Q1083" s="36" t="s">
        <v>40</v>
      </c>
      <c r="R1083" s="13">
        <v>0</v>
      </c>
      <c r="S1083" s="13">
        <v>0</v>
      </c>
      <c r="T1083" s="13">
        <v>3560</v>
      </c>
      <c r="U1083" s="13">
        <v>1826</v>
      </c>
      <c r="V1083" s="13">
        <v>0</v>
      </c>
      <c r="W1083" s="37">
        <v>1433</v>
      </c>
      <c r="X1083" s="19"/>
      <c r="AG1083" s="16"/>
    </row>
    <row r="1084" spans="2:33">
      <c r="B1084" s="19"/>
      <c r="P1084" s="16"/>
      <c r="Q1084" s="36" t="s">
        <v>41</v>
      </c>
      <c r="R1084" s="13">
        <v>5037</v>
      </c>
      <c r="S1084" s="13">
        <v>2434</v>
      </c>
      <c r="T1084" s="13">
        <v>0</v>
      </c>
      <c r="U1084" s="13">
        <v>0</v>
      </c>
      <c r="V1084" s="13">
        <v>0</v>
      </c>
      <c r="W1084" s="37">
        <v>1513</v>
      </c>
      <c r="X1084" s="19"/>
      <c r="AG1084" s="16"/>
    </row>
    <row r="1085" spans="2:33">
      <c r="B1085" s="19"/>
      <c r="P1085" s="16"/>
      <c r="Q1085" s="36" t="s">
        <v>551</v>
      </c>
      <c r="R1085" s="13">
        <v>0</v>
      </c>
      <c r="S1085" s="13">
        <v>0</v>
      </c>
      <c r="T1085" s="13">
        <v>217</v>
      </c>
      <c r="U1085" s="13">
        <v>90</v>
      </c>
      <c r="V1085" s="13">
        <v>0</v>
      </c>
      <c r="W1085" s="37">
        <v>350</v>
      </c>
      <c r="X1085" s="19"/>
      <c r="AG1085" s="16"/>
    </row>
    <row r="1086" spans="2:33">
      <c r="B1086" s="19"/>
      <c r="P1086" s="16"/>
      <c r="Q1086" s="36" t="s">
        <v>552</v>
      </c>
      <c r="R1086" s="13">
        <v>0</v>
      </c>
      <c r="S1086" s="13">
        <v>0</v>
      </c>
      <c r="T1086" s="13">
        <v>3971</v>
      </c>
      <c r="U1086" s="13">
        <v>1970</v>
      </c>
      <c r="V1086" s="13">
        <v>0</v>
      </c>
      <c r="W1086" s="37">
        <v>1254</v>
      </c>
      <c r="X1086" s="19"/>
      <c r="AG1086" s="16"/>
    </row>
    <row r="1087" spans="2:33">
      <c r="B1087" s="19"/>
      <c r="P1087" s="16"/>
      <c r="Q1087" s="36" t="s">
        <v>43</v>
      </c>
      <c r="R1087" s="13">
        <v>0</v>
      </c>
      <c r="S1087" s="13">
        <v>0</v>
      </c>
      <c r="T1087" s="13">
        <v>3429</v>
      </c>
      <c r="U1087" s="13">
        <v>1905</v>
      </c>
      <c r="V1087" s="13">
        <v>0</v>
      </c>
      <c r="W1087" s="37">
        <v>1220</v>
      </c>
      <c r="X1087" s="19"/>
      <c r="AG1087" s="16"/>
    </row>
    <row r="1088" spans="2:33">
      <c r="B1088" s="19"/>
      <c r="P1088" s="16"/>
      <c r="Q1088" s="36" t="s">
        <v>44</v>
      </c>
      <c r="R1088" s="13">
        <v>0</v>
      </c>
      <c r="S1088" s="13">
        <v>0</v>
      </c>
      <c r="T1088" s="13">
        <v>0</v>
      </c>
      <c r="U1088" s="13">
        <v>2545</v>
      </c>
      <c r="V1088" s="13">
        <v>1149</v>
      </c>
      <c r="W1088" s="37">
        <v>969</v>
      </c>
      <c r="X1088" s="19"/>
      <c r="AG1088" s="16"/>
    </row>
    <row r="1089" spans="2:33">
      <c r="B1089" s="19"/>
      <c r="P1089" s="16"/>
      <c r="Q1089" s="36" t="s">
        <v>562</v>
      </c>
      <c r="R1089" s="13">
        <v>0</v>
      </c>
      <c r="S1089" s="13">
        <v>2151</v>
      </c>
      <c r="T1089" s="13">
        <v>1219</v>
      </c>
      <c r="U1089" s="13">
        <v>0</v>
      </c>
      <c r="V1089" s="13">
        <v>0</v>
      </c>
      <c r="W1089" s="37">
        <v>1014</v>
      </c>
      <c r="X1089" s="19"/>
      <c r="AG1089" s="16"/>
    </row>
    <row r="1090" spans="2:33">
      <c r="B1090" s="19"/>
      <c r="P1090" s="16"/>
      <c r="Q1090" s="36" t="s">
        <v>563</v>
      </c>
      <c r="R1090" s="13">
        <v>0</v>
      </c>
      <c r="S1090" s="13">
        <v>536</v>
      </c>
      <c r="T1090" s="13">
        <v>278</v>
      </c>
      <c r="U1090" s="13">
        <v>0</v>
      </c>
      <c r="V1090" s="13">
        <v>0</v>
      </c>
      <c r="W1090" s="37">
        <v>297</v>
      </c>
      <c r="X1090" s="19"/>
      <c r="AG1090" s="16"/>
    </row>
    <row r="1091" spans="2:33" ht="15" thickBot="1">
      <c r="B1091" s="20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7"/>
      <c r="Q1091" s="36" t="s">
        <v>46</v>
      </c>
      <c r="R1091" s="13">
        <v>3987</v>
      </c>
      <c r="S1091" s="13">
        <v>2148</v>
      </c>
      <c r="T1091" s="13">
        <v>0</v>
      </c>
      <c r="U1091" s="13">
        <v>0</v>
      </c>
      <c r="V1091" s="13">
        <v>0</v>
      </c>
      <c r="W1091" s="37">
        <v>1972</v>
      </c>
      <c r="X1091" s="20"/>
      <c r="Y1091" s="15"/>
      <c r="Z1091" s="15"/>
      <c r="AA1091" s="15"/>
      <c r="AB1091" s="15"/>
      <c r="AC1091" s="15"/>
      <c r="AD1091" s="15"/>
      <c r="AE1091" s="15"/>
      <c r="AF1091" s="15"/>
      <c r="AG1091" s="17"/>
    </row>
    <row r="1093" spans="2:33" ht="15" thickBot="1">
      <c r="B1093" s="25" t="s">
        <v>532</v>
      </c>
      <c r="C1093" s="26" t="s">
        <v>533</v>
      </c>
      <c r="D1093" s="26" t="s">
        <v>564</v>
      </c>
      <c r="E1093" s="26" t="s">
        <v>565</v>
      </c>
      <c r="F1093" s="26" t="s">
        <v>566</v>
      </c>
      <c r="G1093" s="26" t="s">
        <v>102</v>
      </c>
      <c r="H1093" s="27" t="s">
        <v>33</v>
      </c>
      <c r="I1093" s="26" t="s">
        <v>567</v>
      </c>
      <c r="J1093" s="27" t="s">
        <v>87</v>
      </c>
      <c r="K1093" s="29">
        <v>21</v>
      </c>
      <c r="L1093" s="29">
        <v>22</v>
      </c>
      <c r="M1093" s="29">
        <v>22</v>
      </c>
      <c r="N1093" s="29">
        <v>22</v>
      </c>
      <c r="O1093" s="29">
        <v>22</v>
      </c>
      <c r="P1093" s="40">
        <v>22</v>
      </c>
      <c r="Q1093" s="1" t="s">
        <v>35</v>
      </c>
      <c r="R1093" s="2">
        <v>2401</v>
      </c>
      <c r="S1093" s="2">
        <v>1084</v>
      </c>
      <c r="T1093" s="2">
        <v>0</v>
      </c>
      <c r="U1093" s="2">
        <v>0</v>
      </c>
      <c r="V1093" s="2">
        <v>0</v>
      </c>
      <c r="W1093" s="2">
        <v>1272</v>
      </c>
      <c r="X1093" s="43">
        <f>SUM(R1093:W1105)</f>
        <v>56775</v>
      </c>
      <c r="Y1093" s="10">
        <v>46204</v>
      </c>
      <c r="Z1093" s="11">
        <v>0.21915174234314722</v>
      </c>
      <c r="AA1093" s="11">
        <v>0.18274192037163289</v>
      </c>
      <c r="AB1093" s="11">
        <v>0.14726787607165501</v>
      </c>
      <c r="AC1093" s="11">
        <v>0.1287497680516306</v>
      </c>
      <c r="AD1093" s="11">
        <v>0.11447820346270936</v>
      </c>
      <c r="AE1093" s="11">
        <v>0.13149780089791482</v>
      </c>
      <c r="AF1093" s="11">
        <v>0.2</v>
      </c>
      <c r="AG1093" s="11">
        <v>0.23899999999999999</v>
      </c>
    </row>
    <row r="1094" spans="2:33">
      <c r="B1094" s="53" t="s">
        <v>2193</v>
      </c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35"/>
      <c r="Q1094" s="36" t="s">
        <v>36</v>
      </c>
      <c r="R1094" s="13">
        <v>1938</v>
      </c>
      <c r="S1094" s="13">
        <v>845</v>
      </c>
      <c r="T1094" s="13">
        <v>0</v>
      </c>
      <c r="U1094" s="13">
        <v>0</v>
      </c>
      <c r="V1094" s="13">
        <v>0</v>
      </c>
      <c r="W1094" s="37">
        <v>1043</v>
      </c>
      <c r="X1094" s="18"/>
      <c r="Y1094" s="14"/>
      <c r="Z1094" s="14"/>
      <c r="AA1094" s="14"/>
      <c r="AB1094" s="14"/>
      <c r="AC1094" s="14"/>
      <c r="AD1094" s="14"/>
      <c r="AE1094" s="14"/>
      <c r="AF1094" s="14"/>
      <c r="AG1094" s="35"/>
    </row>
    <row r="1095" spans="2:33">
      <c r="B1095" s="19"/>
      <c r="P1095" s="16"/>
      <c r="Q1095" s="36" t="s">
        <v>37</v>
      </c>
      <c r="R1095" s="13">
        <v>0</v>
      </c>
      <c r="S1095" s="13">
        <v>1985</v>
      </c>
      <c r="T1095" s="13">
        <v>904</v>
      </c>
      <c r="U1095" s="13">
        <v>0</v>
      </c>
      <c r="V1095" s="13">
        <v>0</v>
      </c>
      <c r="W1095" s="37">
        <v>1125</v>
      </c>
      <c r="X1095" s="19"/>
      <c r="AG1095" s="16"/>
    </row>
    <row r="1096" spans="2:33">
      <c r="B1096" s="19"/>
      <c r="P1096" s="16"/>
      <c r="Q1096" s="36" t="s">
        <v>38</v>
      </c>
      <c r="R1096" s="13">
        <v>0</v>
      </c>
      <c r="S1096" s="13">
        <v>0</v>
      </c>
      <c r="T1096" s="13">
        <v>0</v>
      </c>
      <c r="U1096" s="13">
        <v>1263</v>
      </c>
      <c r="V1096" s="13">
        <v>665</v>
      </c>
      <c r="W1096" s="37">
        <v>680</v>
      </c>
      <c r="X1096" s="19"/>
      <c r="AG1096" s="16"/>
    </row>
    <row r="1097" spans="2:33">
      <c r="B1097" s="19"/>
      <c r="P1097" s="16"/>
      <c r="Q1097" s="36" t="s">
        <v>39</v>
      </c>
      <c r="R1097" s="13">
        <v>0</v>
      </c>
      <c r="S1097" s="13">
        <v>0</v>
      </c>
      <c r="T1097" s="13">
        <v>0</v>
      </c>
      <c r="U1097" s="13">
        <v>1818</v>
      </c>
      <c r="V1097" s="13">
        <v>1009</v>
      </c>
      <c r="W1097" s="37">
        <v>911</v>
      </c>
      <c r="X1097" s="19"/>
      <c r="AG1097" s="16"/>
    </row>
    <row r="1098" spans="2:33">
      <c r="B1098" s="19"/>
      <c r="P1098" s="16"/>
      <c r="Q1098" s="36" t="s">
        <v>40</v>
      </c>
      <c r="R1098" s="13">
        <v>0</v>
      </c>
      <c r="S1098" s="13">
        <v>0</v>
      </c>
      <c r="T1098" s="13">
        <v>3166</v>
      </c>
      <c r="U1098" s="13">
        <v>1647</v>
      </c>
      <c r="V1098" s="13">
        <v>0</v>
      </c>
      <c r="W1098" s="37">
        <v>1702</v>
      </c>
      <c r="X1098" s="19"/>
      <c r="AG1098" s="16"/>
    </row>
    <row r="1099" spans="2:33">
      <c r="B1099" s="19"/>
      <c r="P1099" s="16"/>
      <c r="Q1099" s="36" t="s">
        <v>568</v>
      </c>
      <c r="R1099" s="13">
        <v>3654</v>
      </c>
      <c r="S1099" s="13">
        <v>1939</v>
      </c>
      <c r="T1099" s="13">
        <v>164</v>
      </c>
      <c r="U1099" s="13">
        <v>87</v>
      </c>
      <c r="V1099" s="13">
        <v>0</v>
      </c>
      <c r="W1099" s="37">
        <v>1732</v>
      </c>
      <c r="X1099" s="19"/>
      <c r="AG1099" s="16"/>
    </row>
    <row r="1100" spans="2:33">
      <c r="B1100" s="19"/>
      <c r="P1100" s="16"/>
      <c r="Q1100" s="36" t="s">
        <v>569</v>
      </c>
      <c r="R1100" s="13">
        <v>0</v>
      </c>
      <c r="S1100" s="13">
        <v>0</v>
      </c>
      <c r="T1100" s="13">
        <v>10</v>
      </c>
      <c r="U1100" s="13">
        <v>5</v>
      </c>
      <c r="V1100" s="13">
        <v>0</v>
      </c>
      <c r="W1100" s="37">
        <v>105</v>
      </c>
      <c r="X1100" s="19"/>
      <c r="AG1100" s="16"/>
    </row>
    <row r="1101" spans="2:33">
      <c r="B1101" s="19"/>
      <c r="P1101" s="16"/>
      <c r="Q1101" s="36" t="s">
        <v>552</v>
      </c>
      <c r="R1101" s="13">
        <v>0</v>
      </c>
      <c r="S1101" s="13">
        <v>0</v>
      </c>
      <c r="T1101" s="13">
        <v>3101</v>
      </c>
      <c r="U1101" s="13">
        <v>1716</v>
      </c>
      <c r="V1101" s="13">
        <v>0</v>
      </c>
      <c r="W1101" s="37">
        <v>1239</v>
      </c>
      <c r="X1101" s="19"/>
      <c r="AG1101" s="16"/>
    </row>
    <row r="1102" spans="2:33">
      <c r="B1102" s="19"/>
      <c r="P1102" s="16"/>
      <c r="Q1102" s="36" t="s">
        <v>570</v>
      </c>
      <c r="R1102" s="13">
        <v>0</v>
      </c>
      <c r="S1102" s="13">
        <v>0</v>
      </c>
      <c r="T1102" s="13">
        <v>2803</v>
      </c>
      <c r="U1102" s="13">
        <v>1717</v>
      </c>
      <c r="V1102" s="13">
        <v>80</v>
      </c>
      <c r="W1102" s="37">
        <v>1367</v>
      </c>
      <c r="X1102" s="19"/>
      <c r="AG1102" s="16"/>
    </row>
    <row r="1103" spans="2:33">
      <c r="B1103" s="19"/>
      <c r="P1103" s="16"/>
      <c r="Q1103" s="36" t="s">
        <v>571</v>
      </c>
      <c r="R1103" s="13">
        <v>0</v>
      </c>
      <c r="S1103" s="13">
        <v>0</v>
      </c>
      <c r="T1103" s="13">
        <v>0</v>
      </c>
      <c r="U1103" s="13">
        <v>1960</v>
      </c>
      <c r="V1103" s="13">
        <v>1091</v>
      </c>
      <c r="W1103" s="37">
        <v>977</v>
      </c>
      <c r="X1103" s="19"/>
      <c r="AG1103" s="16"/>
    </row>
    <row r="1104" spans="2:33">
      <c r="B1104" s="19"/>
      <c r="P1104" s="16"/>
      <c r="Q1104" s="36" t="s">
        <v>45</v>
      </c>
      <c r="R1104" s="13">
        <v>0</v>
      </c>
      <c r="S1104" s="13">
        <v>1755</v>
      </c>
      <c r="T1104" s="13">
        <v>935</v>
      </c>
      <c r="U1104" s="13">
        <v>0</v>
      </c>
      <c r="V1104" s="13">
        <v>0</v>
      </c>
      <c r="W1104" s="37">
        <v>981</v>
      </c>
      <c r="X1104" s="19"/>
      <c r="AG1104" s="16"/>
    </row>
    <row r="1105" spans="2:33" ht="15" thickBot="1">
      <c r="B1105" s="20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7"/>
      <c r="Q1105" s="36" t="s">
        <v>46</v>
      </c>
      <c r="R1105" s="13">
        <v>1895</v>
      </c>
      <c r="S1105" s="13">
        <v>1082</v>
      </c>
      <c r="T1105" s="13">
        <v>0</v>
      </c>
      <c r="U1105" s="13">
        <v>0</v>
      </c>
      <c r="V1105" s="13">
        <v>0</v>
      </c>
      <c r="W1105" s="37">
        <v>922</v>
      </c>
      <c r="X1105" s="20"/>
      <c r="Y1105" s="15"/>
      <c r="Z1105" s="15"/>
      <c r="AA1105" s="15"/>
      <c r="AB1105" s="15"/>
      <c r="AC1105" s="15"/>
      <c r="AD1105" s="15"/>
      <c r="AE1105" s="15"/>
      <c r="AF1105" s="15"/>
      <c r="AG1105" s="17"/>
    </row>
    <row r="1107" spans="2:33" ht="15" thickBot="1">
      <c r="B1107" s="25" t="s">
        <v>532</v>
      </c>
      <c r="C1107" s="26" t="s">
        <v>533</v>
      </c>
      <c r="D1107" s="26" t="s">
        <v>572</v>
      </c>
      <c r="E1107" s="26" t="s">
        <v>573</v>
      </c>
      <c r="F1107" s="26" t="s">
        <v>574</v>
      </c>
      <c r="G1107" s="26" t="s">
        <v>575</v>
      </c>
      <c r="H1107" s="27" t="s">
        <v>33</v>
      </c>
      <c r="I1107" s="26" t="s">
        <v>576</v>
      </c>
      <c r="J1107" s="27" t="s">
        <v>87</v>
      </c>
      <c r="K1107" s="29">
        <v>34</v>
      </c>
      <c r="L1107" s="29">
        <v>37</v>
      </c>
      <c r="M1107" s="29">
        <v>37</v>
      </c>
      <c r="N1107" s="29">
        <v>37</v>
      </c>
      <c r="O1107" s="29">
        <v>37</v>
      </c>
      <c r="P1107" s="40">
        <v>37</v>
      </c>
      <c r="Q1107" s="1" t="s">
        <v>35</v>
      </c>
      <c r="R1107" s="2">
        <v>2796</v>
      </c>
      <c r="S1107" s="2">
        <v>1077</v>
      </c>
      <c r="T1107" s="2">
        <v>0</v>
      </c>
      <c r="U1107" s="2">
        <v>0</v>
      </c>
      <c r="V1107" s="2">
        <v>0</v>
      </c>
      <c r="W1107" s="2">
        <v>1124</v>
      </c>
      <c r="X1107" s="43">
        <f>SUM(R1107:W1119)</f>
        <v>69646</v>
      </c>
      <c r="Y1107" s="10">
        <v>46204</v>
      </c>
      <c r="Z1107" s="11">
        <v>0.21915174234314722</v>
      </c>
      <c r="AA1107" s="11">
        <v>0.18274192037163289</v>
      </c>
      <c r="AB1107" s="11">
        <v>0.14726787607165501</v>
      </c>
      <c r="AC1107" s="11">
        <v>0.1287497680516306</v>
      </c>
      <c r="AD1107" s="11">
        <v>0.11447820346270936</v>
      </c>
      <c r="AE1107" s="11">
        <v>0.13149780089791482</v>
      </c>
      <c r="AF1107" s="11">
        <v>0.2</v>
      </c>
      <c r="AG1107" s="11">
        <v>0.23899999999999999</v>
      </c>
    </row>
    <row r="1108" spans="2:33">
      <c r="B1108" s="53" t="s">
        <v>2193</v>
      </c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35"/>
      <c r="Q1108" s="36" t="s">
        <v>36</v>
      </c>
      <c r="R1108" s="13">
        <v>2108</v>
      </c>
      <c r="S1108" s="13">
        <v>916</v>
      </c>
      <c r="T1108" s="13">
        <v>0</v>
      </c>
      <c r="U1108" s="13">
        <v>0</v>
      </c>
      <c r="V1108" s="13">
        <v>0</v>
      </c>
      <c r="W1108" s="37">
        <v>890</v>
      </c>
      <c r="X1108" s="18"/>
      <c r="Y1108" s="14"/>
      <c r="Z1108" s="14"/>
      <c r="AA1108" s="14"/>
      <c r="AB1108" s="14"/>
      <c r="AC1108" s="14"/>
      <c r="AD1108" s="14"/>
      <c r="AE1108" s="14"/>
      <c r="AF1108" s="14"/>
      <c r="AG1108" s="35"/>
    </row>
    <row r="1109" spans="2:33">
      <c r="B1109" s="19"/>
      <c r="P1109" s="16"/>
      <c r="Q1109" s="36" t="s">
        <v>37</v>
      </c>
      <c r="R1109" s="13">
        <v>0</v>
      </c>
      <c r="S1109" s="13">
        <v>2187</v>
      </c>
      <c r="T1109" s="13">
        <v>1210</v>
      </c>
      <c r="U1109" s="13">
        <v>0</v>
      </c>
      <c r="V1109" s="13">
        <v>0</v>
      </c>
      <c r="W1109" s="37">
        <v>1235</v>
      </c>
      <c r="X1109" s="19"/>
      <c r="AG1109" s="16"/>
    </row>
    <row r="1110" spans="2:33">
      <c r="B1110" s="19"/>
      <c r="P1110" s="16"/>
      <c r="Q1110" s="36" t="s">
        <v>38</v>
      </c>
      <c r="R1110" s="13">
        <v>0</v>
      </c>
      <c r="S1110" s="13">
        <v>0</v>
      </c>
      <c r="T1110" s="13">
        <v>0</v>
      </c>
      <c r="U1110" s="13">
        <v>1716</v>
      </c>
      <c r="V1110" s="13">
        <v>921</v>
      </c>
      <c r="W1110" s="37">
        <v>897</v>
      </c>
      <c r="X1110" s="19"/>
      <c r="AG1110" s="16"/>
    </row>
    <row r="1111" spans="2:33">
      <c r="B1111" s="19"/>
      <c r="P1111" s="16"/>
      <c r="Q1111" s="36" t="s">
        <v>39</v>
      </c>
      <c r="R1111" s="13">
        <v>0</v>
      </c>
      <c r="S1111" s="13">
        <v>0</v>
      </c>
      <c r="T1111" s="13">
        <v>0</v>
      </c>
      <c r="U1111" s="13">
        <v>2291</v>
      </c>
      <c r="V1111" s="13">
        <v>1224</v>
      </c>
      <c r="W1111" s="37">
        <v>1305</v>
      </c>
      <c r="X1111" s="19"/>
      <c r="AG1111" s="16"/>
    </row>
    <row r="1112" spans="2:33">
      <c r="B1112" s="19"/>
      <c r="P1112" s="16"/>
      <c r="Q1112" s="36" t="s">
        <v>40</v>
      </c>
      <c r="R1112" s="13">
        <v>0</v>
      </c>
      <c r="S1112" s="13">
        <v>0</v>
      </c>
      <c r="T1112" s="13">
        <v>4407</v>
      </c>
      <c r="U1112" s="13">
        <v>2352</v>
      </c>
      <c r="V1112" s="13">
        <v>0</v>
      </c>
      <c r="W1112" s="37">
        <v>1875</v>
      </c>
      <c r="X1112" s="19"/>
      <c r="AG1112" s="16"/>
    </row>
    <row r="1113" spans="2:33">
      <c r="B1113" s="19"/>
      <c r="P1113" s="16"/>
      <c r="Q1113" s="36" t="s">
        <v>41</v>
      </c>
      <c r="R1113" s="13">
        <v>5095</v>
      </c>
      <c r="S1113" s="13">
        <v>2730</v>
      </c>
      <c r="T1113" s="13">
        <v>0</v>
      </c>
      <c r="U1113" s="13">
        <v>0</v>
      </c>
      <c r="V1113" s="13">
        <v>0</v>
      </c>
      <c r="W1113" s="37">
        <v>1804</v>
      </c>
      <c r="X1113" s="19"/>
      <c r="AG1113" s="16"/>
    </row>
    <row r="1114" spans="2:33">
      <c r="B1114" s="19"/>
      <c r="P1114" s="16"/>
      <c r="Q1114" s="36" t="s">
        <v>551</v>
      </c>
      <c r="R1114" s="13">
        <v>0</v>
      </c>
      <c r="S1114" s="13">
        <v>0</v>
      </c>
      <c r="T1114" s="13">
        <v>409</v>
      </c>
      <c r="U1114" s="13">
        <v>227</v>
      </c>
      <c r="V1114" s="13">
        <v>0</v>
      </c>
      <c r="W1114" s="37">
        <v>464</v>
      </c>
      <c r="X1114" s="19"/>
      <c r="AG1114" s="16"/>
    </row>
    <row r="1115" spans="2:33">
      <c r="B1115" s="19"/>
      <c r="P1115" s="16"/>
      <c r="Q1115" s="36" t="s">
        <v>552</v>
      </c>
      <c r="R1115" s="13">
        <v>0</v>
      </c>
      <c r="S1115" s="13">
        <v>0</v>
      </c>
      <c r="T1115" s="13">
        <v>3492</v>
      </c>
      <c r="U1115" s="13">
        <v>1850</v>
      </c>
      <c r="V1115" s="13">
        <v>0</v>
      </c>
      <c r="W1115" s="37">
        <v>1675</v>
      </c>
      <c r="X1115" s="19"/>
      <c r="AG1115" s="16"/>
    </row>
    <row r="1116" spans="2:33">
      <c r="B1116" s="19"/>
      <c r="P1116" s="16"/>
      <c r="Q1116" s="36" t="s">
        <v>43</v>
      </c>
      <c r="R1116" s="13">
        <v>0</v>
      </c>
      <c r="S1116" s="13">
        <v>0</v>
      </c>
      <c r="T1116" s="13">
        <v>3041</v>
      </c>
      <c r="U1116" s="13">
        <v>1696</v>
      </c>
      <c r="V1116" s="13">
        <v>0</v>
      </c>
      <c r="W1116" s="37">
        <v>1313</v>
      </c>
      <c r="X1116" s="19"/>
      <c r="AG1116" s="16"/>
    </row>
    <row r="1117" spans="2:33">
      <c r="B1117" s="19"/>
      <c r="P1117" s="16"/>
      <c r="Q1117" s="36" t="s">
        <v>44</v>
      </c>
      <c r="R1117" s="13">
        <v>0</v>
      </c>
      <c r="S1117" s="13">
        <v>0</v>
      </c>
      <c r="T1117" s="13">
        <v>0</v>
      </c>
      <c r="U1117" s="13">
        <v>2282</v>
      </c>
      <c r="V1117" s="13">
        <v>1473</v>
      </c>
      <c r="W1117" s="37">
        <v>1157</v>
      </c>
      <c r="X1117" s="19"/>
      <c r="AG1117" s="16"/>
    </row>
    <row r="1118" spans="2:33">
      <c r="B1118" s="19"/>
      <c r="P1118" s="16"/>
      <c r="Q1118" s="36" t="s">
        <v>45</v>
      </c>
      <c r="R1118" s="13">
        <v>0</v>
      </c>
      <c r="S1118" s="13">
        <v>2114</v>
      </c>
      <c r="T1118" s="13">
        <v>1104</v>
      </c>
      <c r="U1118" s="13">
        <v>0</v>
      </c>
      <c r="V1118" s="13">
        <v>0</v>
      </c>
      <c r="W1118" s="37">
        <v>1403</v>
      </c>
      <c r="X1118" s="19"/>
      <c r="AG1118" s="16"/>
    </row>
    <row r="1119" spans="2:33" ht="15" thickBot="1">
      <c r="B1119" s="20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7"/>
      <c r="Q1119" s="36" t="s">
        <v>46</v>
      </c>
      <c r="R1119" s="13">
        <v>2661</v>
      </c>
      <c r="S1119" s="13">
        <v>1328</v>
      </c>
      <c r="T1119" s="13">
        <v>0</v>
      </c>
      <c r="U1119" s="13">
        <v>0</v>
      </c>
      <c r="V1119" s="13">
        <v>0</v>
      </c>
      <c r="W1119" s="37">
        <v>1797</v>
      </c>
      <c r="X1119" s="20"/>
      <c r="Y1119" s="15"/>
      <c r="Z1119" s="15"/>
      <c r="AA1119" s="15"/>
      <c r="AB1119" s="15"/>
      <c r="AC1119" s="15"/>
      <c r="AD1119" s="15"/>
      <c r="AE1119" s="15"/>
      <c r="AF1119" s="15"/>
      <c r="AG1119" s="17"/>
    </row>
    <row r="1121" spans="2:33" ht="15" thickBot="1">
      <c r="B1121" s="25" t="s">
        <v>532</v>
      </c>
      <c r="C1121" s="26" t="s">
        <v>533</v>
      </c>
      <c r="D1121" s="26" t="s">
        <v>577</v>
      </c>
      <c r="E1121" s="26" t="s">
        <v>578</v>
      </c>
      <c r="F1121" s="26" t="s">
        <v>579</v>
      </c>
      <c r="G1121" s="26" t="s">
        <v>580</v>
      </c>
      <c r="H1121" s="27" t="s">
        <v>75</v>
      </c>
      <c r="I1121" s="26" t="s">
        <v>581</v>
      </c>
      <c r="J1121" s="27" t="s">
        <v>87</v>
      </c>
      <c r="K1121" s="29">
        <v>33</v>
      </c>
      <c r="L1121" s="29">
        <v>33</v>
      </c>
      <c r="M1121" s="29">
        <v>33</v>
      </c>
      <c r="N1121" s="29">
        <v>33</v>
      </c>
      <c r="O1121" s="29">
        <v>33</v>
      </c>
      <c r="P1121" s="40">
        <v>33</v>
      </c>
      <c r="Q1121" s="1" t="s">
        <v>35</v>
      </c>
      <c r="R1121" s="2">
        <v>4450</v>
      </c>
      <c r="S1121" s="2">
        <v>910</v>
      </c>
      <c r="T1121" s="2">
        <v>0</v>
      </c>
      <c r="U1121" s="2">
        <v>0</v>
      </c>
      <c r="V1121" s="2">
        <v>0</v>
      </c>
      <c r="W1121" s="2">
        <v>1349</v>
      </c>
      <c r="X1121" s="43">
        <f>SUM(R1121:W1133)</f>
        <v>62438</v>
      </c>
      <c r="Y1121" s="10">
        <v>46204</v>
      </c>
      <c r="Z1121" s="11">
        <v>0.21915174234314722</v>
      </c>
      <c r="AA1121" s="11">
        <v>0.18274192037163289</v>
      </c>
      <c r="AB1121" s="11">
        <v>0.14726787607165501</v>
      </c>
      <c r="AC1121" s="11">
        <v>0.1287497680516306</v>
      </c>
      <c r="AD1121" s="11">
        <v>0.11447820346270936</v>
      </c>
      <c r="AE1121" s="11">
        <v>0.13149780089791482</v>
      </c>
      <c r="AF1121" s="11">
        <v>0.2</v>
      </c>
      <c r="AG1121" s="11">
        <v>0.23899999999999999</v>
      </c>
    </row>
    <row r="1122" spans="2:33">
      <c r="B1122" s="53" t="s">
        <v>2193</v>
      </c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35"/>
      <c r="Q1122" s="36" t="s">
        <v>36</v>
      </c>
      <c r="R1122" s="13">
        <v>3752</v>
      </c>
      <c r="S1122" s="13">
        <v>672</v>
      </c>
      <c r="T1122" s="13">
        <v>0</v>
      </c>
      <c r="U1122" s="13">
        <v>0</v>
      </c>
      <c r="V1122" s="13">
        <v>0</v>
      </c>
      <c r="W1122" s="37">
        <v>1069</v>
      </c>
      <c r="X1122" s="18"/>
      <c r="Y1122" s="14"/>
      <c r="Z1122" s="14"/>
      <c r="AA1122" s="14"/>
      <c r="AB1122" s="14"/>
      <c r="AC1122" s="14"/>
      <c r="AD1122" s="14"/>
      <c r="AE1122" s="14"/>
      <c r="AF1122" s="14"/>
      <c r="AG1122" s="35"/>
    </row>
    <row r="1123" spans="2:33">
      <c r="B1123" s="19"/>
      <c r="P1123" s="16"/>
      <c r="Q1123" s="36" t="s">
        <v>37</v>
      </c>
      <c r="R1123" s="13">
        <v>0</v>
      </c>
      <c r="S1123" s="13">
        <v>3224</v>
      </c>
      <c r="T1123" s="13">
        <v>753</v>
      </c>
      <c r="U1123" s="13">
        <v>0</v>
      </c>
      <c r="V1123" s="13">
        <v>0</v>
      </c>
      <c r="W1123" s="37">
        <v>1480</v>
      </c>
      <c r="X1123" s="19"/>
      <c r="AG1123" s="16"/>
    </row>
    <row r="1124" spans="2:33">
      <c r="B1124" s="19"/>
      <c r="P1124" s="16"/>
      <c r="Q1124" s="36" t="s">
        <v>38</v>
      </c>
      <c r="R1124" s="13">
        <v>0</v>
      </c>
      <c r="S1124" s="13">
        <v>0</v>
      </c>
      <c r="T1124" s="13">
        <v>0</v>
      </c>
      <c r="U1124" s="13">
        <v>1827</v>
      </c>
      <c r="V1124" s="13">
        <v>381</v>
      </c>
      <c r="W1124" s="37">
        <v>683</v>
      </c>
      <c r="X1124" s="19"/>
      <c r="AG1124" s="16"/>
    </row>
    <row r="1125" spans="2:33">
      <c r="B1125" s="19"/>
      <c r="P1125" s="16"/>
      <c r="Q1125" s="36" t="s">
        <v>39</v>
      </c>
      <c r="R1125" s="13">
        <v>0</v>
      </c>
      <c r="S1125" s="13">
        <v>0</v>
      </c>
      <c r="T1125" s="13">
        <v>0</v>
      </c>
      <c r="U1125" s="13">
        <v>1711</v>
      </c>
      <c r="V1125" s="13">
        <v>382</v>
      </c>
      <c r="W1125" s="37">
        <v>699</v>
      </c>
      <c r="X1125" s="19"/>
      <c r="AG1125" s="16"/>
    </row>
    <row r="1126" spans="2:33">
      <c r="B1126" s="19"/>
      <c r="P1126" s="16"/>
      <c r="Q1126" s="36" t="s">
        <v>40</v>
      </c>
      <c r="R1126" s="13">
        <v>0</v>
      </c>
      <c r="S1126" s="13">
        <v>0</v>
      </c>
      <c r="T1126" s="13">
        <v>4775</v>
      </c>
      <c r="U1126" s="13">
        <v>667</v>
      </c>
      <c r="V1126" s="13">
        <v>0</v>
      </c>
      <c r="W1126" s="37">
        <v>1301</v>
      </c>
      <c r="X1126" s="19"/>
      <c r="AG1126" s="16"/>
    </row>
    <row r="1127" spans="2:33">
      <c r="B1127" s="19"/>
      <c r="P1127" s="16"/>
      <c r="Q1127" s="36" t="s">
        <v>41</v>
      </c>
      <c r="R1127" s="13">
        <v>5727</v>
      </c>
      <c r="S1127" s="13">
        <v>562</v>
      </c>
      <c r="T1127" s="13">
        <v>0</v>
      </c>
      <c r="U1127" s="13">
        <v>0</v>
      </c>
      <c r="V1127" s="13">
        <v>0</v>
      </c>
      <c r="W1127" s="37">
        <v>1238</v>
      </c>
      <c r="X1127" s="19"/>
      <c r="AG1127" s="16"/>
    </row>
    <row r="1128" spans="2:33">
      <c r="B1128" s="19"/>
      <c r="P1128" s="16"/>
      <c r="Q1128" s="36" t="s">
        <v>551</v>
      </c>
      <c r="R1128" s="13">
        <v>0</v>
      </c>
      <c r="S1128" s="13">
        <v>0</v>
      </c>
      <c r="T1128" s="13">
        <v>519</v>
      </c>
      <c r="U1128" s="13">
        <v>48</v>
      </c>
      <c r="V1128" s="13">
        <v>0</v>
      </c>
      <c r="W1128" s="37">
        <v>301</v>
      </c>
      <c r="X1128" s="19"/>
      <c r="AG1128" s="16"/>
    </row>
    <row r="1129" spans="2:33">
      <c r="B1129" s="19"/>
      <c r="P1129" s="16"/>
      <c r="Q1129" s="36" t="s">
        <v>552</v>
      </c>
      <c r="R1129" s="13">
        <v>0</v>
      </c>
      <c r="S1129" s="13">
        <v>0</v>
      </c>
      <c r="T1129" s="13">
        <v>4677</v>
      </c>
      <c r="U1129" s="13">
        <v>443</v>
      </c>
      <c r="V1129" s="13">
        <v>0</v>
      </c>
      <c r="W1129" s="37">
        <v>1251</v>
      </c>
      <c r="X1129" s="19"/>
      <c r="AG1129" s="16"/>
    </row>
    <row r="1130" spans="2:33">
      <c r="B1130" s="19"/>
      <c r="P1130" s="16"/>
      <c r="Q1130" s="36" t="s">
        <v>43</v>
      </c>
      <c r="R1130" s="13">
        <v>0</v>
      </c>
      <c r="S1130" s="13">
        <v>0</v>
      </c>
      <c r="T1130" s="13">
        <v>3033</v>
      </c>
      <c r="U1130" s="13">
        <v>541</v>
      </c>
      <c r="V1130" s="13">
        <v>0</v>
      </c>
      <c r="W1130" s="37">
        <v>886</v>
      </c>
      <c r="X1130" s="19"/>
      <c r="AG1130" s="16"/>
    </row>
    <row r="1131" spans="2:33">
      <c r="B1131" s="19"/>
      <c r="P1131" s="16"/>
      <c r="Q1131" s="36" t="s">
        <v>44</v>
      </c>
      <c r="R1131" s="13">
        <v>0</v>
      </c>
      <c r="S1131" s="13">
        <v>0</v>
      </c>
      <c r="T1131" s="13">
        <v>0</v>
      </c>
      <c r="U1131" s="13">
        <v>1440</v>
      </c>
      <c r="V1131" s="13">
        <v>298</v>
      </c>
      <c r="W1131" s="37">
        <v>476</v>
      </c>
      <c r="X1131" s="19"/>
      <c r="AG1131" s="16"/>
    </row>
    <row r="1132" spans="2:33">
      <c r="B1132" s="19"/>
      <c r="P1132" s="16"/>
      <c r="Q1132" s="36" t="s">
        <v>45</v>
      </c>
      <c r="R1132" s="13">
        <v>0</v>
      </c>
      <c r="S1132" s="13">
        <v>2784</v>
      </c>
      <c r="T1132" s="13">
        <v>508</v>
      </c>
      <c r="U1132" s="13">
        <v>0</v>
      </c>
      <c r="V1132" s="13">
        <v>0</v>
      </c>
      <c r="W1132" s="37">
        <v>964</v>
      </c>
      <c r="X1132" s="19"/>
      <c r="AG1132" s="16"/>
    </row>
    <row r="1133" spans="2:33" ht="15" thickBot="1">
      <c r="B1133" s="20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7"/>
      <c r="Q1133" s="36" t="s">
        <v>46</v>
      </c>
      <c r="R1133" s="13">
        <v>4208</v>
      </c>
      <c r="S1133" s="13">
        <v>1069</v>
      </c>
      <c r="T1133" s="13">
        <v>0</v>
      </c>
      <c r="U1133" s="13">
        <v>0</v>
      </c>
      <c r="V1133" s="13">
        <v>0</v>
      </c>
      <c r="W1133" s="37">
        <v>1380</v>
      </c>
      <c r="X1133" s="20"/>
      <c r="Y1133" s="15"/>
      <c r="Z1133" s="15"/>
      <c r="AA1133" s="15"/>
      <c r="AB1133" s="15"/>
      <c r="AC1133" s="15"/>
      <c r="AD1133" s="15"/>
      <c r="AE1133" s="15"/>
      <c r="AF1133" s="15"/>
      <c r="AG1133" s="17"/>
    </row>
    <row r="1135" spans="2:33" ht="15" thickBot="1">
      <c r="B1135" s="25" t="s">
        <v>532</v>
      </c>
      <c r="C1135" s="26" t="s">
        <v>533</v>
      </c>
      <c r="D1135" s="26" t="s">
        <v>582</v>
      </c>
      <c r="E1135" s="26" t="s">
        <v>583</v>
      </c>
      <c r="F1135" s="26" t="s">
        <v>584</v>
      </c>
      <c r="G1135" s="26" t="s">
        <v>585</v>
      </c>
      <c r="H1135" s="27" t="s">
        <v>75</v>
      </c>
      <c r="I1135" s="26" t="s">
        <v>586</v>
      </c>
      <c r="J1135" s="27" t="s">
        <v>87</v>
      </c>
      <c r="K1135" s="29">
        <v>21</v>
      </c>
      <c r="L1135" s="29">
        <v>21</v>
      </c>
      <c r="M1135" s="29">
        <v>21</v>
      </c>
      <c r="N1135" s="29">
        <v>21</v>
      </c>
      <c r="O1135" s="29">
        <v>21</v>
      </c>
      <c r="P1135" s="40">
        <v>21</v>
      </c>
      <c r="Q1135" s="1" t="s">
        <v>35</v>
      </c>
      <c r="R1135" s="2">
        <v>2642</v>
      </c>
      <c r="S1135" s="2">
        <v>461</v>
      </c>
      <c r="T1135" s="2">
        <v>0</v>
      </c>
      <c r="U1135" s="2">
        <v>0</v>
      </c>
      <c r="V1135" s="2">
        <v>0</v>
      </c>
      <c r="W1135" s="2">
        <v>742</v>
      </c>
      <c r="X1135" s="43">
        <f>SUM(R1135:W1147)</f>
        <v>36858</v>
      </c>
      <c r="Y1135" s="10">
        <v>46204</v>
      </c>
      <c r="Z1135" s="11">
        <v>0.21915174234314722</v>
      </c>
      <c r="AA1135" s="11">
        <v>0.18274192037163289</v>
      </c>
      <c r="AB1135" s="11">
        <v>0.14726787607165501</v>
      </c>
      <c r="AC1135" s="11">
        <v>0.1287497680516306</v>
      </c>
      <c r="AD1135" s="11">
        <v>0.11447820346270936</v>
      </c>
      <c r="AE1135" s="11">
        <v>0.13149780089791482</v>
      </c>
      <c r="AF1135" s="11">
        <v>0.2</v>
      </c>
      <c r="AG1135" s="11">
        <v>0.23899999999999999</v>
      </c>
    </row>
    <row r="1136" spans="2:33">
      <c r="B1136" s="53" t="s">
        <v>2193</v>
      </c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35"/>
      <c r="Q1136" s="36" t="s">
        <v>36</v>
      </c>
      <c r="R1136" s="13">
        <v>2310</v>
      </c>
      <c r="S1136" s="13">
        <v>348</v>
      </c>
      <c r="T1136" s="13">
        <v>0</v>
      </c>
      <c r="U1136" s="13">
        <v>0</v>
      </c>
      <c r="V1136" s="13">
        <v>0</v>
      </c>
      <c r="W1136" s="37">
        <v>587</v>
      </c>
      <c r="X1136" s="18"/>
      <c r="Y1136" s="14"/>
      <c r="Z1136" s="14"/>
      <c r="AA1136" s="14"/>
      <c r="AB1136" s="14"/>
      <c r="AC1136" s="14"/>
      <c r="AD1136" s="14"/>
      <c r="AE1136" s="14"/>
      <c r="AF1136" s="14"/>
      <c r="AG1136" s="35"/>
    </row>
    <row r="1137" spans="2:33">
      <c r="B1137" s="19"/>
      <c r="P1137" s="16"/>
      <c r="Q1137" s="36" t="s">
        <v>37</v>
      </c>
      <c r="R1137" s="13">
        <v>0</v>
      </c>
      <c r="S1137" s="13">
        <v>2418</v>
      </c>
      <c r="T1137" s="13">
        <v>370</v>
      </c>
      <c r="U1137" s="13">
        <v>0</v>
      </c>
      <c r="V1137" s="13">
        <v>0</v>
      </c>
      <c r="W1137" s="37">
        <v>737</v>
      </c>
      <c r="X1137" s="19"/>
      <c r="AG1137" s="16"/>
    </row>
    <row r="1138" spans="2:33">
      <c r="B1138" s="19"/>
      <c r="P1138" s="16"/>
      <c r="Q1138" s="36" t="s">
        <v>38</v>
      </c>
      <c r="R1138" s="13">
        <v>0</v>
      </c>
      <c r="S1138" s="13">
        <v>0</v>
      </c>
      <c r="T1138" s="13">
        <v>0</v>
      </c>
      <c r="U1138" s="13">
        <v>1707</v>
      </c>
      <c r="V1138" s="13">
        <v>272</v>
      </c>
      <c r="W1138" s="37">
        <v>500</v>
      </c>
      <c r="X1138" s="19"/>
      <c r="AG1138" s="16"/>
    </row>
    <row r="1139" spans="2:33">
      <c r="B1139" s="19"/>
      <c r="P1139" s="16"/>
      <c r="Q1139" s="36" t="s">
        <v>39</v>
      </c>
      <c r="R1139" s="13">
        <v>0</v>
      </c>
      <c r="S1139" s="13">
        <v>0</v>
      </c>
      <c r="T1139" s="13">
        <v>0</v>
      </c>
      <c r="U1139" s="13">
        <v>1542</v>
      </c>
      <c r="V1139" s="13">
        <v>296</v>
      </c>
      <c r="W1139" s="37">
        <v>638</v>
      </c>
      <c r="X1139" s="19"/>
      <c r="AG1139" s="16"/>
    </row>
    <row r="1140" spans="2:33">
      <c r="B1140" s="19"/>
      <c r="P1140" s="16"/>
      <c r="Q1140" s="36" t="s">
        <v>40</v>
      </c>
      <c r="R1140" s="13">
        <v>0</v>
      </c>
      <c r="S1140" s="13">
        <v>0</v>
      </c>
      <c r="T1140" s="13">
        <v>2430</v>
      </c>
      <c r="U1140" s="13">
        <v>262</v>
      </c>
      <c r="V1140" s="13">
        <v>0</v>
      </c>
      <c r="W1140" s="37">
        <v>668</v>
      </c>
      <c r="X1140" s="19"/>
      <c r="AG1140" s="16"/>
    </row>
    <row r="1141" spans="2:33">
      <c r="B1141" s="19"/>
      <c r="P1141" s="16"/>
      <c r="Q1141" s="36" t="s">
        <v>41</v>
      </c>
      <c r="R1141" s="13">
        <v>1955</v>
      </c>
      <c r="S1141" s="13">
        <v>232</v>
      </c>
      <c r="T1141" s="13">
        <v>0</v>
      </c>
      <c r="U1141" s="13">
        <v>0</v>
      </c>
      <c r="V1141" s="13">
        <v>0</v>
      </c>
      <c r="W1141" s="37">
        <v>404</v>
      </c>
      <c r="X1141" s="19"/>
      <c r="AG1141" s="16"/>
    </row>
    <row r="1142" spans="2:33">
      <c r="B1142" s="19"/>
      <c r="P1142" s="16"/>
      <c r="Q1142" s="36" t="s">
        <v>551</v>
      </c>
      <c r="R1142" s="13">
        <v>0</v>
      </c>
      <c r="S1142" s="13">
        <v>0</v>
      </c>
      <c r="T1142" s="13">
        <v>302</v>
      </c>
      <c r="U1142" s="13">
        <v>29</v>
      </c>
      <c r="V1142" s="13">
        <v>0</v>
      </c>
      <c r="W1142" s="37">
        <v>180</v>
      </c>
      <c r="X1142" s="19"/>
      <c r="AG1142" s="16"/>
    </row>
    <row r="1143" spans="2:33">
      <c r="B1143" s="19"/>
      <c r="P1143" s="16"/>
      <c r="Q1143" s="36" t="s">
        <v>552</v>
      </c>
      <c r="R1143" s="13">
        <v>0</v>
      </c>
      <c r="S1143" s="13">
        <v>0</v>
      </c>
      <c r="T1143" s="13">
        <v>2461</v>
      </c>
      <c r="U1143" s="13">
        <v>204</v>
      </c>
      <c r="V1143" s="13">
        <v>0</v>
      </c>
      <c r="W1143" s="37">
        <v>692</v>
      </c>
      <c r="X1143" s="19"/>
      <c r="AG1143" s="16"/>
    </row>
    <row r="1144" spans="2:33">
      <c r="B1144" s="19"/>
      <c r="P1144" s="16"/>
      <c r="Q1144" s="36" t="s">
        <v>43</v>
      </c>
      <c r="R1144" s="13">
        <v>0</v>
      </c>
      <c r="S1144" s="13">
        <v>0</v>
      </c>
      <c r="T1144" s="13">
        <v>1936</v>
      </c>
      <c r="U1144" s="13">
        <v>288</v>
      </c>
      <c r="V1144" s="13">
        <v>0</v>
      </c>
      <c r="W1144" s="37">
        <v>519</v>
      </c>
      <c r="X1144" s="19"/>
      <c r="AG1144" s="16"/>
    </row>
    <row r="1145" spans="2:33">
      <c r="B1145" s="19"/>
      <c r="P1145" s="16"/>
      <c r="Q1145" s="36" t="s">
        <v>44</v>
      </c>
      <c r="R1145" s="13">
        <v>0</v>
      </c>
      <c r="S1145" s="13">
        <v>0</v>
      </c>
      <c r="T1145" s="13">
        <v>0</v>
      </c>
      <c r="U1145" s="13">
        <v>1471</v>
      </c>
      <c r="V1145" s="13">
        <v>327</v>
      </c>
      <c r="W1145" s="37">
        <v>369</v>
      </c>
      <c r="X1145" s="19"/>
      <c r="AG1145" s="16"/>
    </row>
    <row r="1146" spans="2:33">
      <c r="B1146" s="19"/>
      <c r="P1146" s="16"/>
      <c r="Q1146" s="36" t="s">
        <v>45</v>
      </c>
      <c r="R1146" s="13">
        <v>0</v>
      </c>
      <c r="S1146" s="13">
        <v>1860</v>
      </c>
      <c r="T1146" s="13">
        <v>305</v>
      </c>
      <c r="U1146" s="13">
        <v>0</v>
      </c>
      <c r="V1146" s="13">
        <v>0</v>
      </c>
      <c r="W1146" s="37">
        <v>578</v>
      </c>
      <c r="X1146" s="19"/>
      <c r="AG1146" s="16"/>
    </row>
    <row r="1147" spans="2:33" ht="15" thickBot="1">
      <c r="B1147" s="20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7"/>
      <c r="Q1147" s="36" t="s">
        <v>46</v>
      </c>
      <c r="R1147" s="13">
        <v>2501</v>
      </c>
      <c r="S1147" s="13">
        <v>546</v>
      </c>
      <c r="T1147" s="13">
        <v>0</v>
      </c>
      <c r="U1147" s="13">
        <v>0</v>
      </c>
      <c r="V1147" s="13">
        <v>0</v>
      </c>
      <c r="W1147" s="37">
        <v>769</v>
      </c>
      <c r="X1147" s="20"/>
      <c r="Y1147" s="15"/>
      <c r="Z1147" s="15"/>
      <c r="AA1147" s="15"/>
      <c r="AB1147" s="15"/>
      <c r="AC1147" s="15"/>
      <c r="AD1147" s="15"/>
      <c r="AE1147" s="15"/>
      <c r="AF1147" s="15"/>
      <c r="AG1147" s="17"/>
    </row>
    <row r="1149" spans="2:33" ht="15" thickBot="1">
      <c r="B1149" s="25" t="s">
        <v>532</v>
      </c>
      <c r="C1149" s="26" t="s">
        <v>533</v>
      </c>
      <c r="D1149" s="26" t="s">
        <v>587</v>
      </c>
      <c r="E1149" s="26" t="s">
        <v>588</v>
      </c>
      <c r="F1149" s="26" t="s">
        <v>589</v>
      </c>
      <c r="G1149" s="26" t="s">
        <v>590</v>
      </c>
      <c r="H1149" s="27" t="s">
        <v>81</v>
      </c>
      <c r="I1149" s="26" t="s">
        <v>591</v>
      </c>
      <c r="J1149" s="27" t="s">
        <v>87</v>
      </c>
      <c r="K1149" s="29">
        <v>17</v>
      </c>
      <c r="L1149" s="29">
        <v>18</v>
      </c>
      <c r="M1149" s="29">
        <v>18</v>
      </c>
      <c r="N1149" s="29">
        <v>18</v>
      </c>
      <c r="O1149" s="29">
        <v>18</v>
      </c>
      <c r="P1149" s="40">
        <v>18</v>
      </c>
      <c r="Q1149" s="1" t="s">
        <v>35</v>
      </c>
      <c r="R1149" s="2">
        <v>1851</v>
      </c>
      <c r="S1149" s="2">
        <v>391</v>
      </c>
      <c r="T1149" s="2">
        <v>0</v>
      </c>
      <c r="U1149" s="2">
        <v>0</v>
      </c>
      <c r="V1149" s="2">
        <v>0</v>
      </c>
      <c r="W1149" s="2">
        <v>559</v>
      </c>
      <c r="X1149" s="43">
        <f>SUM(R1149:W1162)</f>
        <v>33292</v>
      </c>
      <c r="Y1149" s="10">
        <v>46204</v>
      </c>
      <c r="Z1149" s="11">
        <v>0.21915174234314722</v>
      </c>
      <c r="AA1149" s="11">
        <v>0.18274192037163289</v>
      </c>
      <c r="AB1149" s="11">
        <v>0.14726787607165501</v>
      </c>
      <c r="AC1149" s="11">
        <v>0.1287497680516306</v>
      </c>
      <c r="AD1149" s="11">
        <v>0.11447820346270936</v>
      </c>
      <c r="AE1149" s="11">
        <v>0.13149780089791482</v>
      </c>
      <c r="AF1149" s="11">
        <v>0.2</v>
      </c>
      <c r="AG1149" s="11">
        <v>0.23899999999999999</v>
      </c>
    </row>
    <row r="1150" spans="2:33">
      <c r="B1150" s="53" t="s">
        <v>2193</v>
      </c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35"/>
      <c r="Q1150" s="36" t="s">
        <v>36</v>
      </c>
      <c r="R1150" s="13">
        <v>1508</v>
      </c>
      <c r="S1150" s="13">
        <v>285</v>
      </c>
      <c r="T1150" s="13">
        <v>0</v>
      </c>
      <c r="U1150" s="13">
        <v>0</v>
      </c>
      <c r="V1150" s="13">
        <v>0</v>
      </c>
      <c r="W1150" s="37">
        <v>409</v>
      </c>
      <c r="X1150" s="18"/>
      <c r="Y1150" s="14"/>
      <c r="Z1150" s="14"/>
      <c r="AA1150" s="14"/>
      <c r="AB1150" s="14"/>
      <c r="AC1150" s="14"/>
      <c r="AD1150" s="14"/>
      <c r="AE1150" s="14"/>
      <c r="AF1150" s="14"/>
      <c r="AG1150" s="35"/>
    </row>
    <row r="1151" spans="2:33">
      <c r="B1151" s="19"/>
      <c r="P1151" s="16"/>
      <c r="Q1151" s="36" t="s">
        <v>37</v>
      </c>
      <c r="R1151" s="13">
        <v>0</v>
      </c>
      <c r="S1151" s="13">
        <v>1445</v>
      </c>
      <c r="T1151" s="13">
        <v>322</v>
      </c>
      <c r="U1151" s="13">
        <v>0</v>
      </c>
      <c r="V1151" s="13">
        <v>0</v>
      </c>
      <c r="W1151" s="37">
        <v>517</v>
      </c>
      <c r="X1151" s="19"/>
      <c r="AG1151" s="16"/>
    </row>
    <row r="1152" spans="2:33">
      <c r="B1152" s="19"/>
      <c r="P1152" s="16"/>
      <c r="Q1152" s="36" t="s">
        <v>38</v>
      </c>
      <c r="R1152" s="13">
        <v>0</v>
      </c>
      <c r="S1152" s="13">
        <v>0</v>
      </c>
      <c r="T1152" s="13">
        <v>0</v>
      </c>
      <c r="U1152" s="13">
        <v>1113</v>
      </c>
      <c r="V1152" s="13">
        <v>225</v>
      </c>
      <c r="W1152" s="37">
        <v>357</v>
      </c>
      <c r="X1152" s="19"/>
      <c r="AG1152" s="16"/>
    </row>
    <row r="1153" spans="2:33">
      <c r="B1153" s="19"/>
      <c r="P1153" s="16"/>
      <c r="Q1153" s="36" t="s">
        <v>39</v>
      </c>
      <c r="R1153" s="13">
        <v>0</v>
      </c>
      <c r="S1153" s="13">
        <v>0</v>
      </c>
      <c r="T1153" s="13">
        <v>0</v>
      </c>
      <c r="U1153" s="13">
        <v>1290</v>
      </c>
      <c r="V1153" s="13">
        <v>316</v>
      </c>
      <c r="W1153" s="37">
        <v>431</v>
      </c>
      <c r="X1153" s="19"/>
      <c r="AG1153" s="16"/>
    </row>
    <row r="1154" spans="2:33">
      <c r="B1154" s="19"/>
      <c r="P1154" s="16"/>
      <c r="Q1154" s="36" t="s">
        <v>40</v>
      </c>
      <c r="R1154" s="13">
        <v>0</v>
      </c>
      <c r="S1154" s="13">
        <v>0</v>
      </c>
      <c r="T1154" s="13">
        <v>2480</v>
      </c>
      <c r="U1154" s="13">
        <v>434</v>
      </c>
      <c r="V1154" s="13">
        <v>0</v>
      </c>
      <c r="W1154" s="37">
        <v>712</v>
      </c>
      <c r="X1154" s="19"/>
      <c r="AG1154" s="16"/>
    </row>
    <row r="1155" spans="2:33">
      <c r="B1155" s="19"/>
      <c r="P1155" s="16"/>
      <c r="Q1155" s="36" t="s">
        <v>41</v>
      </c>
      <c r="R1155" s="13">
        <v>3332</v>
      </c>
      <c r="S1155" s="13">
        <v>431</v>
      </c>
      <c r="T1155" s="13">
        <v>0</v>
      </c>
      <c r="U1155" s="13">
        <v>0</v>
      </c>
      <c r="V1155" s="13">
        <v>0</v>
      </c>
      <c r="W1155" s="37">
        <v>750</v>
      </c>
      <c r="X1155" s="19"/>
      <c r="AG1155" s="16"/>
    </row>
    <row r="1156" spans="2:33">
      <c r="B1156" s="19"/>
      <c r="P1156" s="16"/>
      <c r="Q1156" s="36" t="s">
        <v>592</v>
      </c>
      <c r="R1156" s="13">
        <v>0</v>
      </c>
      <c r="S1156" s="13">
        <v>0</v>
      </c>
      <c r="T1156" s="13">
        <v>66</v>
      </c>
      <c r="U1156" s="13">
        <v>9</v>
      </c>
      <c r="V1156" s="13">
        <v>0</v>
      </c>
      <c r="W1156" s="37">
        <v>93</v>
      </c>
      <c r="X1156" s="19"/>
      <c r="AG1156" s="16"/>
    </row>
    <row r="1157" spans="2:33">
      <c r="B1157" s="19"/>
      <c r="P1157" s="16"/>
      <c r="Q1157" s="36" t="s">
        <v>593</v>
      </c>
      <c r="R1157" s="13">
        <v>0</v>
      </c>
      <c r="S1157" s="13">
        <v>0</v>
      </c>
      <c r="T1157" s="13">
        <v>66</v>
      </c>
      <c r="U1157" s="13">
        <v>8</v>
      </c>
      <c r="V1157" s="13">
        <v>0</v>
      </c>
      <c r="W1157" s="37">
        <v>92</v>
      </c>
      <c r="X1157" s="19"/>
      <c r="AG1157" s="16"/>
    </row>
    <row r="1158" spans="2:33">
      <c r="B1158" s="19"/>
      <c r="P1158" s="16"/>
      <c r="Q1158" s="36" t="s">
        <v>552</v>
      </c>
      <c r="R1158" s="13">
        <v>0</v>
      </c>
      <c r="S1158" s="13">
        <v>0</v>
      </c>
      <c r="T1158" s="13">
        <v>2530</v>
      </c>
      <c r="U1158" s="13">
        <v>345</v>
      </c>
      <c r="V1158" s="13">
        <v>0</v>
      </c>
      <c r="W1158" s="37">
        <v>698</v>
      </c>
      <c r="X1158" s="19"/>
      <c r="AG1158" s="16"/>
    </row>
    <row r="1159" spans="2:33">
      <c r="B1159" s="19"/>
      <c r="P1159" s="16"/>
      <c r="Q1159" s="36" t="s">
        <v>43</v>
      </c>
      <c r="R1159" s="13">
        <v>0</v>
      </c>
      <c r="S1159" s="13">
        <v>0</v>
      </c>
      <c r="T1159" s="13">
        <v>2264</v>
      </c>
      <c r="U1159" s="13">
        <v>393</v>
      </c>
      <c r="V1159" s="13">
        <v>0</v>
      </c>
      <c r="W1159" s="37">
        <v>597</v>
      </c>
      <c r="X1159" s="19"/>
      <c r="AG1159" s="16"/>
    </row>
    <row r="1160" spans="2:33">
      <c r="B1160" s="19"/>
      <c r="P1160" s="16"/>
      <c r="Q1160" s="36" t="s">
        <v>44</v>
      </c>
      <c r="R1160" s="13">
        <v>0</v>
      </c>
      <c r="S1160" s="13">
        <v>0</v>
      </c>
      <c r="T1160" s="13">
        <v>0</v>
      </c>
      <c r="U1160" s="13">
        <v>1547</v>
      </c>
      <c r="V1160" s="13">
        <v>345</v>
      </c>
      <c r="W1160" s="37">
        <v>436</v>
      </c>
      <c r="X1160" s="19"/>
      <c r="AG1160" s="16"/>
    </row>
    <row r="1161" spans="2:33">
      <c r="B1161" s="19"/>
      <c r="P1161" s="16"/>
      <c r="Q1161" s="36" t="s">
        <v>45</v>
      </c>
      <c r="R1161" s="13">
        <v>0</v>
      </c>
      <c r="S1161" s="13">
        <v>1299</v>
      </c>
      <c r="T1161" s="13">
        <v>267</v>
      </c>
      <c r="U1161" s="13">
        <v>0</v>
      </c>
      <c r="V1161" s="13">
        <v>0</v>
      </c>
      <c r="W1161" s="37">
        <v>466</v>
      </c>
      <c r="X1161" s="19"/>
      <c r="AG1161" s="16"/>
    </row>
    <row r="1162" spans="2:33" ht="15" thickBot="1">
      <c r="B1162" s="20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7"/>
      <c r="Q1162" s="36" t="s">
        <v>46</v>
      </c>
      <c r="R1162" s="13">
        <v>1602</v>
      </c>
      <c r="S1162" s="13">
        <v>380</v>
      </c>
      <c r="T1162" s="13">
        <v>0</v>
      </c>
      <c r="U1162" s="13">
        <v>0</v>
      </c>
      <c r="V1162" s="13">
        <v>0</v>
      </c>
      <c r="W1162" s="37">
        <v>631</v>
      </c>
      <c r="X1162" s="20"/>
      <c r="Y1162" s="15"/>
      <c r="Z1162" s="15"/>
      <c r="AA1162" s="15"/>
      <c r="AB1162" s="15"/>
      <c r="AC1162" s="15"/>
      <c r="AD1162" s="15"/>
      <c r="AE1162" s="15"/>
      <c r="AF1162" s="15"/>
      <c r="AG1162" s="17"/>
    </row>
    <row r="1164" spans="2:33" ht="15" thickBot="1">
      <c r="B1164" s="25" t="s">
        <v>532</v>
      </c>
      <c r="C1164" s="26" t="s">
        <v>533</v>
      </c>
      <c r="D1164" s="26" t="s">
        <v>594</v>
      </c>
      <c r="E1164" s="26" t="s">
        <v>595</v>
      </c>
      <c r="F1164" s="26" t="s">
        <v>596</v>
      </c>
      <c r="G1164" s="26" t="s">
        <v>597</v>
      </c>
      <c r="H1164" s="27" t="s">
        <v>597</v>
      </c>
      <c r="I1164" s="26" t="s">
        <v>598</v>
      </c>
      <c r="J1164" s="27" t="s">
        <v>87</v>
      </c>
      <c r="K1164" s="29">
        <v>32</v>
      </c>
      <c r="L1164" s="29">
        <v>33</v>
      </c>
      <c r="M1164" s="29">
        <v>33</v>
      </c>
      <c r="N1164" s="29">
        <v>33</v>
      </c>
      <c r="O1164" s="29">
        <v>33</v>
      </c>
      <c r="P1164" s="40">
        <v>33</v>
      </c>
      <c r="Q1164" s="1" t="s">
        <v>35</v>
      </c>
      <c r="R1164" s="2">
        <v>3497</v>
      </c>
      <c r="S1164" s="2">
        <v>1497</v>
      </c>
      <c r="T1164" s="2">
        <v>0</v>
      </c>
      <c r="U1164" s="2">
        <v>0</v>
      </c>
      <c r="V1164" s="2">
        <v>0</v>
      </c>
      <c r="W1164" s="2">
        <v>1428</v>
      </c>
      <c r="X1164" s="43">
        <f>SUM(R1164:W1176)</f>
        <v>58275</v>
      </c>
      <c r="Y1164" s="10">
        <v>46204</v>
      </c>
      <c r="Z1164" s="11">
        <v>0.21915174234314722</v>
      </c>
      <c r="AA1164" s="11">
        <v>0.18274192037163289</v>
      </c>
      <c r="AB1164" s="11">
        <v>0.14726787607165501</v>
      </c>
      <c r="AC1164" s="11">
        <v>0.1287497680516306</v>
      </c>
      <c r="AD1164" s="11">
        <v>0.11447820346270936</v>
      </c>
      <c r="AE1164" s="11">
        <v>0.13149780089791482</v>
      </c>
      <c r="AF1164" s="11">
        <v>0.2</v>
      </c>
      <c r="AG1164" s="11">
        <v>0.23899999999999999</v>
      </c>
    </row>
    <row r="1165" spans="2:33">
      <c r="B1165" s="53" t="s">
        <v>2193</v>
      </c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35"/>
      <c r="Q1165" s="36" t="s">
        <v>36</v>
      </c>
      <c r="R1165" s="13">
        <v>3172</v>
      </c>
      <c r="S1165" s="13">
        <v>1350</v>
      </c>
      <c r="T1165" s="13">
        <v>0</v>
      </c>
      <c r="U1165" s="13">
        <v>0</v>
      </c>
      <c r="V1165" s="13">
        <v>0</v>
      </c>
      <c r="W1165" s="37">
        <v>1079</v>
      </c>
      <c r="X1165" s="18"/>
      <c r="Y1165" s="14"/>
      <c r="Z1165" s="14"/>
      <c r="AA1165" s="14"/>
      <c r="AB1165" s="14"/>
      <c r="AC1165" s="14"/>
      <c r="AD1165" s="14"/>
      <c r="AE1165" s="14"/>
      <c r="AF1165" s="14"/>
      <c r="AG1165" s="35"/>
    </row>
    <row r="1166" spans="2:33">
      <c r="B1166" s="19"/>
      <c r="P1166" s="16"/>
      <c r="Q1166" s="36" t="s">
        <v>37</v>
      </c>
      <c r="R1166" s="13">
        <v>0</v>
      </c>
      <c r="S1166" s="13">
        <v>3153</v>
      </c>
      <c r="T1166" s="13">
        <v>1186</v>
      </c>
      <c r="U1166" s="13">
        <v>0</v>
      </c>
      <c r="V1166" s="13">
        <v>0</v>
      </c>
      <c r="W1166" s="37">
        <v>1328</v>
      </c>
      <c r="X1166" s="19"/>
      <c r="AG1166" s="16"/>
    </row>
    <row r="1167" spans="2:33">
      <c r="B1167" s="19"/>
      <c r="P1167" s="16"/>
      <c r="Q1167" s="36" t="s">
        <v>38</v>
      </c>
      <c r="R1167" s="13">
        <v>0</v>
      </c>
      <c r="S1167" s="13">
        <v>0</v>
      </c>
      <c r="T1167" s="13">
        <v>0</v>
      </c>
      <c r="U1167" s="13">
        <v>2130</v>
      </c>
      <c r="V1167" s="13">
        <v>979</v>
      </c>
      <c r="W1167" s="37">
        <v>936</v>
      </c>
      <c r="X1167" s="19"/>
      <c r="AG1167" s="16"/>
    </row>
    <row r="1168" spans="2:33">
      <c r="B1168" s="19"/>
      <c r="P1168" s="16"/>
      <c r="Q1168" s="36" t="s">
        <v>39</v>
      </c>
      <c r="R1168" s="13">
        <v>0</v>
      </c>
      <c r="S1168" s="13">
        <v>0</v>
      </c>
      <c r="T1168" s="13">
        <v>0</v>
      </c>
      <c r="U1168" s="13">
        <v>2270</v>
      </c>
      <c r="V1168" s="13">
        <v>938</v>
      </c>
      <c r="W1168" s="37">
        <v>792</v>
      </c>
      <c r="X1168" s="19"/>
      <c r="AG1168" s="16"/>
    </row>
    <row r="1169" spans="2:33">
      <c r="B1169" s="19"/>
      <c r="P1169" s="16"/>
      <c r="Q1169" s="36" t="s">
        <v>40</v>
      </c>
      <c r="R1169" s="13">
        <v>0</v>
      </c>
      <c r="S1169" s="13">
        <v>0</v>
      </c>
      <c r="T1169" s="13">
        <v>2096</v>
      </c>
      <c r="U1169" s="13">
        <v>1191</v>
      </c>
      <c r="V1169" s="13">
        <v>0</v>
      </c>
      <c r="W1169" s="37">
        <v>1107</v>
      </c>
      <c r="X1169" s="19"/>
      <c r="AG1169" s="16"/>
    </row>
    <row r="1170" spans="2:33">
      <c r="B1170" s="19"/>
      <c r="P1170" s="16"/>
      <c r="Q1170" s="36" t="s">
        <v>41</v>
      </c>
      <c r="R1170" s="13">
        <v>2414</v>
      </c>
      <c r="S1170" s="13">
        <v>1578</v>
      </c>
      <c r="T1170" s="13">
        <v>0</v>
      </c>
      <c r="U1170" s="13">
        <v>0</v>
      </c>
      <c r="V1170" s="13">
        <v>0</v>
      </c>
      <c r="W1170" s="37">
        <v>977</v>
      </c>
      <c r="X1170" s="19"/>
      <c r="AG1170" s="16"/>
    </row>
    <row r="1171" spans="2:33">
      <c r="B1171" s="19"/>
      <c r="P1171" s="16"/>
      <c r="Q1171" s="36" t="s">
        <v>551</v>
      </c>
      <c r="R1171" s="13">
        <v>0</v>
      </c>
      <c r="S1171" s="13">
        <v>0</v>
      </c>
      <c r="T1171" s="13">
        <v>111</v>
      </c>
      <c r="U1171" s="13">
        <v>72</v>
      </c>
      <c r="V1171" s="13">
        <v>0</v>
      </c>
      <c r="W1171" s="37">
        <v>228</v>
      </c>
      <c r="X1171" s="19"/>
      <c r="AG1171" s="16"/>
    </row>
    <row r="1172" spans="2:33">
      <c r="B1172" s="19"/>
      <c r="P1172" s="16"/>
      <c r="Q1172" s="36" t="s">
        <v>552</v>
      </c>
      <c r="R1172" s="13">
        <v>0</v>
      </c>
      <c r="S1172" s="13">
        <v>0</v>
      </c>
      <c r="T1172" s="13">
        <v>2220</v>
      </c>
      <c r="U1172" s="13">
        <v>1350</v>
      </c>
      <c r="V1172" s="13">
        <v>0</v>
      </c>
      <c r="W1172" s="37">
        <v>910</v>
      </c>
      <c r="X1172" s="19"/>
      <c r="AG1172" s="16"/>
    </row>
    <row r="1173" spans="2:33">
      <c r="B1173" s="19"/>
      <c r="P1173" s="16"/>
      <c r="Q1173" s="36" t="s">
        <v>43</v>
      </c>
      <c r="R1173" s="13">
        <v>0</v>
      </c>
      <c r="S1173" s="13">
        <v>0</v>
      </c>
      <c r="T1173" s="13">
        <v>1715</v>
      </c>
      <c r="U1173" s="13">
        <v>925</v>
      </c>
      <c r="V1173" s="13">
        <v>0</v>
      </c>
      <c r="W1173" s="37">
        <v>689</v>
      </c>
      <c r="X1173" s="19"/>
      <c r="AG1173" s="16"/>
    </row>
    <row r="1174" spans="2:33">
      <c r="B1174" s="19"/>
      <c r="P1174" s="16"/>
      <c r="Q1174" s="36" t="s">
        <v>44</v>
      </c>
      <c r="R1174" s="13">
        <v>0</v>
      </c>
      <c r="S1174" s="13">
        <v>0</v>
      </c>
      <c r="T1174" s="13">
        <v>0</v>
      </c>
      <c r="U1174" s="13">
        <v>1443</v>
      </c>
      <c r="V1174" s="13">
        <v>704</v>
      </c>
      <c r="W1174" s="37">
        <v>496</v>
      </c>
      <c r="X1174" s="19"/>
      <c r="AG1174" s="16"/>
    </row>
    <row r="1175" spans="2:33">
      <c r="B1175" s="19"/>
      <c r="P1175" s="16"/>
      <c r="Q1175" s="36" t="s">
        <v>45</v>
      </c>
      <c r="R1175" s="13">
        <v>0</v>
      </c>
      <c r="S1175" s="13">
        <v>3015</v>
      </c>
      <c r="T1175" s="13">
        <v>1311</v>
      </c>
      <c r="U1175" s="13">
        <v>0</v>
      </c>
      <c r="V1175" s="13">
        <v>0</v>
      </c>
      <c r="W1175" s="37">
        <v>1358</v>
      </c>
      <c r="X1175" s="19"/>
      <c r="AG1175" s="16"/>
    </row>
    <row r="1176" spans="2:33" ht="15" thickBot="1">
      <c r="B1176" s="20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7"/>
      <c r="Q1176" s="36" t="s">
        <v>46</v>
      </c>
      <c r="R1176" s="13">
        <v>3313</v>
      </c>
      <c r="S1176" s="13">
        <v>1660</v>
      </c>
      <c r="T1176" s="13">
        <v>0</v>
      </c>
      <c r="U1176" s="13">
        <v>0</v>
      </c>
      <c r="V1176" s="13">
        <v>0</v>
      </c>
      <c r="W1176" s="37">
        <v>1657</v>
      </c>
      <c r="X1176" s="20"/>
      <c r="Y1176" s="15"/>
      <c r="Z1176" s="15"/>
      <c r="AA1176" s="15"/>
      <c r="AB1176" s="15"/>
      <c r="AC1176" s="15"/>
      <c r="AD1176" s="15"/>
      <c r="AE1176" s="15"/>
      <c r="AF1176" s="15"/>
      <c r="AG1176" s="17"/>
    </row>
    <row r="1178" spans="2:33" ht="15" thickBot="1">
      <c r="B1178" s="25" t="s">
        <v>532</v>
      </c>
      <c r="C1178" s="26" t="s">
        <v>533</v>
      </c>
      <c r="D1178" s="26" t="s">
        <v>599</v>
      </c>
      <c r="E1178" s="26" t="s">
        <v>600</v>
      </c>
      <c r="F1178" s="26" t="s">
        <v>601</v>
      </c>
      <c r="G1178" s="26" t="s">
        <v>33</v>
      </c>
      <c r="H1178" s="27" t="s">
        <v>33</v>
      </c>
      <c r="I1178" s="26" t="s">
        <v>602</v>
      </c>
      <c r="J1178" s="27" t="s">
        <v>87</v>
      </c>
      <c r="K1178" s="29">
        <v>24</v>
      </c>
      <c r="L1178" s="29">
        <v>25</v>
      </c>
      <c r="M1178" s="29">
        <v>25</v>
      </c>
      <c r="N1178" s="29">
        <v>25</v>
      </c>
      <c r="O1178" s="29">
        <v>25</v>
      </c>
      <c r="P1178" s="40">
        <v>25</v>
      </c>
      <c r="Q1178" s="1" t="s">
        <v>35</v>
      </c>
      <c r="R1178" s="2">
        <v>2097</v>
      </c>
      <c r="S1178" s="2">
        <v>1086</v>
      </c>
      <c r="T1178" s="2">
        <v>0</v>
      </c>
      <c r="U1178" s="2">
        <v>0</v>
      </c>
      <c r="V1178" s="2">
        <v>0</v>
      </c>
      <c r="W1178" s="2">
        <v>1105</v>
      </c>
      <c r="X1178" s="43">
        <f>SUM(R1178:W1190)</f>
        <v>57501</v>
      </c>
      <c r="Y1178" s="10">
        <v>46204</v>
      </c>
      <c r="Z1178" s="11">
        <v>0.21915174234314722</v>
      </c>
      <c r="AA1178" s="11">
        <v>0.18274192037163289</v>
      </c>
      <c r="AB1178" s="11">
        <v>0.14726787607165501</v>
      </c>
      <c r="AC1178" s="11">
        <v>0.1287497680516306</v>
      </c>
      <c r="AD1178" s="11">
        <v>0.11447820346270936</v>
      </c>
      <c r="AE1178" s="11">
        <v>0.13149780089791482</v>
      </c>
      <c r="AF1178" s="11">
        <v>0.2</v>
      </c>
      <c r="AG1178" s="11">
        <v>0.23899999999999999</v>
      </c>
    </row>
    <row r="1179" spans="2:33">
      <c r="B1179" s="53" t="s">
        <v>2193</v>
      </c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35"/>
      <c r="Q1179" s="36" t="s">
        <v>36</v>
      </c>
      <c r="R1179" s="13">
        <v>1775</v>
      </c>
      <c r="S1179" s="13">
        <v>878</v>
      </c>
      <c r="T1179" s="13">
        <v>0</v>
      </c>
      <c r="U1179" s="13">
        <v>0</v>
      </c>
      <c r="V1179" s="13">
        <v>0</v>
      </c>
      <c r="W1179" s="37">
        <v>822</v>
      </c>
      <c r="X1179" s="18"/>
      <c r="Y1179" s="14"/>
      <c r="Z1179" s="14"/>
      <c r="AA1179" s="14"/>
      <c r="AB1179" s="14"/>
      <c r="AC1179" s="14"/>
      <c r="AD1179" s="14"/>
      <c r="AE1179" s="14"/>
      <c r="AF1179" s="14"/>
      <c r="AG1179" s="35"/>
    </row>
    <row r="1180" spans="2:33">
      <c r="B1180" s="19"/>
      <c r="P1180" s="16"/>
      <c r="Q1180" s="36" t="s">
        <v>37</v>
      </c>
      <c r="R1180" s="13">
        <v>0</v>
      </c>
      <c r="S1180" s="13">
        <v>1934</v>
      </c>
      <c r="T1180" s="13">
        <v>1034</v>
      </c>
      <c r="U1180" s="13">
        <v>0</v>
      </c>
      <c r="V1180" s="13">
        <v>0</v>
      </c>
      <c r="W1180" s="37">
        <v>852</v>
      </c>
      <c r="X1180" s="19"/>
      <c r="AG1180" s="16"/>
    </row>
    <row r="1181" spans="2:33">
      <c r="B1181" s="19"/>
      <c r="P1181" s="16"/>
      <c r="Q1181" s="36" t="s">
        <v>38</v>
      </c>
      <c r="R1181" s="13">
        <v>0</v>
      </c>
      <c r="S1181" s="13">
        <v>0</v>
      </c>
      <c r="T1181" s="13">
        <v>0</v>
      </c>
      <c r="U1181" s="13">
        <v>1580</v>
      </c>
      <c r="V1181" s="13">
        <v>851</v>
      </c>
      <c r="W1181" s="37">
        <v>612</v>
      </c>
      <c r="X1181" s="19"/>
      <c r="AG1181" s="16"/>
    </row>
    <row r="1182" spans="2:33">
      <c r="B1182" s="19"/>
      <c r="P1182" s="16"/>
      <c r="Q1182" s="36" t="s">
        <v>39</v>
      </c>
      <c r="R1182" s="13">
        <v>0</v>
      </c>
      <c r="S1182" s="13">
        <v>0</v>
      </c>
      <c r="T1182" s="13">
        <v>0</v>
      </c>
      <c r="U1182" s="13">
        <v>1950</v>
      </c>
      <c r="V1182" s="13">
        <v>1063</v>
      </c>
      <c r="W1182" s="37">
        <v>955</v>
      </c>
      <c r="X1182" s="19"/>
      <c r="AG1182" s="16"/>
    </row>
    <row r="1183" spans="2:33">
      <c r="B1183" s="19"/>
      <c r="P1183" s="16"/>
      <c r="Q1183" s="36" t="s">
        <v>40</v>
      </c>
      <c r="R1183" s="13">
        <v>0</v>
      </c>
      <c r="S1183" s="13">
        <v>0</v>
      </c>
      <c r="T1183" s="13">
        <v>3510</v>
      </c>
      <c r="U1183" s="13">
        <v>1979</v>
      </c>
      <c r="V1183" s="13">
        <v>0</v>
      </c>
      <c r="W1183" s="37">
        <v>1152</v>
      </c>
      <c r="X1183" s="19"/>
      <c r="AG1183" s="16"/>
    </row>
    <row r="1184" spans="2:33">
      <c r="B1184" s="19"/>
      <c r="P1184" s="16"/>
      <c r="Q1184" s="36" t="s">
        <v>41</v>
      </c>
      <c r="R1184" s="13">
        <v>3970</v>
      </c>
      <c r="S1184" s="13">
        <v>2124</v>
      </c>
      <c r="T1184" s="13">
        <v>0</v>
      </c>
      <c r="U1184" s="13">
        <v>0</v>
      </c>
      <c r="V1184" s="13">
        <v>0</v>
      </c>
      <c r="W1184" s="37">
        <v>1040</v>
      </c>
      <c r="X1184" s="19"/>
      <c r="AG1184" s="16"/>
    </row>
    <row r="1185" spans="2:33">
      <c r="B1185" s="19"/>
      <c r="P1185" s="16"/>
      <c r="Q1185" s="36" t="s">
        <v>551</v>
      </c>
      <c r="R1185" s="13">
        <v>0</v>
      </c>
      <c r="S1185" s="13">
        <v>0</v>
      </c>
      <c r="T1185" s="13">
        <v>189</v>
      </c>
      <c r="U1185" s="13">
        <v>109</v>
      </c>
      <c r="V1185" s="13">
        <v>0</v>
      </c>
      <c r="W1185" s="37">
        <v>259</v>
      </c>
      <c r="X1185" s="19"/>
      <c r="AG1185" s="16"/>
    </row>
    <row r="1186" spans="2:33">
      <c r="B1186" s="19"/>
      <c r="P1186" s="16"/>
      <c r="Q1186" s="36" t="s">
        <v>552</v>
      </c>
      <c r="R1186" s="13">
        <v>0</v>
      </c>
      <c r="S1186" s="13">
        <v>0</v>
      </c>
      <c r="T1186" s="13">
        <v>2931</v>
      </c>
      <c r="U1186" s="13">
        <v>1715</v>
      </c>
      <c r="V1186" s="13">
        <v>0</v>
      </c>
      <c r="W1186" s="37">
        <v>1185</v>
      </c>
      <c r="X1186" s="19"/>
      <c r="AG1186" s="16"/>
    </row>
    <row r="1187" spans="2:33">
      <c r="B1187" s="19"/>
      <c r="P1187" s="16"/>
      <c r="Q1187" s="36" t="s">
        <v>43</v>
      </c>
      <c r="R1187" s="13">
        <v>0</v>
      </c>
      <c r="S1187" s="13">
        <v>0</v>
      </c>
      <c r="T1187" s="13">
        <v>2559</v>
      </c>
      <c r="U1187" s="13">
        <v>1421</v>
      </c>
      <c r="V1187" s="13">
        <v>0</v>
      </c>
      <c r="W1187" s="37">
        <v>1048</v>
      </c>
      <c r="X1187" s="19"/>
      <c r="AG1187" s="16"/>
    </row>
    <row r="1188" spans="2:33">
      <c r="B1188" s="19"/>
      <c r="P1188" s="16"/>
      <c r="Q1188" s="36" t="s">
        <v>44</v>
      </c>
      <c r="R1188" s="13">
        <v>0</v>
      </c>
      <c r="S1188" s="13">
        <v>0</v>
      </c>
      <c r="T1188" s="13">
        <v>0</v>
      </c>
      <c r="U1188" s="13">
        <v>2186</v>
      </c>
      <c r="V1188" s="13">
        <v>1457</v>
      </c>
      <c r="W1188" s="37">
        <v>735</v>
      </c>
      <c r="X1188" s="19"/>
      <c r="AG1188" s="16"/>
    </row>
    <row r="1189" spans="2:33">
      <c r="B1189" s="19"/>
      <c r="P1189" s="16"/>
      <c r="Q1189" s="36" t="s">
        <v>45</v>
      </c>
      <c r="R1189" s="13">
        <v>0</v>
      </c>
      <c r="S1189" s="13">
        <v>1720</v>
      </c>
      <c r="T1189" s="13">
        <v>967</v>
      </c>
      <c r="U1189" s="13">
        <v>0</v>
      </c>
      <c r="V1189" s="13">
        <v>0</v>
      </c>
      <c r="W1189" s="37">
        <v>1078</v>
      </c>
      <c r="X1189" s="19"/>
      <c r="AG1189" s="16"/>
    </row>
    <row r="1190" spans="2:33" ht="15" thickBot="1">
      <c r="B1190" s="20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7"/>
      <c r="Q1190" s="36" t="s">
        <v>46</v>
      </c>
      <c r="R1190" s="13">
        <v>2796</v>
      </c>
      <c r="S1190" s="13">
        <v>1405</v>
      </c>
      <c r="T1190" s="13">
        <v>0</v>
      </c>
      <c r="U1190" s="13">
        <v>0</v>
      </c>
      <c r="V1190" s="13">
        <v>0</v>
      </c>
      <c r="W1190" s="37">
        <v>1372</v>
      </c>
      <c r="X1190" s="20"/>
      <c r="Y1190" s="15"/>
      <c r="Z1190" s="15"/>
      <c r="AA1190" s="15"/>
      <c r="AB1190" s="15"/>
      <c r="AC1190" s="15"/>
      <c r="AD1190" s="15"/>
      <c r="AE1190" s="15"/>
      <c r="AF1190" s="15"/>
      <c r="AG1190" s="17"/>
    </row>
    <row r="1192" spans="2:33" ht="15" thickBot="1">
      <c r="B1192" s="25" t="s">
        <v>532</v>
      </c>
      <c r="C1192" s="26" t="s">
        <v>533</v>
      </c>
      <c r="D1192" s="26" t="s">
        <v>603</v>
      </c>
      <c r="E1192" s="26" t="s">
        <v>604</v>
      </c>
      <c r="F1192" s="26" t="s">
        <v>605</v>
      </c>
      <c r="G1192" s="26" t="s">
        <v>606</v>
      </c>
      <c r="H1192" s="27" t="s">
        <v>607</v>
      </c>
      <c r="I1192" s="26" t="s">
        <v>608</v>
      </c>
      <c r="J1192" s="27" t="s">
        <v>87</v>
      </c>
      <c r="K1192" s="29">
        <v>23</v>
      </c>
      <c r="L1192" s="29">
        <v>23</v>
      </c>
      <c r="M1192" s="29">
        <v>23</v>
      </c>
      <c r="N1192" s="29">
        <v>23</v>
      </c>
      <c r="O1192" s="29">
        <v>23</v>
      </c>
      <c r="P1192" s="40">
        <v>68</v>
      </c>
      <c r="Q1192" s="1" t="s">
        <v>35</v>
      </c>
      <c r="R1192" s="2">
        <v>1288</v>
      </c>
      <c r="S1192" s="2">
        <v>560</v>
      </c>
      <c r="T1192" s="2">
        <v>0</v>
      </c>
      <c r="U1192" s="2">
        <v>0</v>
      </c>
      <c r="V1192" s="2">
        <v>0</v>
      </c>
      <c r="W1192" s="2">
        <v>1184</v>
      </c>
      <c r="X1192" s="43">
        <f>SUM(R1192:W1204)</f>
        <v>22851</v>
      </c>
      <c r="Y1192" s="10">
        <v>46204</v>
      </c>
      <c r="Z1192" s="11">
        <v>0.21915174234314722</v>
      </c>
      <c r="AA1192" s="11">
        <v>0.18274192037163289</v>
      </c>
      <c r="AB1192" s="11">
        <v>0.14726787607165501</v>
      </c>
      <c r="AC1192" s="11">
        <v>0.1287497680516306</v>
      </c>
      <c r="AD1192" s="11">
        <v>0.11447820346270936</v>
      </c>
      <c r="AE1192" s="11">
        <v>0.13149780089791482</v>
      </c>
      <c r="AF1192" s="11">
        <v>0.2</v>
      </c>
      <c r="AG1192" s="11">
        <v>0.23899999999999999</v>
      </c>
    </row>
    <row r="1193" spans="2:33">
      <c r="B1193" s="53" t="s">
        <v>2193</v>
      </c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35"/>
      <c r="Q1193" s="36" t="s">
        <v>36</v>
      </c>
      <c r="R1193" s="13">
        <v>1124</v>
      </c>
      <c r="S1193" s="13">
        <v>419</v>
      </c>
      <c r="T1193" s="13">
        <v>0</v>
      </c>
      <c r="U1193" s="13">
        <v>0</v>
      </c>
      <c r="V1193" s="13">
        <v>0</v>
      </c>
      <c r="W1193" s="37">
        <v>684</v>
      </c>
      <c r="X1193" s="18"/>
      <c r="Y1193" s="14"/>
      <c r="Z1193" s="14"/>
      <c r="AA1193" s="14"/>
      <c r="AB1193" s="14"/>
      <c r="AC1193" s="14"/>
      <c r="AD1193" s="14"/>
      <c r="AE1193" s="14"/>
      <c r="AF1193" s="14"/>
      <c r="AG1193" s="35"/>
    </row>
    <row r="1194" spans="2:33">
      <c r="B1194" s="19"/>
      <c r="P1194" s="16"/>
      <c r="Q1194" s="36" t="s">
        <v>37</v>
      </c>
      <c r="R1194" s="13">
        <v>0</v>
      </c>
      <c r="S1194" s="13">
        <v>1070</v>
      </c>
      <c r="T1194" s="13">
        <v>398</v>
      </c>
      <c r="U1194" s="13">
        <v>0</v>
      </c>
      <c r="V1194" s="13">
        <v>0</v>
      </c>
      <c r="W1194" s="37">
        <v>824</v>
      </c>
      <c r="X1194" s="19"/>
      <c r="AG1194" s="16"/>
    </row>
    <row r="1195" spans="2:33">
      <c r="B1195" s="19"/>
      <c r="P1195" s="16"/>
      <c r="Q1195" s="36" t="s">
        <v>38</v>
      </c>
      <c r="R1195" s="13">
        <v>0</v>
      </c>
      <c r="S1195" s="13">
        <v>0</v>
      </c>
      <c r="T1195" s="13">
        <v>0</v>
      </c>
      <c r="U1195" s="13">
        <v>881</v>
      </c>
      <c r="V1195" s="13">
        <v>276</v>
      </c>
      <c r="W1195" s="37">
        <v>426</v>
      </c>
      <c r="X1195" s="19"/>
      <c r="AG1195" s="16"/>
    </row>
    <row r="1196" spans="2:33">
      <c r="B1196" s="19"/>
      <c r="P1196" s="16"/>
      <c r="Q1196" s="36" t="s">
        <v>39</v>
      </c>
      <c r="R1196" s="13">
        <v>0</v>
      </c>
      <c r="S1196" s="13">
        <v>0</v>
      </c>
      <c r="T1196" s="13">
        <v>0</v>
      </c>
      <c r="U1196" s="13">
        <v>775</v>
      </c>
      <c r="V1196" s="13">
        <v>216</v>
      </c>
      <c r="W1196" s="37">
        <v>438</v>
      </c>
      <c r="X1196" s="19"/>
      <c r="AG1196" s="16"/>
    </row>
    <row r="1197" spans="2:33">
      <c r="B1197" s="19"/>
      <c r="P1197" s="16"/>
      <c r="Q1197" s="36" t="s">
        <v>40</v>
      </c>
      <c r="R1197" s="13">
        <v>0</v>
      </c>
      <c r="S1197" s="13">
        <v>0</v>
      </c>
      <c r="T1197" s="13">
        <v>1020</v>
      </c>
      <c r="U1197" s="13">
        <v>309</v>
      </c>
      <c r="V1197" s="13">
        <v>0</v>
      </c>
      <c r="W1197" s="37">
        <v>443</v>
      </c>
      <c r="X1197" s="19"/>
      <c r="AG1197" s="16"/>
    </row>
    <row r="1198" spans="2:33">
      <c r="B1198" s="19"/>
      <c r="P1198" s="16"/>
      <c r="Q1198" s="36" t="s">
        <v>41</v>
      </c>
      <c r="R1198" s="13">
        <v>1071</v>
      </c>
      <c r="S1198" s="13">
        <v>335</v>
      </c>
      <c r="T1198" s="13">
        <v>0</v>
      </c>
      <c r="U1198" s="13">
        <v>0</v>
      </c>
      <c r="V1198" s="13">
        <v>0</v>
      </c>
      <c r="W1198" s="37">
        <v>403</v>
      </c>
      <c r="X1198" s="19"/>
      <c r="AG1198" s="16"/>
    </row>
    <row r="1199" spans="2:33">
      <c r="B1199" s="19"/>
      <c r="P1199" s="16"/>
      <c r="Q1199" s="36" t="s">
        <v>552</v>
      </c>
      <c r="R1199" s="13">
        <v>0</v>
      </c>
      <c r="S1199" s="13">
        <v>0</v>
      </c>
      <c r="T1199" s="13">
        <v>851</v>
      </c>
      <c r="U1199" s="13">
        <v>228</v>
      </c>
      <c r="V1199" s="13">
        <v>0</v>
      </c>
      <c r="W1199" s="37">
        <v>455</v>
      </c>
      <c r="X1199" s="19"/>
      <c r="AG1199" s="16"/>
    </row>
    <row r="1200" spans="2:33">
      <c r="B1200" s="19"/>
      <c r="P1200" s="16"/>
      <c r="Q1200" s="36" t="s">
        <v>43</v>
      </c>
      <c r="R1200" s="13">
        <v>0</v>
      </c>
      <c r="S1200" s="13">
        <v>0</v>
      </c>
      <c r="T1200" s="13">
        <v>797</v>
      </c>
      <c r="U1200" s="13">
        <v>226</v>
      </c>
      <c r="V1200" s="13">
        <v>0</v>
      </c>
      <c r="W1200" s="37">
        <v>379</v>
      </c>
      <c r="X1200" s="19"/>
      <c r="AG1200" s="16"/>
    </row>
    <row r="1201" spans="2:33">
      <c r="B1201" s="19"/>
      <c r="P1201" s="16"/>
      <c r="Q1201" s="36" t="s">
        <v>44</v>
      </c>
      <c r="R1201" s="13">
        <v>0</v>
      </c>
      <c r="S1201" s="13">
        <v>0</v>
      </c>
      <c r="T1201" s="13">
        <v>0</v>
      </c>
      <c r="U1201" s="13">
        <v>801</v>
      </c>
      <c r="V1201" s="13">
        <v>210</v>
      </c>
      <c r="W1201" s="37">
        <v>334</v>
      </c>
      <c r="X1201" s="19"/>
      <c r="AG1201" s="16"/>
    </row>
    <row r="1202" spans="2:33">
      <c r="B1202" s="19"/>
      <c r="P1202" s="16"/>
      <c r="Q1202" s="36" t="s">
        <v>539</v>
      </c>
      <c r="R1202" s="13">
        <v>0</v>
      </c>
      <c r="S1202" s="13">
        <v>853</v>
      </c>
      <c r="T1202" s="13">
        <v>251</v>
      </c>
      <c r="U1202" s="13">
        <v>0</v>
      </c>
      <c r="V1202" s="13">
        <v>0</v>
      </c>
      <c r="W1202" s="37">
        <v>495</v>
      </c>
      <c r="X1202" s="19"/>
      <c r="AG1202" s="16"/>
    </row>
    <row r="1203" spans="2:33">
      <c r="B1203" s="19"/>
      <c r="P1203" s="16"/>
      <c r="Q1203" s="36" t="s">
        <v>540</v>
      </c>
      <c r="R1203" s="13">
        <v>0</v>
      </c>
      <c r="S1203" s="13">
        <v>150</v>
      </c>
      <c r="T1203" s="13">
        <v>44</v>
      </c>
      <c r="U1203" s="13">
        <v>0</v>
      </c>
      <c r="V1203" s="13">
        <v>0</v>
      </c>
      <c r="W1203" s="37">
        <v>109</v>
      </c>
      <c r="X1203" s="19"/>
      <c r="AG1203" s="16"/>
    </row>
    <row r="1204" spans="2:33" ht="15" thickBot="1">
      <c r="B1204" s="20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7"/>
      <c r="Q1204" s="36" t="s">
        <v>46</v>
      </c>
      <c r="R1204" s="13">
        <v>1136</v>
      </c>
      <c r="S1204" s="13">
        <v>429</v>
      </c>
      <c r="T1204" s="13">
        <v>0</v>
      </c>
      <c r="U1204" s="13">
        <v>0</v>
      </c>
      <c r="V1204" s="13">
        <v>0</v>
      </c>
      <c r="W1204" s="37">
        <v>959</v>
      </c>
      <c r="X1204" s="20"/>
      <c r="Y1204" s="15"/>
      <c r="Z1204" s="15"/>
      <c r="AA1204" s="15"/>
      <c r="AB1204" s="15"/>
      <c r="AC1204" s="15"/>
      <c r="AD1204" s="15"/>
      <c r="AE1204" s="15"/>
      <c r="AF1204" s="15"/>
      <c r="AG1204" s="17"/>
    </row>
    <row r="1206" spans="2:33" ht="15" thickBot="1">
      <c r="B1206" s="25" t="s">
        <v>532</v>
      </c>
      <c r="C1206" s="26" t="s">
        <v>533</v>
      </c>
      <c r="D1206" s="26" t="s">
        <v>609</v>
      </c>
      <c r="E1206" s="26" t="s">
        <v>610</v>
      </c>
      <c r="F1206" s="26" t="s">
        <v>392</v>
      </c>
      <c r="G1206" s="26" t="s">
        <v>33</v>
      </c>
      <c r="H1206" s="27" t="s">
        <v>33</v>
      </c>
      <c r="I1206" s="26" t="s">
        <v>611</v>
      </c>
      <c r="J1206" s="27" t="s">
        <v>87</v>
      </c>
      <c r="K1206" s="29">
        <v>44</v>
      </c>
      <c r="L1206" s="29">
        <v>46</v>
      </c>
      <c r="M1206" s="29">
        <v>46</v>
      </c>
      <c r="N1206" s="29">
        <v>46</v>
      </c>
      <c r="O1206" s="29">
        <v>46</v>
      </c>
      <c r="P1206" s="40">
        <v>46</v>
      </c>
      <c r="Q1206" s="1" t="s">
        <v>35</v>
      </c>
      <c r="R1206" s="2">
        <v>3856</v>
      </c>
      <c r="S1206" s="2">
        <v>2226</v>
      </c>
      <c r="T1206" s="2">
        <v>0</v>
      </c>
      <c r="U1206" s="2">
        <v>0</v>
      </c>
      <c r="V1206" s="2">
        <v>0</v>
      </c>
      <c r="W1206" s="2">
        <v>2100</v>
      </c>
      <c r="X1206" s="43">
        <f>SUM(R1206:W1218)</f>
        <v>92838</v>
      </c>
      <c r="Y1206" s="10">
        <v>46204</v>
      </c>
      <c r="Z1206" s="11">
        <v>0.21915174234314722</v>
      </c>
      <c r="AA1206" s="11">
        <v>0.18274192037163289</v>
      </c>
      <c r="AB1206" s="11">
        <v>0.14726787607165501</v>
      </c>
      <c r="AC1206" s="11">
        <v>0.1287497680516306</v>
      </c>
      <c r="AD1206" s="11">
        <v>0.11447820346270936</v>
      </c>
      <c r="AE1206" s="11">
        <v>0.13149780089791482</v>
      </c>
      <c r="AF1206" s="11">
        <v>0.2</v>
      </c>
      <c r="AG1206" s="11">
        <v>0.23899999999999999</v>
      </c>
    </row>
    <row r="1207" spans="2:33">
      <c r="B1207" s="53" t="s">
        <v>2193</v>
      </c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35"/>
      <c r="Q1207" s="36" t="s">
        <v>36</v>
      </c>
      <c r="R1207" s="13">
        <v>3614</v>
      </c>
      <c r="S1207" s="13">
        <v>2139</v>
      </c>
      <c r="T1207" s="13">
        <v>0</v>
      </c>
      <c r="U1207" s="13">
        <v>0</v>
      </c>
      <c r="V1207" s="13">
        <v>0</v>
      </c>
      <c r="W1207" s="37">
        <v>1759</v>
      </c>
      <c r="X1207" s="18"/>
      <c r="Y1207" s="14"/>
      <c r="Z1207" s="14"/>
      <c r="AA1207" s="14"/>
      <c r="AB1207" s="14"/>
      <c r="AC1207" s="14"/>
      <c r="AD1207" s="14"/>
      <c r="AE1207" s="14"/>
      <c r="AF1207" s="14"/>
      <c r="AG1207" s="35"/>
    </row>
    <row r="1208" spans="2:33">
      <c r="B1208" s="19"/>
      <c r="P1208" s="16"/>
      <c r="Q1208" s="36" t="s">
        <v>37</v>
      </c>
      <c r="R1208" s="13">
        <v>0</v>
      </c>
      <c r="S1208" s="13">
        <v>3823</v>
      </c>
      <c r="T1208" s="13">
        <v>2117</v>
      </c>
      <c r="U1208" s="13">
        <v>0</v>
      </c>
      <c r="V1208" s="13">
        <v>0</v>
      </c>
      <c r="W1208" s="37">
        <v>1796</v>
      </c>
      <c r="X1208" s="19"/>
      <c r="AG1208" s="16"/>
    </row>
    <row r="1209" spans="2:33">
      <c r="B1209" s="19"/>
      <c r="P1209" s="16"/>
      <c r="Q1209" s="36" t="s">
        <v>38</v>
      </c>
      <c r="R1209" s="13">
        <v>0</v>
      </c>
      <c r="S1209" s="13">
        <v>0</v>
      </c>
      <c r="T1209" s="13">
        <v>0</v>
      </c>
      <c r="U1209" s="13">
        <v>4034</v>
      </c>
      <c r="V1209" s="13">
        <v>2323</v>
      </c>
      <c r="W1209" s="37">
        <v>1567</v>
      </c>
      <c r="X1209" s="19"/>
      <c r="AG1209" s="16"/>
    </row>
    <row r="1210" spans="2:33">
      <c r="B1210" s="19"/>
      <c r="P1210" s="16"/>
      <c r="Q1210" s="36" t="s">
        <v>39</v>
      </c>
      <c r="R1210" s="13">
        <v>0</v>
      </c>
      <c r="S1210" s="13">
        <v>0</v>
      </c>
      <c r="T1210" s="13">
        <v>0</v>
      </c>
      <c r="U1210" s="13">
        <v>4550</v>
      </c>
      <c r="V1210" s="13">
        <v>2577</v>
      </c>
      <c r="W1210" s="37">
        <v>2339</v>
      </c>
      <c r="X1210" s="19"/>
      <c r="AG1210" s="16"/>
    </row>
    <row r="1211" spans="2:33">
      <c r="B1211" s="19"/>
      <c r="P1211" s="16"/>
      <c r="Q1211" s="36" t="s">
        <v>40</v>
      </c>
      <c r="R1211" s="13">
        <v>0</v>
      </c>
      <c r="S1211" s="13">
        <v>0</v>
      </c>
      <c r="T1211" s="13">
        <v>6201</v>
      </c>
      <c r="U1211" s="13">
        <v>3622</v>
      </c>
      <c r="V1211" s="13">
        <v>0</v>
      </c>
      <c r="W1211" s="37">
        <v>2682</v>
      </c>
      <c r="X1211" s="19"/>
      <c r="AG1211" s="16"/>
    </row>
    <row r="1212" spans="2:33">
      <c r="B1212" s="19"/>
      <c r="P1212" s="16"/>
      <c r="Q1212" s="36" t="s">
        <v>41</v>
      </c>
      <c r="R1212" s="13">
        <v>6772</v>
      </c>
      <c r="S1212" s="13">
        <v>4077</v>
      </c>
      <c r="T1212" s="13">
        <v>0</v>
      </c>
      <c r="U1212" s="13">
        <v>0</v>
      </c>
      <c r="V1212" s="13">
        <v>0</v>
      </c>
      <c r="W1212" s="37">
        <v>2702</v>
      </c>
      <c r="X1212" s="19"/>
      <c r="AG1212" s="16"/>
    </row>
    <row r="1213" spans="2:33">
      <c r="B1213" s="19"/>
      <c r="P1213" s="16"/>
      <c r="Q1213" s="36" t="s">
        <v>551</v>
      </c>
      <c r="R1213" s="13">
        <v>0</v>
      </c>
      <c r="S1213" s="13">
        <v>0</v>
      </c>
      <c r="T1213" s="13">
        <v>305</v>
      </c>
      <c r="U1213" s="13">
        <v>220</v>
      </c>
      <c r="V1213" s="13">
        <v>0</v>
      </c>
      <c r="W1213" s="37">
        <v>763</v>
      </c>
      <c r="X1213" s="19"/>
      <c r="AG1213" s="16"/>
    </row>
    <row r="1214" spans="2:33">
      <c r="B1214" s="19"/>
      <c r="P1214" s="16"/>
      <c r="Q1214" s="36" t="s">
        <v>552</v>
      </c>
      <c r="R1214" s="13">
        <v>0</v>
      </c>
      <c r="S1214" s="13">
        <v>0</v>
      </c>
      <c r="T1214" s="13">
        <v>237</v>
      </c>
      <c r="U1214" s="13">
        <v>195</v>
      </c>
      <c r="V1214" s="13">
        <v>0</v>
      </c>
      <c r="W1214" s="37">
        <v>290</v>
      </c>
      <c r="X1214" s="19"/>
      <c r="AG1214" s="16"/>
    </row>
    <row r="1215" spans="2:33">
      <c r="B1215" s="19"/>
      <c r="P1215" s="16"/>
      <c r="Q1215" s="36" t="s">
        <v>43</v>
      </c>
      <c r="R1215" s="13">
        <v>0</v>
      </c>
      <c r="S1215" s="13">
        <v>0</v>
      </c>
      <c r="T1215" s="13">
        <v>1049</v>
      </c>
      <c r="U1215" s="13">
        <v>682</v>
      </c>
      <c r="V1215" s="13">
        <v>0</v>
      </c>
      <c r="W1215" s="37">
        <v>699</v>
      </c>
      <c r="X1215" s="19"/>
      <c r="AG1215" s="16"/>
    </row>
    <row r="1216" spans="2:33">
      <c r="B1216" s="19"/>
      <c r="P1216" s="16"/>
      <c r="Q1216" s="36" t="s">
        <v>44</v>
      </c>
      <c r="R1216" s="13">
        <v>0</v>
      </c>
      <c r="S1216" s="13">
        <v>0</v>
      </c>
      <c r="T1216" s="13">
        <v>0</v>
      </c>
      <c r="U1216" s="13">
        <v>3257</v>
      </c>
      <c r="V1216" s="13">
        <v>1927</v>
      </c>
      <c r="W1216" s="37">
        <v>1349</v>
      </c>
      <c r="X1216" s="19"/>
      <c r="AG1216" s="16"/>
    </row>
    <row r="1217" spans="2:33" ht="15" thickBot="1">
      <c r="B1217" s="19"/>
      <c r="P1217" s="16"/>
      <c r="Q1217" s="36" t="s">
        <v>45</v>
      </c>
      <c r="R1217" s="13">
        <v>0</v>
      </c>
      <c r="S1217" s="13">
        <v>2855</v>
      </c>
      <c r="T1217" s="13">
        <v>1948</v>
      </c>
      <c r="U1217" s="13">
        <v>0</v>
      </c>
      <c r="V1217" s="13">
        <v>0</v>
      </c>
      <c r="W1217" s="37">
        <v>2794</v>
      </c>
      <c r="X1217" s="20"/>
      <c r="Y1217" s="15"/>
      <c r="Z1217" s="15"/>
      <c r="AA1217" s="15"/>
      <c r="AB1217" s="15"/>
      <c r="AC1217" s="15"/>
      <c r="AD1217" s="15"/>
      <c r="AE1217" s="15"/>
      <c r="AF1217" s="15"/>
      <c r="AG1217" s="17"/>
    </row>
    <row r="1218" spans="2:33" ht="15" thickBot="1">
      <c r="B1218" s="20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7"/>
      <c r="Q1218" s="36" t="s">
        <v>46</v>
      </c>
      <c r="R1218" s="13">
        <v>3092</v>
      </c>
      <c r="S1218" s="13">
        <v>1953</v>
      </c>
      <c r="T1218" s="13">
        <v>0</v>
      </c>
      <c r="U1218" s="13">
        <v>0</v>
      </c>
      <c r="V1218" s="13">
        <v>0</v>
      </c>
      <c r="W1218" s="13">
        <v>2347</v>
      </c>
    </row>
    <row r="1220" spans="2:33" ht="15" thickBot="1">
      <c r="B1220" s="25" t="s">
        <v>532</v>
      </c>
      <c r="C1220" s="26" t="s">
        <v>533</v>
      </c>
      <c r="D1220" s="26" t="s">
        <v>612</v>
      </c>
      <c r="E1220" s="26" t="s">
        <v>613</v>
      </c>
      <c r="F1220" s="26" t="s">
        <v>614</v>
      </c>
      <c r="G1220" s="26" t="s">
        <v>615</v>
      </c>
      <c r="H1220" s="27" t="s">
        <v>33</v>
      </c>
      <c r="I1220" s="26" t="s">
        <v>616</v>
      </c>
      <c r="J1220" s="27" t="s">
        <v>87</v>
      </c>
      <c r="K1220" s="29">
        <v>31</v>
      </c>
      <c r="L1220" s="29">
        <v>31</v>
      </c>
      <c r="M1220" s="29">
        <v>31</v>
      </c>
      <c r="N1220" s="29">
        <v>31</v>
      </c>
      <c r="O1220" s="29">
        <v>31</v>
      </c>
      <c r="P1220" s="40">
        <v>37</v>
      </c>
      <c r="Q1220" s="1" t="s">
        <v>35</v>
      </c>
      <c r="R1220" s="2">
        <v>3711</v>
      </c>
      <c r="S1220" s="2">
        <v>2139</v>
      </c>
      <c r="T1220" s="2">
        <v>0</v>
      </c>
      <c r="U1220" s="2">
        <v>0</v>
      </c>
      <c r="V1220" s="2">
        <v>0</v>
      </c>
      <c r="W1220" s="2">
        <v>2974</v>
      </c>
      <c r="X1220" s="43">
        <f>SUM(R1220:W1233)</f>
        <v>80759</v>
      </c>
      <c r="Y1220" s="10">
        <v>46204</v>
      </c>
      <c r="Z1220" s="11">
        <v>0.21915174234314722</v>
      </c>
      <c r="AA1220" s="11">
        <v>0.18274192037163289</v>
      </c>
      <c r="AB1220" s="11">
        <v>0.14726787607165501</v>
      </c>
      <c r="AC1220" s="11">
        <v>0.1287497680516306</v>
      </c>
      <c r="AD1220" s="11">
        <v>0.11447820346270936</v>
      </c>
      <c r="AE1220" s="11">
        <v>0.13149780089791482</v>
      </c>
      <c r="AF1220" s="11">
        <v>0.2</v>
      </c>
      <c r="AG1220" s="11">
        <v>0.23899999999999999</v>
      </c>
    </row>
    <row r="1221" spans="2:33">
      <c r="B1221" s="53" t="s">
        <v>2193</v>
      </c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35"/>
      <c r="Q1221" s="36" t="s">
        <v>36</v>
      </c>
      <c r="R1221" s="13">
        <v>3330</v>
      </c>
      <c r="S1221" s="13">
        <v>1981</v>
      </c>
      <c r="T1221" s="13">
        <v>0</v>
      </c>
      <c r="U1221" s="13">
        <v>0</v>
      </c>
      <c r="V1221" s="13">
        <v>0</v>
      </c>
      <c r="W1221" s="37">
        <v>2459</v>
      </c>
      <c r="X1221" s="18"/>
      <c r="Y1221" s="14"/>
      <c r="Z1221" s="14"/>
      <c r="AA1221" s="14"/>
      <c r="AB1221" s="14"/>
      <c r="AC1221" s="14"/>
      <c r="AD1221" s="14"/>
      <c r="AE1221" s="14"/>
      <c r="AF1221" s="14"/>
      <c r="AG1221" s="35"/>
    </row>
    <row r="1222" spans="2:33">
      <c r="B1222" s="19"/>
      <c r="P1222" s="16"/>
      <c r="Q1222" s="36" t="s">
        <v>37</v>
      </c>
      <c r="R1222" s="13">
        <v>0</v>
      </c>
      <c r="S1222" s="13">
        <v>3902</v>
      </c>
      <c r="T1222" s="13">
        <v>2360</v>
      </c>
      <c r="U1222" s="13">
        <v>0</v>
      </c>
      <c r="V1222" s="13">
        <v>0</v>
      </c>
      <c r="W1222" s="37">
        <v>2881</v>
      </c>
      <c r="X1222" s="19"/>
      <c r="AG1222" s="16"/>
    </row>
    <row r="1223" spans="2:33">
      <c r="B1223" s="19"/>
      <c r="P1223" s="16"/>
      <c r="Q1223" s="36" t="s">
        <v>38</v>
      </c>
      <c r="R1223" s="13">
        <v>0</v>
      </c>
      <c r="S1223" s="13">
        <v>0</v>
      </c>
      <c r="T1223" s="13">
        <v>0</v>
      </c>
      <c r="U1223" s="13">
        <v>2300</v>
      </c>
      <c r="V1223" s="13">
        <v>1337</v>
      </c>
      <c r="W1223" s="37">
        <v>1681</v>
      </c>
      <c r="X1223" s="19"/>
      <c r="AG1223" s="16"/>
    </row>
    <row r="1224" spans="2:33">
      <c r="B1224" s="19"/>
      <c r="P1224" s="16"/>
      <c r="Q1224" s="36" t="s">
        <v>39</v>
      </c>
      <c r="R1224" s="13">
        <v>0</v>
      </c>
      <c r="S1224" s="13">
        <v>0</v>
      </c>
      <c r="T1224" s="13">
        <v>0</v>
      </c>
      <c r="U1224" s="13">
        <v>2891</v>
      </c>
      <c r="V1224" s="13">
        <v>1682</v>
      </c>
      <c r="W1224" s="37">
        <v>2218</v>
      </c>
      <c r="X1224" s="19"/>
      <c r="AG1224" s="16"/>
    </row>
    <row r="1225" spans="2:33">
      <c r="B1225" s="19"/>
      <c r="P1225" s="16"/>
      <c r="Q1225" s="36" t="s">
        <v>40</v>
      </c>
      <c r="R1225" s="13">
        <v>0</v>
      </c>
      <c r="S1225" s="13">
        <v>0</v>
      </c>
      <c r="T1225" s="13">
        <v>4201</v>
      </c>
      <c r="U1225" s="13">
        <v>2273</v>
      </c>
      <c r="V1225" s="13">
        <v>0</v>
      </c>
      <c r="W1225" s="37">
        <v>3123</v>
      </c>
      <c r="X1225" s="19"/>
      <c r="AG1225" s="16"/>
    </row>
    <row r="1226" spans="2:33">
      <c r="B1226" s="19"/>
      <c r="P1226" s="16"/>
      <c r="Q1226" s="36" t="s">
        <v>41</v>
      </c>
      <c r="R1226" s="13">
        <v>2464</v>
      </c>
      <c r="S1226" s="13">
        <v>1374</v>
      </c>
      <c r="T1226" s="13">
        <v>0</v>
      </c>
      <c r="U1226" s="13">
        <v>0</v>
      </c>
      <c r="V1226" s="13">
        <v>0</v>
      </c>
      <c r="W1226" s="37">
        <v>1492</v>
      </c>
      <c r="X1226" s="19"/>
      <c r="AG1226" s="16"/>
    </row>
    <row r="1227" spans="2:33">
      <c r="B1227" s="19"/>
      <c r="P1227" s="16"/>
      <c r="Q1227" s="36" t="s">
        <v>551</v>
      </c>
      <c r="R1227" s="13">
        <v>0</v>
      </c>
      <c r="S1227" s="13">
        <v>0</v>
      </c>
      <c r="T1227" s="13">
        <v>207</v>
      </c>
      <c r="U1227" s="13">
        <v>108</v>
      </c>
      <c r="V1227" s="13">
        <v>0</v>
      </c>
      <c r="W1227" s="37">
        <v>311</v>
      </c>
      <c r="X1227" s="19"/>
      <c r="AG1227" s="16"/>
    </row>
    <row r="1228" spans="2:33">
      <c r="B1228" s="19"/>
      <c r="P1228" s="16"/>
      <c r="Q1228" s="36" t="s">
        <v>552</v>
      </c>
      <c r="R1228" s="13">
        <v>0</v>
      </c>
      <c r="S1228" s="13">
        <v>0</v>
      </c>
      <c r="T1228" s="13">
        <v>1883</v>
      </c>
      <c r="U1228" s="13">
        <v>986</v>
      </c>
      <c r="V1228" s="13">
        <v>0</v>
      </c>
      <c r="W1228" s="37">
        <v>1093</v>
      </c>
      <c r="X1228" s="19"/>
      <c r="AG1228" s="16"/>
    </row>
    <row r="1229" spans="2:33">
      <c r="B1229" s="19"/>
      <c r="P1229" s="16"/>
      <c r="Q1229" s="36" t="s">
        <v>43</v>
      </c>
      <c r="R1229" s="13">
        <v>0</v>
      </c>
      <c r="S1229" s="13">
        <v>0</v>
      </c>
      <c r="T1229" s="13">
        <v>2178</v>
      </c>
      <c r="U1229" s="13">
        <v>1173</v>
      </c>
      <c r="V1229" s="13">
        <v>0</v>
      </c>
      <c r="W1229" s="37">
        <v>1246</v>
      </c>
      <c r="X1229" s="19"/>
      <c r="AG1229" s="16"/>
    </row>
    <row r="1230" spans="2:33">
      <c r="B1230" s="19"/>
      <c r="P1230" s="16"/>
      <c r="Q1230" s="36" t="s">
        <v>44</v>
      </c>
      <c r="R1230" s="13">
        <v>0</v>
      </c>
      <c r="S1230" s="13">
        <v>0</v>
      </c>
      <c r="T1230" s="13">
        <v>0</v>
      </c>
      <c r="U1230" s="13">
        <v>2301</v>
      </c>
      <c r="V1230" s="13">
        <v>1348</v>
      </c>
      <c r="W1230" s="37">
        <v>1316</v>
      </c>
      <c r="X1230" s="19"/>
      <c r="AG1230" s="16"/>
    </row>
    <row r="1231" spans="2:33">
      <c r="B1231" s="19"/>
      <c r="P1231" s="16"/>
      <c r="Q1231" s="36" t="s">
        <v>539</v>
      </c>
      <c r="R1231" s="13">
        <v>0</v>
      </c>
      <c r="S1231" s="13">
        <v>1779</v>
      </c>
      <c r="T1231" s="13">
        <v>1075</v>
      </c>
      <c r="U1231" s="13">
        <v>0</v>
      </c>
      <c r="V1231" s="13">
        <v>0</v>
      </c>
      <c r="W1231" s="37">
        <v>1689</v>
      </c>
      <c r="X1231" s="19"/>
      <c r="AG1231" s="16"/>
    </row>
    <row r="1232" spans="2:33">
      <c r="B1232" s="19"/>
      <c r="P1232" s="16"/>
      <c r="Q1232" s="36" t="s">
        <v>540</v>
      </c>
      <c r="R1232" s="13">
        <v>0</v>
      </c>
      <c r="S1232" s="13">
        <v>318</v>
      </c>
      <c r="T1232" s="13">
        <v>165</v>
      </c>
      <c r="U1232" s="13">
        <v>0</v>
      </c>
      <c r="V1232" s="13">
        <v>0</v>
      </c>
      <c r="W1232" s="37">
        <v>302</v>
      </c>
      <c r="X1232" s="19"/>
      <c r="AG1232" s="16"/>
    </row>
    <row r="1233" spans="2:33" ht="15" thickBot="1">
      <c r="B1233" s="20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7"/>
      <c r="Q1233" s="36" t="s">
        <v>46</v>
      </c>
      <c r="R1233" s="13">
        <v>3549</v>
      </c>
      <c r="S1233" s="13">
        <v>2310</v>
      </c>
      <c r="T1233" s="13">
        <v>0</v>
      </c>
      <c r="U1233" s="13">
        <v>0</v>
      </c>
      <c r="V1233" s="13">
        <v>0</v>
      </c>
      <c r="W1233" s="37">
        <v>2649</v>
      </c>
      <c r="X1233" s="20"/>
      <c r="Y1233" s="15"/>
      <c r="Z1233" s="15"/>
      <c r="AA1233" s="15"/>
      <c r="AB1233" s="15"/>
      <c r="AC1233" s="15"/>
      <c r="AD1233" s="15"/>
      <c r="AE1233" s="15"/>
      <c r="AF1233" s="15"/>
      <c r="AG1233" s="17"/>
    </row>
    <row r="1235" spans="2:33" ht="15" thickBot="1">
      <c r="B1235" s="25" t="s">
        <v>532</v>
      </c>
      <c r="C1235" s="26" t="s">
        <v>533</v>
      </c>
      <c r="D1235" s="26" t="s">
        <v>617</v>
      </c>
      <c r="E1235" s="26" t="s">
        <v>618</v>
      </c>
      <c r="F1235" s="26" t="s">
        <v>327</v>
      </c>
      <c r="G1235" s="26" t="s">
        <v>33</v>
      </c>
      <c r="H1235" s="27" t="s">
        <v>33</v>
      </c>
      <c r="I1235" s="26" t="s">
        <v>619</v>
      </c>
      <c r="J1235" s="27" t="s">
        <v>87</v>
      </c>
      <c r="K1235" s="29">
        <v>34</v>
      </c>
      <c r="L1235" s="29">
        <v>36</v>
      </c>
      <c r="M1235" s="29">
        <v>36</v>
      </c>
      <c r="N1235" s="29">
        <v>36</v>
      </c>
      <c r="O1235" s="29">
        <v>36</v>
      </c>
      <c r="P1235" s="40">
        <v>36</v>
      </c>
      <c r="Q1235" s="1" t="s">
        <v>35</v>
      </c>
      <c r="R1235" s="2">
        <v>2642</v>
      </c>
      <c r="S1235" s="2">
        <v>1475</v>
      </c>
      <c r="T1235" s="2">
        <v>0</v>
      </c>
      <c r="U1235" s="2">
        <v>0</v>
      </c>
      <c r="V1235" s="2">
        <v>0</v>
      </c>
      <c r="W1235" s="2">
        <v>2258</v>
      </c>
      <c r="X1235" s="43">
        <f>SUM(R1235:W1247)</f>
        <v>83149</v>
      </c>
      <c r="Y1235" s="10">
        <v>46204</v>
      </c>
      <c r="Z1235" s="11">
        <v>0.21915174234314722</v>
      </c>
      <c r="AA1235" s="11">
        <v>0.18274192037163289</v>
      </c>
      <c r="AB1235" s="11">
        <v>0.14726787607165501</v>
      </c>
      <c r="AC1235" s="11">
        <v>0.1287497680516306</v>
      </c>
      <c r="AD1235" s="11">
        <v>0.11447820346270936</v>
      </c>
      <c r="AE1235" s="11">
        <v>0.13149780089791482</v>
      </c>
      <c r="AF1235" s="11">
        <v>0.2</v>
      </c>
      <c r="AG1235" s="11">
        <v>0.23899999999999999</v>
      </c>
    </row>
    <row r="1236" spans="2:33">
      <c r="B1236" s="53" t="s">
        <v>2193</v>
      </c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35"/>
      <c r="Q1236" s="36" t="s">
        <v>36</v>
      </c>
      <c r="R1236" s="13">
        <v>2233</v>
      </c>
      <c r="S1236" s="13">
        <v>1205</v>
      </c>
      <c r="T1236" s="13">
        <v>0</v>
      </c>
      <c r="U1236" s="13">
        <v>0</v>
      </c>
      <c r="V1236" s="13">
        <v>0</v>
      </c>
      <c r="W1236" s="37">
        <v>1553</v>
      </c>
      <c r="X1236" s="18"/>
      <c r="Y1236" s="14"/>
      <c r="Z1236" s="14"/>
      <c r="AA1236" s="14"/>
      <c r="AB1236" s="14"/>
      <c r="AC1236" s="14"/>
      <c r="AD1236" s="14"/>
      <c r="AE1236" s="14"/>
      <c r="AF1236" s="14"/>
      <c r="AG1236" s="35"/>
    </row>
    <row r="1237" spans="2:33">
      <c r="B1237" s="19"/>
      <c r="P1237" s="16"/>
      <c r="Q1237" s="36" t="s">
        <v>37</v>
      </c>
      <c r="R1237" s="13">
        <v>0</v>
      </c>
      <c r="S1237" s="13">
        <v>2454</v>
      </c>
      <c r="T1237" s="13">
        <v>1329</v>
      </c>
      <c r="U1237" s="13">
        <v>0</v>
      </c>
      <c r="V1237" s="13">
        <v>0</v>
      </c>
      <c r="W1237" s="37">
        <v>1960</v>
      </c>
      <c r="X1237" s="19"/>
      <c r="AG1237" s="16"/>
    </row>
    <row r="1238" spans="2:33">
      <c r="B1238" s="19"/>
      <c r="P1238" s="16"/>
      <c r="Q1238" s="36" t="s">
        <v>38</v>
      </c>
      <c r="R1238" s="13">
        <v>0</v>
      </c>
      <c r="S1238" s="13">
        <v>0</v>
      </c>
      <c r="T1238" s="13">
        <v>0</v>
      </c>
      <c r="U1238" s="13">
        <v>2673</v>
      </c>
      <c r="V1238" s="13">
        <v>1479</v>
      </c>
      <c r="W1238" s="37">
        <v>1574</v>
      </c>
      <c r="X1238" s="19"/>
      <c r="AG1238" s="16"/>
    </row>
    <row r="1239" spans="2:33">
      <c r="B1239" s="19"/>
      <c r="P1239" s="16"/>
      <c r="Q1239" s="36" t="s">
        <v>39</v>
      </c>
      <c r="R1239" s="13">
        <v>0</v>
      </c>
      <c r="S1239" s="13">
        <v>0</v>
      </c>
      <c r="T1239" s="13">
        <v>0</v>
      </c>
      <c r="U1239" s="13">
        <v>2845</v>
      </c>
      <c r="V1239" s="13">
        <v>1556</v>
      </c>
      <c r="W1239" s="37">
        <v>1914</v>
      </c>
      <c r="X1239" s="19"/>
      <c r="AG1239" s="16"/>
    </row>
    <row r="1240" spans="2:33">
      <c r="B1240" s="19"/>
      <c r="P1240" s="16"/>
      <c r="Q1240" s="36" t="s">
        <v>40</v>
      </c>
      <c r="R1240" s="13">
        <v>0</v>
      </c>
      <c r="S1240" s="13">
        <v>0</v>
      </c>
      <c r="T1240" s="13">
        <v>4074</v>
      </c>
      <c r="U1240" s="13">
        <v>2250</v>
      </c>
      <c r="V1240" s="13">
        <v>0</v>
      </c>
      <c r="W1240" s="37">
        <v>2575</v>
      </c>
      <c r="X1240" s="19"/>
      <c r="AG1240" s="16"/>
    </row>
    <row r="1241" spans="2:33">
      <c r="B1241" s="19"/>
      <c r="P1241" s="16"/>
      <c r="Q1241" s="36" t="s">
        <v>41</v>
      </c>
      <c r="R1241" s="13">
        <v>4692</v>
      </c>
      <c r="S1241" s="13">
        <v>2594</v>
      </c>
      <c r="T1241" s="13">
        <v>0</v>
      </c>
      <c r="U1241" s="13">
        <v>0</v>
      </c>
      <c r="V1241" s="13">
        <v>0</v>
      </c>
      <c r="W1241" s="37">
        <v>2389</v>
      </c>
      <c r="X1241" s="19"/>
      <c r="AG1241" s="16"/>
    </row>
    <row r="1242" spans="2:33">
      <c r="B1242" s="19"/>
      <c r="P1242" s="16"/>
      <c r="Q1242" s="36" t="s">
        <v>551</v>
      </c>
      <c r="R1242" s="13">
        <v>0</v>
      </c>
      <c r="S1242" s="13">
        <v>0</v>
      </c>
      <c r="T1242" s="13">
        <v>202</v>
      </c>
      <c r="U1242" s="13">
        <v>102</v>
      </c>
      <c r="V1242" s="13">
        <v>0</v>
      </c>
      <c r="W1242" s="37">
        <v>625</v>
      </c>
      <c r="X1242" s="19"/>
      <c r="AG1242" s="16"/>
    </row>
    <row r="1243" spans="2:33">
      <c r="B1243" s="19"/>
      <c r="P1243" s="16"/>
      <c r="Q1243" s="36" t="s">
        <v>552</v>
      </c>
      <c r="R1243" s="13">
        <v>0</v>
      </c>
      <c r="S1243" s="13">
        <v>0</v>
      </c>
      <c r="T1243" s="13">
        <v>3938</v>
      </c>
      <c r="U1243" s="13">
        <v>2217</v>
      </c>
      <c r="V1243" s="13">
        <v>0</v>
      </c>
      <c r="W1243" s="37">
        <v>2708</v>
      </c>
      <c r="X1243" s="19"/>
      <c r="AG1243" s="16"/>
    </row>
    <row r="1244" spans="2:33">
      <c r="B1244" s="19"/>
      <c r="P1244" s="16"/>
      <c r="Q1244" s="36" t="s">
        <v>43</v>
      </c>
      <c r="R1244" s="13">
        <v>0</v>
      </c>
      <c r="S1244" s="13">
        <v>0</v>
      </c>
      <c r="T1244" s="13">
        <v>3440</v>
      </c>
      <c r="U1244" s="13">
        <v>1939</v>
      </c>
      <c r="V1244" s="13">
        <v>0</v>
      </c>
      <c r="W1244" s="37">
        <v>2040</v>
      </c>
      <c r="X1244" s="19"/>
      <c r="AG1244" s="16"/>
    </row>
    <row r="1245" spans="2:33">
      <c r="B1245" s="19"/>
      <c r="P1245" s="16"/>
      <c r="Q1245" s="36" t="s">
        <v>44</v>
      </c>
      <c r="R1245" s="13">
        <v>0</v>
      </c>
      <c r="S1245" s="13">
        <v>0</v>
      </c>
      <c r="T1245" s="13">
        <v>0</v>
      </c>
      <c r="U1245" s="13">
        <v>3024</v>
      </c>
      <c r="V1245" s="13">
        <v>1789</v>
      </c>
      <c r="W1245" s="37">
        <v>1781</v>
      </c>
      <c r="X1245" s="19"/>
      <c r="AG1245" s="16"/>
    </row>
    <row r="1246" spans="2:33">
      <c r="B1246" s="19"/>
      <c r="P1246" s="16"/>
      <c r="Q1246" s="36" t="s">
        <v>45</v>
      </c>
      <c r="R1246" s="13">
        <v>0</v>
      </c>
      <c r="S1246" s="13">
        <v>2241</v>
      </c>
      <c r="T1246" s="13">
        <v>1255</v>
      </c>
      <c r="U1246" s="13">
        <v>0</v>
      </c>
      <c r="V1246" s="13">
        <v>0</v>
      </c>
      <c r="W1246" s="37">
        <v>2078</v>
      </c>
      <c r="X1246" s="19"/>
      <c r="AG1246" s="16"/>
    </row>
    <row r="1247" spans="2:33" ht="15" thickBot="1">
      <c r="B1247" s="20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7"/>
      <c r="Q1247" s="36" t="s">
        <v>46</v>
      </c>
      <c r="R1247" s="13">
        <v>2476</v>
      </c>
      <c r="S1247" s="13">
        <v>1435</v>
      </c>
      <c r="T1247" s="13">
        <v>0</v>
      </c>
      <c r="U1247" s="13">
        <v>0</v>
      </c>
      <c r="V1247" s="13">
        <v>0</v>
      </c>
      <c r="W1247" s="37">
        <v>2135</v>
      </c>
      <c r="X1247" s="20"/>
      <c r="Y1247" s="15"/>
      <c r="Z1247" s="15"/>
      <c r="AA1247" s="15"/>
      <c r="AB1247" s="15"/>
      <c r="AC1247" s="15"/>
      <c r="AD1247" s="15"/>
      <c r="AE1247" s="15"/>
      <c r="AF1247" s="15"/>
      <c r="AG1247" s="17"/>
    </row>
    <row r="1249" spans="2:33" ht="15" thickBot="1">
      <c r="B1249" s="25" t="s">
        <v>532</v>
      </c>
      <c r="C1249" s="26" t="s">
        <v>533</v>
      </c>
      <c r="D1249" s="26" t="s">
        <v>620</v>
      </c>
      <c r="E1249" s="26" t="s">
        <v>621</v>
      </c>
      <c r="F1249" s="26" t="s">
        <v>622</v>
      </c>
      <c r="G1249" s="26" t="s">
        <v>33</v>
      </c>
      <c r="H1249" s="27" t="s">
        <v>33</v>
      </c>
      <c r="I1249" s="26" t="s">
        <v>623</v>
      </c>
      <c r="J1249" s="27" t="s">
        <v>87</v>
      </c>
      <c r="K1249" s="29">
        <v>15</v>
      </c>
      <c r="L1249" s="29">
        <v>15</v>
      </c>
      <c r="M1249" s="29">
        <v>15</v>
      </c>
      <c r="N1249" s="29">
        <v>15</v>
      </c>
      <c r="O1249" s="29">
        <v>15</v>
      </c>
      <c r="P1249" s="40">
        <v>50</v>
      </c>
      <c r="Q1249" s="1" t="s">
        <v>35</v>
      </c>
      <c r="R1249" s="2">
        <v>1117</v>
      </c>
      <c r="S1249" s="2">
        <v>548</v>
      </c>
      <c r="T1249" s="2">
        <v>0</v>
      </c>
      <c r="U1249" s="2">
        <v>0</v>
      </c>
      <c r="V1249" s="2">
        <v>0</v>
      </c>
      <c r="W1249" s="2">
        <v>665</v>
      </c>
      <c r="X1249" s="43">
        <f>SUM(R1249:W1262)</f>
        <v>36752</v>
      </c>
      <c r="Y1249" s="10">
        <v>46204</v>
      </c>
      <c r="Z1249" s="11">
        <v>0.21915174234314722</v>
      </c>
      <c r="AA1249" s="11">
        <v>0.18274192037163289</v>
      </c>
      <c r="AB1249" s="11">
        <v>0.14726787607165501</v>
      </c>
      <c r="AC1249" s="11">
        <v>0.1287497680516306</v>
      </c>
      <c r="AD1249" s="11">
        <v>0.11447820346270936</v>
      </c>
      <c r="AE1249" s="11">
        <v>0.13149780089791482</v>
      </c>
      <c r="AF1249" s="11">
        <v>0.2</v>
      </c>
      <c r="AG1249" s="11">
        <v>0.23899999999999999</v>
      </c>
    </row>
    <row r="1250" spans="2:33">
      <c r="B1250" s="53" t="s">
        <v>2193</v>
      </c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35"/>
      <c r="Q1250" s="36" t="s">
        <v>36</v>
      </c>
      <c r="R1250" s="13">
        <v>1011</v>
      </c>
      <c r="S1250" s="13">
        <v>516</v>
      </c>
      <c r="T1250" s="13">
        <v>0</v>
      </c>
      <c r="U1250" s="13">
        <v>0</v>
      </c>
      <c r="V1250" s="13">
        <v>0</v>
      </c>
      <c r="W1250" s="37">
        <v>721</v>
      </c>
      <c r="X1250" s="18"/>
      <c r="Y1250" s="14"/>
      <c r="Z1250" s="14"/>
      <c r="AA1250" s="14"/>
      <c r="AB1250" s="14"/>
      <c r="AC1250" s="14"/>
      <c r="AD1250" s="14"/>
      <c r="AE1250" s="14"/>
      <c r="AF1250" s="14"/>
      <c r="AG1250" s="35"/>
    </row>
    <row r="1251" spans="2:33">
      <c r="B1251" s="19"/>
      <c r="P1251" s="16"/>
      <c r="Q1251" s="36" t="s">
        <v>37</v>
      </c>
      <c r="R1251" s="13">
        <v>0</v>
      </c>
      <c r="S1251" s="13">
        <v>1058</v>
      </c>
      <c r="T1251" s="13">
        <v>538</v>
      </c>
      <c r="U1251" s="13">
        <v>0</v>
      </c>
      <c r="V1251" s="13">
        <v>0</v>
      </c>
      <c r="W1251" s="37">
        <v>809</v>
      </c>
      <c r="X1251" s="19"/>
      <c r="AG1251" s="16"/>
    </row>
    <row r="1252" spans="2:33">
      <c r="B1252" s="19"/>
      <c r="P1252" s="16"/>
      <c r="Q1252" s="36" t="s">
        <v>38</v>
      </c>
      <c r="R1252" s="13">
        <v>0</v>
      </c>
      <c r="S1252" s="13">
        <v>0</v>
      </c>
      <c r="T1252" s="13">
        <v>0</v>
      </c>
      <c r="U1252" s="13">
        <v>1033</v>
      </c>
      <c r="V1252" s="13">
        <v>545</v>
      </c>
      <c r="W1252" s="37">
        <v>650</v>
      </c>
      <c r="X1252" s="19"/>
      <c r="AG1252" s="16"/>
    </row>
    <row r="1253" spans="2:33">
      <c r="B1253" s="19"/>
      <c r="P1253" s="16"/>
      <c r="Q1253" s="36" t="s">
        <v>39</v>
      </c>
      <c r="R1253" s="13">
        <v>0</v>
      </c>
      <c r="S1253" s="13">
        <v>0</v>
      </c>
      <c r="T1253" s="13">
        <v>0</v>
      </c>
      <c r="U1253" s="13">
        <v>1304</v>
      </c>
      <c r="V1253" s="13">
        <v>697</v>
      </c>
      <c r="W1253" s="37">
        <v>933</v>
      </c>
      <c r="X1253" s="19"/>
      <c r="AG1253" s="16"/>
    </row>
    <row r="1254" spans="2:33">
      <c r="B1254" s="19"/>
      <c r="P1254" s="16"/>
      <c r="Q1254" s="36" t="s">
        <v>40</v>
      </c>
      <c r="R1254" s="13">
        <v>0</v>
      </c>
      <c r="S1254" s="13">
        <v>0</v>
      </c>
      <c r="T1254" s="13">
        <v>1871</v>
      </c>
      <c r="U1254" s="13">
        <v>992</v>
      </c>
      <c r="V1254" s="13">
        <v>0</v>
      </c>
      <c r="W1254" s="37">
        <v>1353</v>
      </c>
      <c r="X1254" s="19"/>
      <c r="AG1254" s="16"/>
    </row>
    <row r="1255" spans="2:33">
      <c r="B1255" s="19"/>
      <c r="P1255" s="16"/>
      <c r="Q1255" s="36" t="s">
        <v>41</v>
      </c>
      <c r="R1255" s="13">
        <v>2140</v>
      </c>
      <c r="S1255" s="13">
        <v>1179</v>
      </c>
      <c r="T1255" s="13">
        <v>0</v>
      </c>
      <c r="U1255" s="13">
        <v>0</v>
      </c>
      <c r="V1255" s="13">
        <v>0</v>
      </c>
      <c r="W1255" s="37">
        <v>1185</v>
      </c>
      <c r="X1255" s="19"/>
      <c r="AG1255" s="16"/>
    </row>
    <row r="1256" spans="2:33">
      <c r="B1256" s="19"/>
      <c r="P1256" s="16"/>
      <c r="Q1256" s="36" t="s">
        <v>551</v>
      </c>
      <c r="R1256" s="13">
        <v>0</v>
      </c>
      <c r="S1256" s="13">
        <v>0</v>
      </c>
      <c r="T1256" s="13">
        <v>180</v>
      </c>
      <c r="U1256" s="13">
        <v>96</v>
      </c>
      <c r="V1256" s="13">
        <v>0</v>
      </c>
      <c r="W1256" s="37">
        <v>246</v>
      </c>
      <c r="X1256" s="19"/>
      <c r="AG1256" s="16"/>
    </row>
    <row r="1257" spans="2:33">
      <c r="B1257" s="19"/>
      <c r="P1257" s="16"/>
      <c r="Q1257" s="36" t="s">
        <v>552</v>
      </c>
      <c r="R1257" s="13">
        <v>0</v>
      </c>
      <c r="S1257" s="13">
        <v>0</v>
      </c>
      <c r="T1257" s="13">
        <v>1702</v>
      </c>
      <c r="U1257" s="13">
        <v>899</v>
      </c>
      <c r="V1257" s="13">
        <v>0</v>
      </c>
      <c r="W1257" s="37">
        <v>1215</v>
      </c>
      <c r="X1257" s="19"/>
      <c r="AG1257" s="16"/>
    </row>
    <row r="1258" spans="2:33">
      <c r="B1258" s="19"/>
      <c r="P1258" s="16"/>
      <c r="Q1258" s="36" t="s">
        <v>43</v>
      </c>
      <c r="R1258" s="13">
        <v>0</v>
      </c>
      <c r="S1258" s="13">
        <v>0</v>
      </c>
      <c r="T1258" s="13">
        <v>1555</v>
      </c>
      <c r="U1258" s="13">
        <v>825</v>
      </c>
      <c r="V1258" s="13">
        <v>0</v>
      </c>
      <c r="W1258" s="37">
        <v>968</v>
      </c>
      <c r="X1258" s="19"/>
      <c r="AG1258" s="16"/>
    </row>
    <row r="1259" spans="2:33">
      <c r="B1259" s="19"/>
      <c r="P1259" s="16"/>
      <c r="Q1259" s="36" t="s">
        <v>44</v>
      </c>
      <c r="R1259" s="13">
        <v>0</v>
      </c>
      <c r="S1259" s="13">
        <v>0</v>
      </c>
      <c r="T1259" s="13">
        <v>0</v>
      </c>
      <c r="U1259" s="13">
        <v>1635</v>
      </c>
      <c r="V1259" s="13">
        <v>859</v>
      </c>
      <c r="W1259" s="37">
        <v>888</v>
      </c>
      <c r="X1259" s="19"/>
      <c r="AG1259" s="16"/>
    </row>
    <row r="1260" spans="2:33">
      <c r="B1260" s="19"/>
      <c r="P1260" s="16"/>
      <c r="Q1260" s="36" t="s">
        <v>539</v>
      </c>
      <c r="R1260" s="13">
        <v>0</v>
      </c>
      <c r="S1260" s="13">
        <v>908</v>
      </c>
      <c r="T1260" s="13">
        <v>496</v>
      </c>
      <c r="U1260" s="13">
        <v>0</v>
      </c>
      <c r="V1260" s="13">
        <v>0</v>
      </c>
      <c r="W1260" s="37">
        <v>691</v>
      </c>
      <c r="X1260" s="19"/>
      <c r="AG1260" s="16"/>
    </row>
    <row r="1261" spans="2:33">
      <c r="B1261" s="19"/>
      <c r="P1261" s="16"/>
      <c r="Q1261" s="36" t="s">
        <v>540</v>
      </c>
      <c r="R1261" s="13">
        <v>0</v>
      </c>
      <c r="S1261" s="13">
        <v>176</v>
      </c>
      <c r="T1261" s="13">
        <v>90</v>
      </c>
      <c r="U1261" s="13">
        <v>0</v>
      </c>
      <c r="V1261" s="13">
        <v>0</v>
      </c>
      <c r="W1261" s="37">
        <v>160</v>
      </c>
      <c r="X1261" s="19"/>
      <c r="AG1261" s="16"/>
    </row>
    <row r="1262" spans="2:33" ht="15" thickBot="1">
      <c r="B1262" s="20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7"/>
      <c r="Q1262" s="36" t="s">
        <v>46</v>
      </c>
      <c r="R1262" s="13">
        <v>1032</v>
      </c>
      <c r="S1262" s="13">
        <v>567</v>
      </c>
      <c r="T1262" s="13">
        <v>0</v>
      </c>
      <c r="U1262" s="13">
        <v>0</v>
      </c>
      <c r="V1262" s="13">
        <v>0</v>
      </c>
      <c r="W1262" s="37">
        <v>699</v>
      </c>
      <c r="X1262" s="20"/>
      <c r="Y1262" s="15"/>
      <c r="Z1262" s="15"/>
      <c r="AA1262" s="15"/>
      <c r="AB1262" s="15"/>
      <c r="AC1262" s="15"/>
      <c r="AD1262" s="15"/>
      <c r="AE1262" s="15"/>
      <c r="AF1262" s="15"/>
      <c r="AG1262" s="17"/>
    </row>
    <row r="1264" spans="2:33" ht="15" thickBot="1">
      <c r="B1264" s="25" t="s">
        <v>532</v>
      </c>
      <c r="C1264" s="26" t="s">
        <v>533</v>
      </c>
      <c r="D1264" s="26" t="s">
        <v>624</v>
      </c>
      <c r="E1264" s="26" t="s">
        <v>625</v>
      </c>
      <c r="F1264" s="26" t="s">
        <v>626</v>
      </c>
      <c r="G1264" s="26" t="s">
        <v>33</v>
      </c>
      <c r="H1264" s="27" t="s">
        <v>33</v>
      </c>
      <c r="I1264" s="26" t="s">
        <v>627</v>
      </c>
      <c r="J1264" s="27" t="s">
        <v>87</v>
      </c>
      <c r="K1264" s="29">
        <v>48</v>
      </c>
      <c r="L1264" s="29">
        <v>48</v>
      </c>
      <c r="M1264" s="29">
        <v>48</v>
      </c>
      <c r="N1264" s="29">
        <v>48</v>
      </c>
      <c r="O1264" s="29">
        <v>48</v>
      </c>
      <c r="P1264" s="40">
        <v>55</v>
      </c>
      <c r="Q1264" s="1" t="s">
        <v>35</v>
      </c>
      <c r="R1264" s="2">
        <v>3856</v>
      </c>
      <c r="S1264" s="2">
        <v>2051</v>
      </c>
      <c r="T1264" s="2">
        <v>0</v>
      </c>
      <c r="U1264" s="2">
        <v>0</v>
      </c>
      <c r="V1264" s="2">
        <v>0</v>
      </c>
      <c r="W1264" s="2">
        <v>1876</v>
      </c>
      <c r="X1264" s="43">
        <f>SUM(R1264:W1276)</f>
        <v>94869</v>
      </c>
      <c r="Y1264" s="10">
        <v>46204</v>
      </c>
      <c r="Z1264" s="11">
        <v>0.21915174234314722</v>
      </c>
      <c r="AA1264" s="11">
        <v>0.18274192037163289</v>
      </c>
      <c r="AB1264" s="11">
        <v>0.14726787607165501</v>
      </c>
      <c r="AC1264" s="11">
        <v>0.1287497680516306</v>
      </c>
      <c r="AD1264" s="11">
        <v>0.11447820346270936</v>
      </c>
      <c r="AE1264" s="11">
        <v>0.13149780089791482</v>
      </c>
      <c r="AF1264" s="11">
        <v>0.2</v>
      </c>
      <c r="AG1264" s="11">
        <v>0.23899999999999999</v>
      </c>
    </row>
    <row r="1265" spans="2:33">
      <c r="B1265" s="53" t="s">
        <v>2193</v>
      </c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35"/>
      <c r="Q1265" s="36" t="s">
        <v>36</v>
      </c>
      <c r="R1265" s="13">
        <v>2912</v>
      </c>
      <c r="S1265" s="13">
        <v>1606</v>
      </c>
      <c r="T1265" s="13">
        <v>0</v>
      </c>
      <c r="U1265" s="13">
        <v>0</v>
      </c>
      <c r="V1265" s="13">
        <v>0</v>
      </c>
      <c r="W1265" s="37">
        <v>1493</v>
      </c>
      <c r="X1265" s="18"/>
      <c r="Y1265" s="14"/>
      <c r="Z1265" s="14"/>
      <c r="AA1265" s="14"/>
      <c r="AB1265" s="14"/>
      <c r="AC1265" s="14"/>
      <c r="AD1265" s="14"/>
      <c r="AE1265" s="14"/>
      <c r="AF1265" s="14"/>
      <c r="AG1265" s="35"/>
    </row>
    <row r="1266" spans="2:33">
      <c r="B1266" s="19"/>
      <c r="P1266" s="16"/>
      <c r="Q1266" s="36" t="s">
        <v>37</v>
      </c>
      <c r="R1266" s="13">
        <v>0</v>
      </c>
      <c r="S1266" s="13">
        <v>2882</v>
      </c>
      <c r="T1266" s="13">
        <v>1655</v>
      </c>
      <c r="U1266" s="13">
        <v>0</v>
      </c>
      <c r="V1266" s="13">
        <v>0</v>
      </c>
      <c r="W1266" s="37">
        <v>1664</v>
      </c>
      <c r="X1266" s="19"/>
      <c r="AG1266" s="16"/>
    </row>
    <row r="1267" spans="2:33">
      <c r="B1267" s="19"/>
      <c r="P1267" s="16"/>
      <c r="Q1267" s="36" t="s">
        <v>38</v>
      </c>
      <c r="R1267" s="13">
        <v>0</v>
      </c>
      <c r="S1267" s="13">
        <v>0</v>
      </c>
      <c r="T1267" s="13">
        <v>0</v>
      </c>
      <c r="U1267" s="13">
        <v>2560</v>
      </c>
      <c r="V1267" s="13">
        <v>1455</v>
      </c>
      <c r="W1267" s="37">
        <v>1361</v>
      </c>
      <c r="X1267" s="19"/>
      <c r="AG1267" s="16"/>
    </row>
    <row r="1268" spans="2:33">
      <c r="B1268" s="19"/>
      <c r="P1268" s="16"/>
      <c r="Q1268" s="36" t="s">
        <v>39</v>
      </c>
      <c r="R1268" s="13">
        <v>0</v>
      </c>
      <c r="S1268" s="13">
        <v>0</v>
      </c>
      <c r="T1268" s="13">
        <v>0</v>
      </c>
      <c r="U1268" s="13">
        <v>2537</v>
      </c>
      <c r="V1268" s="13">
        <v>1417</v>
      </c>
      <c r="W1268" s="37">
        <v>1729</v>
      </c>
      <c r="X1268" s="19"/>
      <c r="AG1268" s="16"/>
    </row>
    <row r="1269" spans="2:33">
      <c r="B1269" s="19"/>
      <c r="P1269" s="16"/>
      <c r="Q1269" s="36" t="s">
        <v>40</v>
      </c>
      <c r="R1269" s="13">
        <v>0</v>
      </c>
      <c r="S1269" s="13">
        <v>0</v>
      </c>
      <c r="T1269" s="13">
        <v>5476</v>
      </c>
      <c r="U1269" s="13">
        <v>3092</v>
      </c>
      <c r="V1269" s="13">
        <v>0</v>
      </c>
      <c r="W1269" s="37">
        <v>2454</v>
      </c>
      <c r="X1269" s="19"/>
      <c r="AG1269" s="16"/>
    </row>
    <row r="1270" spans="2:33">
      <c r="B1270" s="19"/>
      <c r="P1270" s="16"/>
      <c r="Q1270" s="36" t="s">
        <v>41</v>
      </c>
      <c r="R1270" s="13">
        <v>6440</v>
      </c>
      <c r="S1270" s="13">
        <v>3573</v>
      </c>
      <c r="T1270" s="13">
        <v>0</v>
      </c>
      <c r="U1270" s="13">
        <v>0</v>
      </c>
      <c r="V1270" s="13">
        <v>0</v>
      </c>
      <c r="W1270" s="37">
        <v>2301</v>
      </c>
      <c r="X1270" s="19"/>
      <c r="AG1270" s="16"/>
    </row>
    <row r="1271" spans="2:33">
      <c r="B1271" s="19"/>
      <c r="P1271" s="16"/>
      <c r="Q1271" s="36" t="s">
        <v>552</v>
      </c>
      <c r="R1271" s="13">
        <v>0</v>
      </c>
      <c r="S1271" s="13">
        <v>0</v>
      </c>
      <c r="T1271" s="13">
        <v>5167</v>
      </c>
      <c r="U1271" s="13">
        <v>2930</v>
      </c>
      <c r="V1271" s="13">
        <v>0</v>
      </c>
      <c r="W1271" s="37">
        <v>2635</v>
      </c>
      <c r="X1271" s="19"/>
      <c r="AG1271" s="16"/>
    </row>
    <row r="1272" spans="2:33">
      <c r="B1272" s="19"/>
      <c r="P1272" s="16"/>
      <c r="Q1272" s="36" t="s">
        <v>43</v>
      </c>
      <c r="R1272" s="13">
        <v>0</v>
      </c>
      <c r="S1272" s="13">
        <v>0</v>
      </c>
      <c r="T1272" s="13">
        <v>4164</v>
      </c>
      <c r="U1272" s="13">
        <v>2482</v>
      </c>
      <c r="V1272" s="13">
        <v>0</v>
      </c>
      <c r="W1272" s="37">
        <v>1879</v>
      </c>
      <c r="X1272" s="19"/>
      <c r="AG1272" s="16"/>
    </row>
    <row r="1273" spans="2:33">
      <c r="B1273" s="19"/>
      <c r="P1273" s="16"/>
      <c r="Q1273" s="36" t="s">
        <v>44</v>
      </c>
      <c r="R1273" s="13">
        <v>0</v>
      </c>
      <c r="S1273" s="13">
        <v>0</v>
      </c>
      <c r="T1273" s="13">
        <v>0</v>
      </c>
      <c r="U1273" s="13">
        <v>3261</v>
      </c>
      <c r="V1273" s="13">
        <v>2005</v>
      </c>
      <c r="W1273" s="37">
        <v>1523</v>
      </c>
      <c r="X1273" s="19"/>
      <c r="AG1273" s="16"/>
    </row>
    <row r="1274" spans="2:33">
      <c r="B1274" s="19"/>
      <c r="P1274" s="16"/>
      <c r="Q1274" s="36" t="s">
        <v>539</v>
      </c>
      <c r="R1274" s="13">
        <v>0</v>
      </c>
      <c r="S1274" s="13">
        <v>2454</v>
      </c>
      <c r="T1274" s="13">
        <v>1282</v>
      </c>
      <c r="U1274" s="13">
        <v>0</v>
      </c>
      <c r="V1274" s="13">
        <v>0</v>
      </c>
      <c r="W1274" s="37">
        <v>1442</v>
      </c>
      <c r="X1274" s="19"/>
      <c r="AG1274" s="16"/>
    </row>
    <row r="1275" spans="2:33">
      <c r="B1275" s="19"/>
      <c r="P1275" s="16"/>
      <c r="Q1275" s="36" t="s">
        <v>540</v>
      </c>
      <c r="R1275" s="13">
        <v>0</v>
      </c>
      <c r="S1275" s="13">
        <v>433</v>
      </c>
      <c r="T1275" s="13">
        <v>226</v>
      </c>
      <c r="U1275" s="13">
        <v>0</v>
      </c>
      <c r="V1275" s="13">
        <v>0</v>
      </c>
      <c r="W1275" s="37">
        <v>317</v>
      </c>
      <c r="X1275" s="19"/>
      <c r="AG1275" s="16"/>
    </row>
    <row r="1276" spans="2:33" ht="15" thickBot="1">
      <c r="B1276" s="20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7"/>
      <c r="Q1276" s="36" t="s">
        <v>46</v>
      </c>
      <c r="R1276" s="13">
        <v>3789</v>
      </c>
      <c r="S1276" s="13">
        <v>2035</v>
      </c>
      <c r="T1276" s="13">
        <v>0</v>
      </c>
      <c r="U1276" s="13">
        <v>0</v>
      </c>
      <c r="V1276" s="13">
        <v>0</v>
      </c>
      <c r="W1276" s="37">
        <v>2455</v>
      </c>
      <c r="X1276" s="20"/>
      <c r="Y1276" s="15"/>
      <c r="Z1276" s="15"/>
      <c r="AA1276" s="15"/>
      <c r="AB1276" s="15"/>
      <c r="AC1276" s="15"/>
      <c r="AD1276" s="15"/>
      <c r="AE1276" s="15"/>
      <c r="AF1276" s="15"/>
      <c r="AG1276" s="17"/>
    </row>
    <row r="1278" spans="2:33" ht="15" thickBot="1">
      <c r="B1278" s="25" t="s">
        <v>532</v>
      </c>
      <c r="C1278" s="26" t="s">
        <v>533</v>
      </c>
      <c r="D1278" s="26" t="s">
        <v>628</v>
      </c>
      <c r="E1278" s="26" t="s">
        <v>629</v>
      </c>
      <c r="F1278" s="26" t="s">
        <v>126</v>
      </c>
      <c r="G1278" s="26" t="s">
        <v>33</v>
      </c>
      <c r="H1278" s="27" t="s">
        <v>33</v>
      </c>
      <c r="I1278" s="26" t="s">
        <v>630</v>
      </c>
      <c r="J1278" s="27" t="s">
        <v>87</v>
      </c>
      <c r="K1278" s="29">
        <v>25</v>
      </c>
      <c r="L1278" s="29">
        <v>25</v>
      </c>
      <c r="M1278" s="29">
        <v>25</v>
      </c>
      <c r="N1278" s="29">
        <v>25</v>
      </c>
      <c r="O1278" s="29">
        <v>25</v>
      </c>
      <c r="P1278" s="40">
        <v>55.240001678466797</v>
      </c>
      <c r="Q1278" s="1" t="s">
        <v>35</v>
      </c>
      <c r="R1278" s="2">
        <v>2342</v>
      </c>
      <c r="S1278" s="2">
        <v>1157</v>
      </c>
      <c r="T1278" s="2">
        <v>0</v>
      </c>
      <c r="U1278" s="2">
        <v>0</v>
      </c>
      <c r="V1278" s="2">
        <v>0</v>
      </c>
      <c r="W1278" s="2">
        <v>1051</v>
      </c>
      <c r="X1278" s="43">
        <f>SUM(R1278:W1291)</f>
        <v>40949</v>
      </c>
      <c r="Y1278" s="10">
        <v>46204</v>
      </c>
      <c r="Z1278" s="11">
        <v>0.21915174234314722</v>
      </c>
      <c r="AA1278" s="11">
        <v>0.18274192037163289</v>
      </c>
      <c r="AB1278" s="11">
        <v>0.14726787607165501</v>
      </c>
      <c r="AC1278" s="11">
        <v>0.1287497680516306</v>
      </c>
      <c r="AD1278" s="11">
        <v>0.11447820346270936</v>
      </c>
      <c r="AE1278" s="11">
        <v>0.13149780089791482</v>
      </c>
      <c r="AF1278" s="11">
        <v>0.2</v>
      </c>
      <c r="AG1278" s="11">
        <v>0.23899999999999999</v>
      </c>
    </row>
    <row r="1279" spans="2:33">
      <c r="B1279" s="53" t="s">
        <v>2193</v>
      </c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35"/>
      <c r="Q1279" s="36" t="s">
        <v>631</v>
      </c>
      <c r="R1279" s="13">
        <v>2009</v>
      </c>
      <c r="S1279" s="13">
        <v>1171</v>
      </c>
      <c r="T1279" s="13">
        <v>110</v>
      </c>
      <c r="U1279" s="13">
        <v>0</v>
      </c>
      <c r="V1279" s="13">
        <v>0</v>
      </c>
      <c r="W1279" s="37">
        <v>1010</v>
      </c>
      <c r="X1279" s="18"/>
      <c r="Y1279" s="14"/>
      <c r="Z1279" s="14"/>
      <c r="AA1279" s="14"/>
      <c r="AB1279" s="14"/>
      <c r="AC1279" s="14"/>
      <c r="AD1279" s="14"/>
      <c r="AE1279" s="14"/>
      <c r="AF1279" s="14"/>
      <c r="AG1279" s="35"/>
    </row>
    <row r="1280" spans="2:33">
      <c r="B1280" s="19"/>
      <c r="P1280" s="16"/>
      <c r="Q1280" s="36" t="s">
        <v>632</v>
      </c>
      <c r="R1280" s="13">
        <v>0</v>
      </c>
      <c r="S1280" s="13">
        <v>1786</v>
      </c>
      <c r="T1280" s="13">
        <v>1001</v>
      </c>
      <c r="U1280" s="13">
        <v>0</v>
      </c>
      <c r="V1280" s="13">
        <v>0</v>
      </c>
      <c r="W1280" s="37">
        <v>703</v>
      </c>
      <c r="X1280" s="19"/>
      <c r="AG1280" s="16"/>
    </row>
    <row r="1281" spans="2:33">
      <c r="B1281" s="19"/>
      <c r="P1281" s="16"/>
      <c r="Q1281" s="36" t="s">
        <v>38</v>
      </c>
      <c r="R1281" s="13">
        <v>0</v>
      </c>
      <c r="S1281" s="13">
        <v>0</v>
      </c>
      <c r="T1281" s="13">
        <v>0</v>
      </c>
      <c r="U1281" s="13">
        <v>1188</v>
      </c>
      <c r="V1281" s="13">
        <v>619</v>
      </c>
      <c r="W1281" s="37">
        <v>550</v>
      </c>
      <c r="X1281" s="19"/>
      <c r="AG1281" s="16"/>
    </row>
    <row r="1282" spans="2:33">
      <c r="B1282" s="19"/>
      <c r="P1282" s="16"/>
      <c r="Q1282" s="36" t="s">
        <v>39</v>
      </c>
      <c r="R1282" s="13">
        <v>0</v>
      </c>
      <c r="S1282" s="13">
        <v>0</v>
      </c>
      <c r="T1282" s="13">
        <v>0</v>
      </c>
      <c r="U1282" s="13">
        <v>1108</v>
      </c>
      <c r="V1282" s="13">
        <v>630</v>
      </c>
      <c r="W1282" s="37">
        <v>605</v>
      </c>
      <c r="X1282" s="19"/>
      <c r="AG1282" s="16"/>
    </row>
    <row r="1283" spans="2:33">
      <c r="B1283" s="19"/>
      <c r="P1283" s="16"/>
      <c r="Q1283" s="36" t="s">
        <v>40</v>
      </c>
      <c r="R1283" s="13">
        <v>0</v>
      </c>
      <c r="S1283" s="13">
        <v>0</v>
      </c>
      <c r="T1283" s="13">
        <v>1806</v>
      </c>
      <c r="U1283" s="13">
        <v>1134</v>
      </c>
      <c r="V1283" s="13">
        <v>0</v>
      </c>
      <c r="W1283" s="37">
        <v>748</v>
      </c>
      <c r="X1283" s="19"/>
      <c r="AG1283" s="16"/>
    </row>
    <row r="1284" spans="2:33">
      <c r="B1284" s="19"/>
      <c r="P1284" s="16"/>
      <c r="Q1284" s="36" t="s">
        <v>41</v>
      </c>
      <c r="R1284" s="13">
        <v>1763</v>
      </c>
      <c r="S1284" s="13">
        <v>1073</v>
      </c>
      <c r="T1284" s="13">
        <v>76</v>
      </c>
      <c r="U1284" s="13">
        <v>46</v>
      </c>
      <c r="V1284" s="13">
        <v>0</v>
      </c>
      <c r="W1284" s="37">
        <v>747</v>
      </c>
      <c r="X1284" s="19"/>
      <c r="AG1284" s="16"/>
    </row>
    <row r="1285" spans="2:33">
      <c r="B1285" s="19"/>
      <c r="P1285" s="16"/>
      <c r="Q1285" s="36" t="s">
        <v>551</v>
      </c>
      <c r="R1285" s="13">
        <v>228</v>
      </c>
      <c r="S1285" s="13">
        <v>138</v>
      </c>
      <c r="T1285" s="13">
        <v>10</v>
      </c>
      <c r="U1285" s="13">
        <v>6</v>
      </c>
      <c r="V1285" s="13">
        <v>0</v>
      </c>
      <c r="W1285" s="37">
        <v>96</v>
      </c>
      <c r="X1285" s="19"/>
      <c r="AG1285" s="16"/>
    </row>
    <row r="1286" spans="2:33">
      <c r="B1286" s="19"/>
      <c r="P1286" s="16"/>
      <c r="Q1286" s="36" t="s">
        <v>633</v>
      </c>
      <c r="R1286" s="13">
        <v>0</v>
      </c>
      <c r="S1286" s="13">
        <v>0</v>
      </c>
      <c r="T1286" s="13">
        <v>1826</v>
      </c>
      <c r="U1286" s="13">
        <v>884</v>
      </c>
      <c r="V1286" s="13">
        <v>0</v>
      </c>
      <c r="W1286" s="37">
        <v>705</v>
      </c>
      <c r="X1286" s="19"/>
      <c r="AG1286" s="16"/>
    </row>
    <row r="1287" spans="2:33">
      <c r="B1287" s="19"/>
      <c r="P1287" s="16"/>
      <c r="Q1287" s="36" t="s">
        <v>136</v>
      </c>
      <c r="R1287" s="13">
        <v>0</v>
      </c>
      <c r="S1287" s="13">
        <v>0</v>
      </c>
      <c r="T1287" s="13">
        <v>1194</v>
      </c>
      <c r="U1287" s="13">
        <v>820</v>
      </c>
      <c r="V1287" s="13">
        <v>0</v>
      </c>
      <c r="W1287" s="37">
        <v>540</v>
      </c>
      <c r="X1287" s="19"/>
      <c r="AG1287" s="16"/>
    </row>
    <row r="1288" spans="2:33">
      <c r="B1288" s="19"/>
      <c r="P1288" s="16"/>
      <c r="Q1288" s="36" t="s">
        <v>44</v>
      </c>
      <c r="R1288" s="13">
        <v>0</v>
      </c>
      <c r="S1288" s="13">
        <v>0</v>
      </c>
      <c r="T1288" s="13">
        <v>0</v>
      </c>
      <c r="U1288" s="13">
        <v>1292</v>
      </c>
      <c r="V1288" s="13">
        <v>713</v>
      </c>
      <c r="W1288" s="37">
        <v>448</v>
      </c>
      <c r="X1288" s="19"/>
      <c r="AG1288" s="16"/>
    </row>
    <row r="1289" spans="2:33">
      <c r="B1289" s="19"/>
      <c r="P1289" s="16"/>
      <c r="Q1289" s="36" t="s">
        <v>634</v>
      </c>
      <c r="R1289" s="13">
        <v>0</v>
      </c>
      <c r="S1289" s="13">
        <v>1688</v>
      </c>
      <c r="T1289" s="13">
        <v>846</v>
      </c>
      <c r="U1289" s="13">
        <v>0</v>
      </c>
      <c r="V1289" s="13">
        <v>0</v>
      </c>
      <c r="W1289" s="37">
        <v>784</v>
      </c>
      <c r="X1289" s="19"/>
      <c r="AG1289" s="16"/>
    </row>
    <row r="1290" spans="2:33">
      <c r="B1290" s="19"/>
      <c r="P1290" s="16"/>
      <c r="Q1290" s="36" t="s">
        <v>635</v>
      </c>
      <c r="R1290" s="13">
        <v>366</v>
      </c>
      <c r="S1290" s="13">
        <v>163</v>
      </c>
      <c r="T1290" s="13">
        <v>0</v>
      </c>
      <c r="U1290" s="13">
        <v>0</v>
      </c>
      <c r="V1290" s="13">
        <v>0</v>
      </c>
      <c r="W1290" s="37">
        <v>96</v>
      </c>
      <c r="X1290" s="19"/>
      <c r="AG1290" s="16"/>
    </row>
    <row r="1291" spans="2:33" ht="15" thickBot="1">
      <c r="B1291" s="20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7"/>
      <c r="Q1291" s="36" t="s">
        <v>636</v>
      </c>
      <c r="R1291" s="13">
        <v>1791</v>
      </c>
      <c r="S1291" s="13">
        <v>1011</v>
      </c>
      <c r="T1291" s="13">
        <v>0</v>
      </c>
      <c r="U1291" s="13">
        <v>0</v>
      </c>
      <c r="V1291" s="13">
        <v>0</v>
      </c>
      <c r="W1291" s="37">
        <v>871</v>
      </c>
      <c r="X1291" s="20"/>
      <c r="Y1291" s="15"/>
      <c r="Z1291" s="15"/>
      <c r="AA1291" s="15"/>
      <c r="AB1291" s="15"/>
      <c r="AC1291" s="15"/>
      <c r="AD1291" s="15"/>
      <c r="AE1291" s="15"/>
      <c r="AF1291" s="15"/>
      <c r="AG1291" s="17"/>
    </row>
    <row r="1293" spans="2:33" ht="15" thickBot="1">
      <c r="B1293" s="25" t="s">
        <v>532</v>
      </c>
      <c r="C1293" s="26" t="s">
        <v>533</v>
      </c>
      <c r="D1293" s="26" t="s">
        <v>637</v>
      </c>
      <c r="E1293" s="26" t="s">
        <v>638</v>
      </c>
      <c r="F1293" s="26" t="s">
        <v>639</v>
      </c>
      <c r="G1293" s="26" t="s">
        <v>108</v>
      </c>
      <c r="H1293" s="27" t="s">
        <v>108</v>
      </c>
      <c r="I1293" s="26" t="s">
        <v>640</v>
      </c>
      <c r="J1293" s="27" t="s">
        <v>87</v>
      </c>
      <c r="K1293" s="29">
        <v>20</v>
      </c>
      <c r="L1293" s="29">
        <v>20</v>
      </c>
      <c r="M1293" s="29">
        <v>20</v>
      </c>
      <c r="N1293" s="29">
        <v>20</v>
      </c>
      <c r="O1293" s="29">
        <v>20</v>
      </c>
      <c r="P1293" s="40">
        <v>55.419998168945298</v>
      </c>
      <c r="Q1293" s="1" t="s">
        <v>35</v>
      </c>
      <c r="R1293" s="2">
        <v>1681</v>
      </c>
      <c r="S1293" s="2">
        <v>826</v>
      </c>
      <c r="T1293" s="2">
        <v>0</v>
      </c>
      <c r="U1293" s="2">
        <v>0</v>
      </c>
      <c r="V1293" s="2">
        <v>0</v>
      </c>
      <c r="W1293" s="2">
        <v>691</v>
      </c>
      <c r="X1293" s="43">
        <f>SUM(R1293:W1306)</f>
        <v>39345</v>
      </c>
      <c r="Y1293" s="10">
        <v>46204</v>
      </c>
      <c r="Z1293" s="11">
        <v>0.21915174234314722</v>
      </c>
      <c r="AA1293" s="11">
        <v>0.18274192037163289</v>
      </c>
      <c r="AB1293" s="11">
        <v>0.14726787607165501</v>
      </c>
      <c r="AC1293" s="11">
        <v>0.1287497680516306</v>
      </c>
      <c r="AD1293" s="11">
        <v>0.11447820346270936</v>
      </c>
      <c r="AE1293" s="11">
        <v>0.13149780089791482</v>
      </c>
      <c r="AF1293" s="11">
        <v>0.2</v>
      </c>
      <c r="AG1293" s="11">
        <v>0.23899999999999999</v>
      </c>
    </row>
    <row r="1294" spans="2:33">
      <c r="B1294" s="53" t="s">
        <v>2193</v>
      </c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35"/>
      <c r="Q1294" s="36" t="s">
        <v>36</v>
      </c>
      <c r="R1294" s="13">
        <v>1549</v>
      </c>
      <c r="S1294" s="13">
        <v>819</v>
      </c>
      <c r="T1294" s="13">
        <v>0</v>
      </c>
      <c r="U1294" s="13">
        <v>0</v>
      </c>
      <c r="V1294" s="13">
        <v>0</v>
      </c>
      <c r="W1294" s="37">
        <v>638</v>
      </c>
      <c r="X1294" s="18"/>
      <c r="Y1294" s="14"/>
      <c r="Z1294" s="14"/>
      <c r="AA1294" s="14"/>
      <c r="AB1294" s="14"/>
      <c r="AC1294" s="14"/>
      <c r="AD1294" s="14"/>
      <c r="AE1294" s="14"/>
      <c r="AF1294" s="14"/>
      <c r="AG1294" s="35"/>
    </row>
    <row r="1295" spans="2:33">
      <c r="B1295" s="19"/>
      <c r="P1295" s="16"/>
      <c r="Q1295" s="36" t="s">
        <v>37</v>
      </c>
      <c r="R1295" s="13">
        <v>0</v>
      </c>
      <c r="S1295" s="13">
        <v>1580</v>
      </c>
      <c r="T1295" s="13">
        <v>772</v>
      </c>
      <c r="U1295" s="13">
        <v>0</v>
      </c>
      <c r="V1295" s="13">
        <v>0</v>
      </c>
      <c r="W1295" s="37">
        <v>721</v>
      </c>
      <c r="X1295" s="19"/>
      <c r="AG1295" s="16"/>
    </row>
    <row r="1296" spans="2:33">
      <c r="B1296" s="19"/>
      <c r="P1296" s="16"/>
      <c r="Q1296" s="36" t="s">
        <v>38</v>
      </c>
      <c r="R1296" s="13">
        <v>0</v>
      </c>
      <c r="S1296" s="13">
        <v>0</v>
      </c>
      <c r="T1296" s="13">
        <v>0</v>
      </c>
      <c r="U1296" s="13">
        <v>1114</v>
      </c>
      <c r="V1296" s="13">
        <v>595</v>
      </c>
      <c r="W1296" s="37">
        <v>486</v>
      </c>
      <c r="X1296" s="19"/>
      <c r="AG1296" s="16"/>
    </row>
    <row r="1297" spans="2:33">
      <c r="B1297" s="19"/>
      <c r="P1297" s="16"/>
      <c r="Q1297" s="36" t="s">
        <v>39</v>
      </c>
      <c r="R1297" s="13">
        <v>0</v>
      </c>
      <c r="S1297" s="13">
        <v>0</v>
      </c>
      <c r="T1297" s="13">
        <v>0</v>
      </c>
      <c r="U1297" s="13">
        <v>1275</v>
      </c>
      <c r="V1297" s="13">
        <v>733</v>
      </c>
      <c r="W1297" s="37">
        <v>657</v>
      </c>
      <c r="X1297" s="19"/>
      <c r="AG1297" s="16"/>
    </row>
    <row r="1298" spans="2:33">
      <c r="B1298" s="19"/>
      <c r="P1298" s="16"/>
      <c r="Q1298" s="36" t="s">
        <v>40</v>
      </c>
      <c r="R1298" s="13">
        <v>0</v>
      </c>
      <c r="S1298" s="13">
        <v>0</v>
      </c>
      <c r="T1298" s="13">
        <v>1999</v>
      </c>
      <c r="U1298" s="13">
        <v>1121</v>
      </c>
      <c r="V1298" s="13">
        <v>0</v>
      </c>
      <c r="W1298" s="37">
        <v>779</v>
      </c>
      <c r="X1298" s="19"/>
      <c r="AG1298" s="16"/>
    </row>
    <row r="1299" spans="2:33">
      <c r="B1299" s="19"/>
      <c r="P1299" s="16"/>
      <c r="Q1299" s="36" t="s">
        <v>41</v>
      </c>
      <c r="R1299" s="13">
        <v>2443</v>
      </c>
      <c r="S1299" s="13">
        <v>1357</v>
      </c>
      <c r="T1299" s="13">
        <v>0</v>
      </c>
      <c r="U1299" s="13">
        <v>0</v>
      </c>
      <c r="V1299" s="13">
        <v>0</v>
      </c>
      <c r="W1299" s="37">
        <v>816</v>
      </c>
      <c r="X1299" s="19"/>
      <c r="AG1299" s="16"/>
    </row>
    <row r="1300" spans="2:33">
      <c r="B1300" s="19"/>
      <c r="P1300" s="16"/>
      <c r="Q1300" s="36" t="s">
        <v>551</v>
      </c>
      <c r="R1300" s="13">
        <v>0</v>
      </c>
      <c r="S1300" s="13">
        <v>0</v>
      </c>
      <c r="T1300" s="13">
        <v>219</v>
      </c>
      <c r="U1300" s="13">
        <v>129</v>
      </c>
      <c r="V1300" s="13">
        <v>0</v>
      </c>
      <c r="W1300" s="37">
        <v>187</v>
      </c>
      <c r="X1300" s="19"/>
      <c r="AG1300" s="16"/>
    </row>
    <row r="1301" spans="2:33">
      <c r="B1301" s="19"/>
      <c r="P1301" s="16"/>
      <c r="Q1301" s="36" t="s">
        <v>552</v>
      </c>
      <c r="R1301" s="13">
        <v>0</v>
      </c>
      <c r="S1301" s="13">
        <v>0</v>
      </c>
      <c r="T1301" s="13">
        <v>1937</v>
      </c>
      <c r="U1301" s="13">
        <v>1060</v>
      </c>
      <c r="V1301" s="13">
        <v>0</v>
      </c>
      <c r="W1301" s="37">
        <v>927</v>
      </c>
      <c r="X1301" s="19"/>
      <c r="AG1301" s="16"/>
    </row>
    <row r="1302" spans="2:33">
      <c r="B1302" s="19"/>
      <c r="P1302" s="16"/>
      <c r="Q1302" s="36" t="s">
        <v>43</v>
      </c>
      <c r="R1302" s="13">
        <v>0</v>
      </c>
      <c r="S1302" s="13">
        <v>0</v>
      </c>
      <c r="T1302" s="13">
        <v>1750</v>
      </c>
      <c r="U1302" s="13">
        <v>1021</v>
      </c>
      <c r="V1302" s="13">
        <v>0</v>
      </c>
      <c r="W1302" s="37">
        <v>675</v>
      </c>
      <c r="X1302" s="19"/>
      <c r="AG1302" s="16"/>
    </row>
    <row r="1303" spans="2:33">
      <c r="B1303" s="19"/>
      <c r="P1303" s="16"/>
      <c r="Q1303" s="36" t="s">
        <v>44</v>
      </c>
      <c r="R1303" s="13">
        <v>0</v>
      </c>
      <c r="S1303" s="13">
        <v>0</v>
      </c>
      <c r="T1303" s="13">
        <v>0</v>
      </c>
      <c r="U1303" s="13">
        <v>1597</v>
      </c>
      <c r="V1303" s="13">
        <v>902</v>
      </c>
      <c r="W1303" s="37">
        <v>600</v>
      </c>
      <c r="X1303" s="19"/>
      <c r="AG1303" s="16"/>
    </row>
    <row r="1304" spans="2:33">
      <c r="B1304" s="19"/>
      <c r="P1304" s="16"/>
      <c r="Q1304" s="36" t="s">
        <v>554</v>
      </c>
      <c r="R1304" s="13">
        <v>0</v>
      </c>
      <c r="S1304" s="13">
        <v>1048</v>
      </c>
      <c r="T1304" s="13">
        <v>561</v>
      </c>
      <c r="U1304" s="13">
        <v>0</v>
      </c>
      <c r="V1304" s="13">
        <v>0</v>
      </c>
      <c r="W1304" s="37">
        <v>548</v>
      </c>
      <c r="X1304" s="19"/>
      <c r="AG1304" s="16"/>
    </row>
    <row r="1305" spans="2:33">
      <c r="B1305" s="19"/>
      <c r="P1305" s="16"/>
      <c r="Q1305" s="36" t="s">
        <v>641</v>
      </c>
      <c r="R1305" s="13">
        <v>0</v>
      </c>
      <c r="S1305" s="13">
        <v>297</v>
      </c>
      <c r="T1305" s="13">
        <v>144</v>
      </c>
      <c r="U1305" s="13">
        <v>0</v>
      </c>
      <c r="V1305" s="13">
        <v>0</v>
      </c>
      <c r="W1305" s="37">
        <v>204</v>
      </c>
      <c r="X1305" s="19"/>
      <c r="AG1305" s="16"/>
    </row>
    <row r="1306" spans="2:33" ht="15" thickBot="1">
      <c r="B1306" s="20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7"/>
      <c r="Q1306" s="36" t="s">
        <v>46</v>
      </c>
      <c r="R1306" s="13">
        <v>1385</v>
      </c>
      <c r="S1306" s="13">
        <v>771</v>
      </c>
      <c r="T1306" s="13">
        <v>0</v>
      </c>
      <c r="U1306" s="13">
        <v>0</v>
      </c>
      <c r="V1306" s="13">
        <v>0</v>
      </c>
      <c r="W1306" s="37">
        <v>731</v>
      </c>
      <c r="X1306" s="20"/>
      <c r="Y1306" s="15"/>
      <c r="Z1306" s="15"/>
      <c r="AA1306" s="15"/>
      <c r="AB1306" s="15"/>
      <c r="AC1306" s="15"/>
      <c r="AD1306" s="15"/>
      <c r="AE1306" s="15"/>
      <c r="AF1306" s="15"/>
      <c r="AG1306" s="17"/>
    </row>
    <row r="1308" spans="2:33" ht="15" thickBot="1">
      <c r="B1308" s="25" t="s">
        <v>532</v>
      </c>
      <c r="C1308" s="26" t="s">
        <v>533</v>
      </c>
      <c r="D1308" s="26" t="s">
        <v>642</v>
      </c>
      <c r="E1308" s="26" t="s">
        <v>643</v>
      </c>
      <c r="F1308" s="26" t="s">
        <v>644</v>
      </c>
      <c r="G1308" s="26" t="s">
        <v>645</v>
      </c>
      <c r="H1308" s="27" t="s">
        <v>90</v>
      </c>
      <c r="I1308" s="26" t="s">
        <v>646</v>
      </c>
      <c r="J1308" s="27" t="s">
        <v>87</v>
      </c>
      <c r="K1308" s="29">
        <v>58</v>
      </c>
      <c r="L1308" s="29">
        <v>58</v>
      </c>
      <c r="M1308" s="29">
        <v>58</v>
      </c>
      <c r="N1308" s="29">
        <v>58</v>
      </c>
      <c r="O1308" s="29">
        <v>58</v>
      </c>
      <c r="P1308" s="40">
        <v>75</v>
      </c>
      <c r="Q1308" s="1" t="s">
        <v>35</v>
      </c>
      <c r="R1308" s="2">
        <v>3243</v>
      </c>
      <c r="S1308" s="2">
        <v>606</v>
      </c>
      <c r="T1308" s="2">
        <v>0</v>
      </c>
      <c r="U1308" s="2">
        <v>0</v>
      </c>
      <c r="V1308" s="2">
        <v>0</v>
      </c>
      <c r="W1308" s="2">
        <v>1223</v>
      </c>
      <c r="X1308" s="43">
        <f>SUM(R1308:W1320)</f>
        <v>67662</v>
      </c>
      <c r="Y1308" s="10">
        <v>46204</v>
      </c>
      <c r="Z1308" s="11">
        <v>0.21915174234314722</v>
      </c>
      <c r="AA1308" s="11">
        <v>0.18274192037163289</v>
      </c>
      <c r="AB1308" s="11">
        <v>0.14726787607165501</v>
      </c>
      <c r="AC1308" s="11">
        <v>0.1287497680516306</v>
      </c>
      <c r="AD1308" s="11">
        <v>0.11447820346270936</v>
      </c>
      <c r="AE1308" s="11">
        <v>0.13149780089791482</v>
      </c>
      <c r="AF1308" s="11">
        <v>0.2</v>
      </c>
      <c r="AG1308" s="11">
        <v>0.23899999999999999</v>
      </c>
    </row>
    <row r="1309" spans="2:33">
      <c r="B1309" s="53" t="s">
        <v>2193</v>
      </c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35"/>
      <c r="Q1309" s="36" t="s">
        <v>36</v>
      </c>
      <c r="R1309" s="13">
        <v>2836</v>
      </c>
      <c r="S1309" s="13">
        <v>533</v>
      </c>
      <c r="T1309" s="13">
        <v>0</v>
      </c>
      <c r="U1309" s="13">
        <v>0</v>
      </c>
      <c r="V1309" s="13">
        <v>0</v>
      </c>
      <c r="W1309" s="37">
        <v>949</v>
      </c>
      <c r="X1309" s="18"/>
      <c r="Y1309" s="14"/>
      <c r="Z1309" s="14"/>
      <c r="AA1309" s="14"/>
      <c r="AB1309" s="14"/>
      <c r="AC1309" s="14"/>
      <c r="AD1309" s="14"/>
      <c r="AE1309" s="14"/>
      <c r="AF1309" s="14"/>
      <c r="AG1309" s="35"/>
    </row>
    <row r="1310" spans="2:33">
      <c r="B1310" s="19"/>
      <c r="P1310" s="16"/>
      <c r="Q1310" s="36" t="s">
        <v>37</v>
      </c>
      <c r="R1310" s="13">
        <v>0</v>
      </c>
      <c r="S1310" s="13">
        <v>2754</v>
      </c>
      <c r="T1310" s="13">
        <v>578</v>
      </c>
      <c r="U1310" s="13">
        <v>0</v>
      </c>
      <c r="V1310" s="13">
        <v>0</v>
      </c>
      <c r="W1310" s="37">
        <v>1103</v>
      </c>
      <c r="X1310" s="19"/>
      <c r="AG1310" s="16"/>
    </row>
    <row r="1311" spans="2:33">
      <c r="B1311" s="19"/>
      <c r="P1311" s="16"/>
      <c r="Q1311" s="36" t="s">
        <v>38</v>
      </c>
      <c r="R1311" s="13">
        <v>0</v>
      </c>
      <c r="S1311" s="13">
        <v>0</v>
      </c>
      <c r="T1311" s="13">
        <v>0</v>
      </c>
      <c r="U1311" s="13">
        <v>2508</v>
      </c>
      <c r="V1311" s="13">
        <v>533.66998291015625</v>
      </c>
      <c r="W1311" s="37">
        <v>926.33001708984375</v>
      </c>
      <c r="X1311" s="19"/>
      <c r="AG1311" s="16"/>
    </row>
    <row r="1312" spans="2:33">
      <c r="B1312" s="19"/>
      <c r="P1312" s="16"/>
      <c r="Q1312" s="36" t="s">
        <v>39</v>
      </c>
      <c r="R1312" s="13">
        <v>0</v>
      </c>
      <c r="S1312" s="13">
        <v>0</v>
      </c>
      <c r="T1312" s="13">
        <v>0</v>
      </c>
      <c r="U1312" s="13">
        <v>3072</v>
      </c>
      <c r="V1312" s="13">
        <v>639</v>
      </c>
      <c r="W1312" s="37">
        <v>1363</v>
      </c>
      <c r="X1312" s="19"/>
      <c r="AG1312" s="16"/>
    </row>
    <row r="1313" spans="2:33">
      <c r="B1313" s="19"/>
      <c r="P1313" s="16"/>
      <c r="Q1313" s="36" t="s">
        <v>40</v>
      </c>
      <c r="R1313" s="13">
        <v>0</v>
      </c>
      <c r="S1313" s="13">
        <v>0</v>
      </c>
      <c r="T1313" s="13">
        <v>4984</v>
      </c>
      <c r="U1313" s="13">
        <v>517</v>
      </c>
      <c r="V1313" s="13">
        <v>0</v>
      </c>
      <c r="W1313" s="37">
        <v>1409</v>
      </c>
      <c r="X1313" s="19"/>
      <c r="AG1313" s="16"/>
    </row>
    <row r="1314" spans="2:33">
      <c r="B1314" s="19"/>
      <c r="P1314" s="16"/>
      <c r="Q1314" s="36" t="s">
        <v>41</v>
      </c>
      <c r="R1314" s="13">
        <v>6554</v>
      </c>
      <c r="S1314" s="13">
        <v>653</v>
      </c>
      <c r="T1314" s="13">
        <v>0</v>
      </c>
      <c r="U1314" s="13">
        <v>0</v>
      </c>
      <c r="V1314" s="13">
        <v>0</v>
      </c>
      <c r="W1314" s="37">
        <v>1467</v>
      </c>
      <c r="X1314" s="19"/>
      <c r="AG1314" s="16"/>
    </row>
    <row r="1315" spans="2:33">
      <c r="B1315" s="19"/>
      <c r="P1315" s="16"/>
      <c r="Q1315" s="36" t="s">
        <v>551</v>
      </c>
      <c r="R1315" s="13">
        <v>0</v>
      </c>
      <c r="S1315" s="13">
        <v>0</v>
      </c>
      <c r="T1315" s="13">
        <v>609</v>
      </c>
      <c r="U1315" s="13">
        <v>66</v>
      </c>
      <c r="V1315" s="13">
        <v>0</v>
      </c>
      <c r="W1315" s="37">
        <v>366</v>
      </c>
      <c r="X1315" s="19"/>
      <c r="AG1315" s="16"/>
    </row>
    <row r="1316" spans="2:33">
      <c r="B1316" s="19"/>
      <c r="P1316" s="16"/>
      <c r="Q1316" s="36" t="s">
        <v>552</v>
      </c>
      <c r="R1316" s="13">
        <v>0</v>
      </c>
      <c r="S1316" s="13">
        <v>0</v>
      </c>
      <c r="T1316" s="13">
        <v>5100</v>
      </c>
      <c r="U1316" s="13">
        <v>497</v>
      </c>
      <c r="V1316" s="13">
        <v>0</v>
      </c>
      <c r="W1316" s="37">
        <v>1550</v>
      </c>
      <c r="X1316" s="19"/>
      <c r="AG1316" s="16"/>
    </row>
    <row r="1317" spans="2:33">
      <c r="B1317" s="19"/>
      <c r="P1317" s="16"/>
      <c r="Q1317" s="36" t="s">
        <v>43</v>
      </c>
      <c r="R1317" s="13">
        <v>0</v>
      </c>
      <c r="S1317" s="13">
        <v>0</v>
      </c>
      <c r="T1317" s="13">
        <v>4614</v>
      </c>
      <c r="U1317" s="13">
        <v>562</v>
      </c>
      <c r="V1317" s="13">
        <v>0</v>
      </c>
      <c r="W1317" s="37">
        <v>1242</v>
      </c>
      <c r="X1317" s="19"/>
      <c r="AG1317" s="16"/>
    </row>
    <row r="1318" spans="2:33">
      <c r="B1318" s="19"/>
      <c r="P1318" s="16"/>
      <c r="Q1318" s="36" t="s">
        <v>44</v>
      </c>
      <c r="R1318" s="13">
        <v>0</v>
      </c>
      <c r="S1318" s="13">
        <v>0</v>
      </c>
      <c r="T1318" s="13">
        <v>0</v>
      </c>
      <c r="U1318" s="13">
        <v>3327</v>
      </c>
      <c r="V1318" s="13">
        <v>673</v>
      </c>
      <c r="W1318" s="37">
        <v>1058</v>
      </c>
      <c r="X1318" s="19"/>
      <c r="AG1318" s="16"/>
    </row>
    <row r="1319" spans="2:33">
      <c r="B1319" s="19"/>
      <c r="P1319" s="16"/>
      <c r="Q1319" s="36" t="s">
        <v>45</v>
      </c>
      <c r="R1319" s="13">
        <v>0</v>
      </c>
      <c r="S1319" s="13">
        <v>2766</v>
      </c>
      <c r="T1319" s="13">
        <v>569</v>
      </c>
      <c r="U1319" s="13">
        <v>0</v>
      </c>
      <c r="V1319" s="13">
        <v>0</v>
      </c>
      <c r="W1319" s="37">
        <v>977</v>
      </c>
      <c r="X1319" s="19"/>
      <c r="AG1319" s="16"/>
    </row>
    <row r="1320" spans="2:33" ht="15" thickBot="1">
      <c r="B1320" s="20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7"/>
      <c r="Q1320" s="36" t="s">
        <v>46</v>
      </c>
      <c r="R1320" s="13">
        <v>3150</v>
      </c>
      <c r="S1320" s="13">
        <v>710</v>
      </c>
      <c r="T1320" s="13">
        <v>0</v>
      </c>
      <c r="U1320" s="13">
        <v>0</v>
      </c>
      <c r="V1320" s="13">
        <v>0</v>
      </c>
      <c r="W1320" s="37">
        <v>1375</v>
      </c>
      <c r="X1320" s="20"/>
      <c r="Y1320" s="15"/>
      <c r="Z1320" s="15"/>
      <c r="AA1320" s="15"/>
      <c r="AB1320" s="15"/>
      <c r="AC1320" s="15"/>
      <c r="AD1320" s="15"/>
      <c r="AE1320" s="15"/>
      <c r="AF1320" s="15"/>
      <c r="AG1320" s="17"/>
    </row>
    <row r="1322" spans="2:33" ht="15" thickBot="1">
      <c r="B1322" s="25" t="s">
        <v>532</v>
      </c>
      <c r="C1322" s="26" t="s">
        <v>533</v>
      </c>
      <c r="D1322" s="26" t="s">
        <v>647</v>
      </c>
      <c r="E1322" s="26" t="s">
        <v>648</v>
      </c>
      <c r="F1322" s="26" t="s">
        <v>649</v>
      </c>
      <c r="G1322" s="26" t="s">
        <v>650</v>
      </c>
      <c r="H1322" s="27" t="s">
        <v>95</v>
      </c>
      <c r="I1322" s="26" t="s">
        <v>651</v>
      </c>
      <c r="J1322" s="27" t="s">
        <v>87</v>
      </c>
      <c r="K1322" s="29">
        <v>25</v>
      </c>
      <c r="L1322" s="29">
        <v>25</v>
      </c>
      <c r="M1322" s="29">
        <v>25</v>
      </c>
      <c r="N1322" s="29">
        <v>25</v>
      </c>
      <c r="O1322" s="29">
        <v>25</v>
      </c>
      <c r="P1322" s="40">
        <v>49.5</v>
      </c>
      <c r="Q1322" s="1" t="s">
        <v>35</v>
      </c>
      <c r="R1322" s="2">
        <v>2098</v>
      </c>
      <c r="S1322" s="2">
        <v>1121</v>
      </c>
      <c r="T1322" s="2">
        <v>0</v>
      </c>
      <c r="U1322" s="2">
        <v>0</v>
      </c>
      <c r="V1322" s="2">
        <v>0</v>
      </c>
      <c r="W1322" s="2">
        <v>1896</v>
      </c>
      <c r="X1322" s="43">
        <f>SUM(R1322:W1334)</f>
        <v>37213</v>
      </c>
      <c r="Y1322" s="10">
        <v>46204</v>
      </c>
      <c r="Z1322" s="11">
        <v>0.21915174234314722</v>
      </c>
      <c r="AA1322" s="11">
        <v>0.18274192037163289</v>
      </c>
      <c r="AB1322" s="11">
        <v>0.14726787607165501</v>
      </c>
      <c r="AC1322" s="11">
        <v>0.1287497680516306</v>
      </c>
      <c r="AD1322" s="11">
        <v>0.11447820346270936</v>
      </c>
      <c r="AE1322" s="11">
        <v>0.13149780089791482</v>
      </c>
      <c r="AF1322" s="11">
        <v>0.2</v>
      </c>
      <c r="AG1322" s="11">
        <v>0.23899999999999999</v>
      </c>
    </row>
    <row r="1323" spans="2:33">
      <c r="B1323" s="53" t="s">
        <v>2193</v>
      </c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35"/>
      <c r="Q1323" s="36" t="s">
        <v>36</v>
      </c>
      <c r="R1323" s="13">
        <v>1792</v>
      </c>
      <c r="S1323" s="13">
        <v>971</v>
      </c>
      <c r="T1323" s="13">
        <v>0</v>
      </c>
      <c r="U1323" s="13">
        <v>0</v>
      </c>
      <c r="V1323" s="13">
        <v>0</v>
      </c>
      <c r="W1323" s="37">
        <v>1392</v>
      </c>
      <c r="X1323" s="18"/>
      <c r="Y1323" s="14"/>
      <c r="Z1323" s="14"/>
      <c r="AA1323" s="14"/>
      <c r="AB1323" s="14"/>
      <c r="AC1323" s="14"/>
      <c r="AD1323" s="14"/>
      <c r="AE1323" s="14"/>
      <c r="AF1323" s="14"/>
      <c r="AG1323" s="35"/>
    </row>
    <row r="1324" spans="2:33">
      <c r="B1324" s="19"/>
      <c r="P1324" s="16"/>
      <c r="Q1324" s="36" t="s">
        <v>37</v>
      </c>
      <c r="R1324" s="13">
        <v>0</v>
      </c>
      <c r="S1324" s="13">
        <v>1611</v>
      </c>
      <c r="T1324" s="13">
        <v>930</v>
      </c>
      <c r="U1324" s="13">
        <v>0</v>
      </c>
      <c r="V1324" s="13">
        <v>0</v>
      </c>
      <c r="W1324" s="37">
        <v>1775</v>
      </c>
      <c r="X1324" s="19"/>
      <c r="AG1324" s="16"/>
    </row>
    <row r="1325" spans="2:33">
      <c r="B1325" s="19"/>
      <c r="P1325" s="16"/>
      <c r="Q1325" s="36" t="s">
        <v>38</v>
      </c>
      <c r="R1325" s="13">
        <v>0</v>
      </c>
      <c r="S1325" s="13">
        <v>0</v>
      </c>
      <c r="T1325" s="13">
        <v>0</v>
      </c>
      <c r="U1325" s="13">
        <v>1086</v>
      </c>
      <c r="V1325" s="13">
        <v>611</v>
      </c>
      <c r="W1325" s="37">
        <v>768</v>
      </c>
      <c r="X1325" s="19"/>
      <c r="AG1325" s="16"/>
    </row>
    <row r="1326" spans="2:33">
      <c r="B1326" s="19"/>
      <c r="P1326" s="16"/>
      <c r="Q1326" s="36" t="s">
        <v>39</v>
      </c>
      <c r="R1326" s="13">
        <v>0</v>
      </c>
      <c r="S1326" s="13">
        <v>0</v>
      </c>
      <c r="T1326" s="13">
        <v>0</v>
      </c>
      <c r="U1326" s="13">
        <v>955</v>
      </c>
      <c r="V1326" s="13">
        <v>571</v>
      </c>
      <c r="W1326" s="37">
        <v>680</v>
      </c>
      <c r="X1326" s="19"/>
      <c r="AG1326" s="16"/>
    </row>
    <row r="1327" spans="2:33">
      <c r="B1327" s="19"/>
      <c r="P1327" s="16"/>
      <c r="Q1327" s="36" t="s">
        <v>40</v>
      </c>
      <c r="R1327" s="13">
        <v>0</v>
      </c>
      <c r="S1327" s="13">
        <v>0</v>
      </c>
      <c r="T1327" s="13">
        <v>1020</v>
      </c>
      <c r="U1327" s="13">
        <v>638</v>
      </c>
      <c r="V1327" s="13">
        <v>0</v>
      </c>
      <c r="W1327" s="37">
        <v>441</v>
      </c>
      <c r="X1327" s="19"/>
      <c r="AG1327" s="16"/>
    </row>
    <row r="1328" spans="2:33">
      <c r="B1328" s="19"/>
      <c r="P1328" s="16"/>
      <c r="Q1328" s="36" t="s">
        <v>41</v>
      </c>
      <c r="R1328" s="13">
        <v>1247</v>
      </c>
      <c r="S1328" s="13">
        <v>776</v>
      </c>
      <c r="T1328" s="13">
        <v>0</v>
      </c>
      <c r="U1328" s="13">
        <v>0</v>
      </c>
      <c r="V1328" s="13">
        <v>0</v>
      </c>
      <c r="W1328" s="37">
        <v>495</v>
      </c>
      <c r="X1328" s="19"/>
      <c r="AG1328" s="16"/>
    </row>
    <row r="1329" spans="2:33">
      <c r="B1329" s="19"/>
      <c r="P1329" s="16"/>
      <c r="Q1329" s="36" t="s">
        <v>551</v>
      </c>
      <c r="R1329" s="13">
        <v>0</v>
      </c>
      <c r="S1329" s="13">
        <v>0</v>
      </c>
      <c r="T1329" s="13">
        <v>109</v>
      </c>
      <c r="U1329" s="13">
        <v>66</v>
      </c>
      <c r="V1329" s="13">
        <v>0</v>
      </c>
      <c r="W1329" s="37">
        <v>104</v>
      </c>
      <c r="X1329" s="19"/>
      <c r="AG1329" s="16"/>
    </row>
    <row r="1330" spans="2:33">
      <c r="B1330" s="19"/>
      <c r="P1330" s="16"/>
      <c r="Q1330" s="36" t="s">
        <v>552</v>
      </c>
      <c r="R1330" s="13">
        <v>0</v>
      </c>
      <c r="S1330" s="13">
        <v>0</v>
      </c>
      <c r="T1330" s="13">
        <v>1018</v>
      </c>
      <c r="U1330" s="13">
        <v>613</v>
      </c>
      <c r="V1330" s="13">
        <v>0</v>
      </c>
      <c r="W1330" s="37">
        <v>426</v>
      </c>
      <c r="X1330" s="19"/>
      <c r="AG1330" s="16"/>
    </row>
    <row r="1331" spans="2:33">
      <c r="B1331" s="19"/>
      <c r="P1331" s="16"/>
      <c r="Q1331" s="36" t="s">
        <v>43</v>
      </c>
      <c r="R1331" s="13">
        <v>0</v>
      </c>
      <c r="S1331" s="13">
        <v>0</v>
      </c>
      <c r="T1331" s="13">
        <v>793</v>
      </c>
      <c r="U1331" s="13">
        <v>471</v>
      </c>
      <c r="V1331" s="13">
        <v>0</v>
      </c>
      <c r="W1331" s="37">
        <v>353</v>
      </c>
      <c r="X1331" s="19"/>
      <c r="AG1331" s="16"/>
    </row>
    <row r="1332" spans="2:33">
      <c r="B1332" s="19"/>
      <c r="P1332" s="16"/>
      <c r="Q1332" s="36" t="s">
        <v>44</v>
      </c>
      <c r="R1332" s="13">
        <v>0</v>
      </c>
      <c r="S1332" s="13">
        <v>0</v>
      </c>
      <c r="T1332" s="13">
        <v>0</v>
      </c>
      <c r="U1332" s="13">
        <v>977</v>
      </c>
      <c r="V1332" s="13">
        <v>519</v>
      </c>
      <c r="W1332" s="37">
        <v>433</v>
      </c>
      <c r="X1332" s="19"/>
      <c r="AG1332" s="16"/>
    </row>
    <row r="1333" spans="2:33">
      <c r="B1333" s="19"/>
      <c r="P1333" s="16"/>
      <c r="Q1333" s="36" t="s">
        <v>45</v>
      </c>
      <c r="R1333" s="13">
        <v>0</v>
      </c>
      <c r="S1333" s="13">
        <v>1694</v>
      </c>
      <c r="T1333" s="13">
        <v>811</v>
      </c>
      <c r="U1333" s="13">
        <v>0</v>
      </c>
      <c r="V1333" s="13">
        <v>0</v>
      </c>
      <c r="W1333" s="37">
        <v>1170</v>
      </c>
      <c r="X1333" s="19"/>
      <c r="AG1333" s="16"/>
    </row>
    <row r="1334" spans="2:33" ht="15" thickBot="1">
      <c r="B1334" s="20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7"/>
      <c r="Q1334" s="36" t="s">
        <v>46</v>
      </c>
      <c r="R1334" s="13">
        <v>2039</v>
      </c>
      <c r="S1334" s="13">
        <v>1099</v>
      </c>
      <c r="T1334" s="13">
        <v>0</v>
      </c>
      <c r="U1334" s="13">
        <v>0</v>
      </c>
      <c r="V1334" s="13">
        <v>0</v>
      </c>
      <c r="W1334" s="37">
        <v>1644</v>
      </c>
      <c r="X1334" s="20"/>
      <c r="Y1334" s="15"/>
      <c r="Z1334" s="15"/>
      <c r="AA1334" s="15"/>
      <c r="AB1334" s="15"/>
      <c r="AC1334" s="15"/>
      <c r="AD1334" s="15"/>
      <c r="AE1334" s="15"/>
      <c r="AF1334" s="15"/>
      <c r="AG1334" s="17"/>
    </row>
    <row r="1336" spans="2:33" ht="15" thickBot="1">
      <c r="B1336" s="25" t="s">
        <v>532</v>
      </c>
      <c r="C1336" s="26" t="s">
        <v>533</v>
      </c>
      <c r="D1336" s="26" t="s">
        <v>652</v>
      </c>
      <c r="E1336" s="26" t="s">
        <v>653</v>
      </c>
      <c r="F1336" s="26" t="s">
        <v>654</v>
      </c>
      <c r="G1336" s="26" t="s">
        <v>99</v>
      </c>
      <c r="H1336" s="27" t="s">
        <v>99</v>
      </c>
      <c r="I1336" s="26" t="s">
        <v>655</v>
      </c>
      <c r="J1336" s="27" t="s">
        <v>87</v>
      </c>
      <c r="K1336" s="29">
        <v>35</v>
      </c>
      <c r="L1336" s="29">
        <v>35</v>
      </c>
      <c r="M1336" s="29">
        <v>35</v>
      </c>
      <c r="N1336" s="29">
        <v>35</v>
      </c>
      <c r="O1336" s="29">
        <v>35</v>
      </c>
      <c r="P1336" s="40">
        <v>45</v>
      </c>
      <c r="Q1336" s="1" t="s">
        <v>35</v>
      </c>
      <c r="R1336" s="2">
        <v>2251</v>
      </c>
      <c r="S1336" s="2">
        <v>942</v>
      </c>
      <c r="T1336" s="2">
        <v>0</v>
      </c>
      <c r="U1336" s="2">
        <v>0</v>
      </c>
      <c r="V1336" s="2">
        <v>0</v>
      </c>
      <c r="W1336" s="2">
        <v>1027</v>
      </c>
      <c r="X1336" s="43">
        <f>SUM(R1336:W1348)</f>
        <v>60649</v>
      </c>
      <c r="Y1336" s="10">
        <v>46204</v>
      </c>
      <c r="Z1336" s="11">
        <v>0.21915174234314722</v>
      </c>
      <c r="AA1336" s="11">
        <v>0.18274192037163289</v>
      </c>
      <c r="AB1336" s="11">
        <v>0.14726787607165501</v>
      </c>
      <c r="AC1336" s="11">
        <v>0.1287497680516306</v>
      </c>
      <c r="AD1336" s="11">
        <v>0.11447820346270936</v>
      </c>
      <c r="AE1336" s="11">
        <v>0.13149780089791482</v>
      </c>
      <c r="AF1336" s="11">
        <v>0.2</v>
      </c>
      <c r="AG1336" s="11">
        <v>0.23899999999999999</v>
      </c>
    </row>
    <row r="1337" spans="2:33">
      <c r="B1337" s="53" t="s">
        <v>2193</v>
      </c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35"/>
      <c r="Q1337" s="36" t="s">
        <v>36</v>
      </c>
      <c r="R1337" s="13">
        <v>1083</v>
      </c>
      <c r="S1337" s="13">
        <v>772</v>
      </c>
      <c r="T1337" s="13">
        <v>0</v>
      </c>
      <c r="U1337" s="13">
        <v>0</v>
      </c>
      <c r="V1337" s="13">
        <v>0</v>
      </c>
      <c r="W1337" s="37">
        <v>1556</v>
      </c>
      <c r="X1337" s="18"/>
      <c r="Y1337" s="14"/>
      <c r="Z1337" s="14"/>
      <c r="AA1337" s="14"/>
      <c r="AB1337" s="14"/>
      <c r="AC1337" s="14"/>
      <c r="AD1337" s="14"/>
      <c r="AE1337" s="14"/>
      <c r="AF1337" s="14"/>
      <c r="AG1337" s="35"/>
    </row>
    <row r="1338" spans="2:33">
      <c r="B1338" s="19"/>
      <c r="P1338" s="16"/>
      <c r="Q1338" s="36" t="s">
        <v>37</v>
      </c>
      <c r="R1338" s="13">
        <v>0</v>
      </c>
      <c r="S1338" s="13">
        <v>1659</v>
      </c>
      <c r="T1338" s="13">
        <v>838</v>
      </c>
      <c r="U1338" s="13">
        <v>0</v>
      </c>
      <c r="V1338" s="13">
        <v>0</v>
      </c>
      <c r="W1338" s="37">
        <v>860</v>
      </c>
      <c r="X1338" s="19"/>
      <c r="AG1338" s="16"/>
    </row>
    <row r="1339" spans="2:33">
      <c r="B1339" s="19"/>
      <c r="P1339" s="16"/>
      <c r="Q1339" s="36" t="s">
        <v>38</v>
      </c>
      <c r="R1339" s="13">
        <v>0</v>
      </c>
      <c r="S1339" s="13">
        <v>0</v>
      </c>
      <c r="T1339" s="13">
        <v>0</v>
      </c>
      <c r="U1339" s="13">
        <v>1774</v>
      </c>
      <c r="V1339" s="13">
        <v>898</v>
      </c>
      <c r="W1339" s="37">
        <v>637</v>
      </c>
      <c r="X1339" s="19"/>
      <c r="AG1339" s="16"/>
    </row>
    <row r="1340" spans="2:33">
      <c r="B1340" s="19"/>
      <c r="P1340" s="16"/>
      <c r="Q1340" s="36" t="s">
        <v>39</v>
      </c>
      <c r="R1340" s="13">
        <v>0</v>
      </c>
      <c r="S1340" s="13">
        <v>0</v>
      </c>
      <c r="T1340" s="13">
        <v>0</v>
      </c>
      <c r="U1340" s="13">
        <v>2275</v>
      </c>
      <c r="V1340" s="13">
        <v>1212</v>
      </c>
      <c r="W1340" s="37">
        <v>1083</v>
      </c>
      <c r="X1340" s="19"/>
      <c r="AG1340" s="16"/>
    </row>
    <row r="1341" spans="2:33">
      <c r="B1341" s="19"/>
      <c r="P1341" s="16"/>
      <c r="Q1341" s="36" t="s">
        <v>40</v>
      </c>
      <c r="R1341" s="13">
        <v>0</v>
      </c>
      <c r="S1341" s="13">
        <v>0</v>
      </c>
      <c r="T1341" s="13">
        <v>3492</v>
      </c>
      <c r="U1341" s="13">
        <v>1842</v>
      </c>
      <c r="V1341" s="13">
        <v>0</v>
      </c>
      <c r="W1341" s="37">
        <v>1270</v>
      </c>
      <c r="X1341" s="19"/>
      <c r="AG1341" s="16"/>
    </row>
    <row r="1342" spans="2:33">
      <c r="B1342" s="19"/>
      <c r="P1342" s="16"/>
      <c r="Q1342" s="36" t="s">
        <v>41</v>
      </c>
      <c r="R1342" s="13">
        <v>4397</v>
      </c>
      <c r="S1342" s="13">
        <v>2207</v>
      </c>
      <c r="T1342" s="13">
        <v>0</v>
      </c>
      <c r="U1342" s="13">
        <v>0</v>
      </c>
      <c r="V1342" s="13">
        <v>0</v>
      </c>
      <c r="W1342" s="37">
        <v>1229</v>
      </c>
      <c r="X1342" s="19"/>
      <c r="AG1342" s="16"/>
    </row>
    <row r="1343" spans="2:33">
      <c r="B1343" s="19"/>
      <c r="P1343" s="16"/>
      <c r="Q1343" s="36" t="s">
        <v>656</v>
      </c>
      <c r="R1343" s="13">
        <v>0</v>
      </c>
      <c r="S1343" s="13">
        <v>0</v>
      </c>
      <c r="T1343" s="13">
        <v>1383</v>
      </c>
      <c r="U1343" s="13">
        <v>705</v>
      </c>
      <c r="V1343" s="13">
        <v>0</v>
      </c>
      <c r="W1343" s="37">
        <v>649</v>
      </c>
      <c r="X1343" s="19"/>
      <c r="AG1343" s="16"/>
    </row>
    <row r="1344" spans="2:33">
      <c r="B1344" s="19"/>
      <c r="P1344" s="16"/>
      <c r="Q1344" s="36" t="s">
        <v>657</v>
      </c>
      <c r="R1344" s="13">
        <v>0</v>
      </c>
      <c r="S1344" s="13">
        <v>0</v>
      </c>
      <c r="T1344" s="13">
        <v>2360</v>
      </c>
      <c r="U1344" s="13">
        <v>1129</v>
      </c>
      <c r="V1344" s="13">
        <v>0</v>
      </c>
      <c r="W1344" s="37">
        <v>1184</v>
      </c>
      <c r="X1344" s="19"/>
      <c r="AG1344" s="16"/>
    </row>
    <row r="1345" spans="2:33">
      <c r="B1345" s="19"/>
      <c r="P1345" s="16"/>
      <c r="Q1345" s="36" t="s">
        <v>43</v>
      </c>
      <c r="R1345" s="13">
        <v>0</v>
      </c>
      <c r="S1345" s="13">
        <v>0</v>
      </c>
      <c r="T1345" s="13">
        <v>3210</v>
      </c>
      <c r="U1345" s="13">
        <v>1645</v>
      </c>
      <c r="V1345" s="13">
        <v>0</v>
      </c>
      <c r="W1345" s="37">
        <v>1175</v>
      </c>
      <c r="X1345" s="19"/>
      <c r="AG1345" s="16"/>
    </row>
    <row r="1346" spans="2:33">
      <c r="B1346" s="19"/>
      <c r="P1346" s="16"/>
      <c r="Q1346" s="36" t="s">
        <v>44</v>
      </c>
      <c r="R1346" s="13">
        <v>0</v>
      </c>
      <c r="S1346" s="13">
        <v>0</v>
      </c>
      <c r="T1346" s="13">
        <v>0</v>
      </c>
      <c r="U1346" s="13">
        <v>2764</v>
      </c>
      <c r="V1346" s="13">
        <v>1532</v>
      </c>
      <c r="W1346" s="37">
        <v>1008</v>
      </c>
      <c r="X1346" s="19"/>
      <c r="AG1346" s="16"/>
    </row>
    <row r="1347" spans="2:33">
      <c r="B1347" s="19"/>
      <c r="P1347" s="16"/>
      <c r="Q1347" s="36" t="s">
        <v>45</v>
      </c>
      <c r="R1347" s="13">
        <v>0</v>
      </c>
      <c r="S1347" s="13">
        <v>1701</v>
      </c>
      <c r="T1347" s="13">
        <v>925</v>
      </c>
      <c r="U1347" s="13">
        <v>0</v>
      </c>
      <c r="V1347" s="13">
        <v>0</v>
      </c>
      <c r="W1347" s="37">
        <v>931</v>
      </c>
      <c r="X1347" s="19"/>
      <c r="AG1347" s="16"/>
    </row>
    <row r="1348" spans="2:33" ht="15" thickBot="1">
      <c r="B1348" s="20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7"/>
      <c r="Q1348" s="36" t="s">
        <v>46</v>
      </c>
      <c r="R1348" s="13">
        <v>2588</v>
      </c>
      <c r="S1348" s="13">
        <v>1218</v>
      </c>
      <c r="T1348" s="13">
        <v>0</v>
      </c>
      <c r="U1348" s="13">
        <v>0</v>
      </c>
      <c r="V1348" s="13">
        <v>0</v>
      </c>
      <c r="W1348" s="37">
        <v>1238</v>
      </c>
      <c r="X1348" s="20"/>
      <c r="Y1348" s="15"/>
      <c r="Z1348" s="15"/>
      <c r="AA1348" s="15"/>
      <c r="AB1348" s="15"/>
      <c r="AC1348" s="15"/>
      <c r="AD1348" s="15"/>
      <c r="AE1348" s="15"/>
      <c r="AF1348" s="15"/>
      <c r="AG1348" s="17"/>
    </row>
    <row r="1350" spans="2:33" ht="15" thickBot="1">
      <c r="B1350" s="25" t="s">
        <v>532</v>
      </c>
      <c r="C1350" s="26" t="s">
        <v>533</v>
      </c>
      <c r="D1350" s="26" t="s">
        <v>658</v>
      </c>
      <c r="E1350" s="26" t="s">
        <v>659</v>
      </c>
      <c r="F1350" s="26" t="s">
        <v>660</v>
      </c>
      <c r="G1350" s="26" t="s">
        <v>661</v>
      </c>
      <c r="H1350" s="27" t="s">
        <v>662</v>
      </c>
      <c r="I1350" s="26" t="s">
        <v>663</v>
      </c>
      <c r="J1350" s="27" t="s">
        <v>87</v>
      </c>
      <c r="K1350" s="29">
        <v>17</v>
      </c>
      <c r="L1350" s="29">
        <v>18</v>
      </c>
      <c r="M1350" s="29">
        <v>18</v>
      </c>
      <c r="N1350" s="29">
        <v>18</v>
      </c>
      <c r="O1350" s="29">
        <v>18</v>
      </c>
      <c r="P1350" s="40">
        <v>18</v>
      </c>
      <c r="Q1350" s="1" t="s">
        <v>35</v>
      </c>
      <c r="R1350" s="2">
        <v>1040</v>
      </c>
      <c r="S1350" s="2">
        <v>626</v>
      </c>
      <c r="T1350" s="2">
        <v>0</v>
      </c>
      <c r="U1350" s="2">
        <v>0</v>
      </c>
      <c r="V1350" s="2">
        <v>0</v>
      </c>
      <c r="W1350" s="2">
        <v>855</v>
      </c>
      <c r="X1350" s="43">
        <f>SUM(R1350:W1362)</f>
        <v>32082</v>
      </c>
      <c r="Y1350" s="10">
        <v>46204</v>
      </c>
      <c r="Z1350" s="11">
        <v>0.21915174234314722</v>
      </c>
      <c r="AA1350" s="11">
        <v>0.18274192037163289</v>
      </c>
      <c r="AB1350" s="11">
        <v>0.14726787607165501</v>
      </c>
      <c r="AC1350" s="11">
        <v>0.1287497680516306</v>
      </c>
      <c r="AD1350" s="11">
        <v>0.11447820346270936</v>
      </c>
      <c r="AE1350" s="11">
        <v>0.13149780089791482</v>
      </c>
      <c r="AF1350" s="11">
        <v>0.2</v>
      </c>
      <c r="AG1350" s="11">
        <v>0.23899999999999999</v>
      </c>
    </row>
    <row r="1351" spans="2:33">
      <c r="B1351" s="53" t="s">
        <v>2193</v>
      </c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35"/>
      <c r="Q1351" s="36" t="s">
        <v>36</v>
      </c>
      <c r="R1351" s="13">
        <v>974</v>
      </c>
      <c r="S1351" s="13">
        <v>588</v>
      </c>
      <c r="T1351" s="13">
        <v>0</v>
      </c>
      <c r="U1351" s="13">
        <v>0</v>
      </c>
      <c r="V1351" s="13">
        <v>0</v>
      </c>
      <c r="W1351" s="37">
        <v>721</v>
      </c>
      <c r="X1351" s="18"/>
      <c r="Y1351" s="14"/>
      <c r="Z1351" s="14"/>
      <c r="AA1351" s="14"/>
      <c r="AB1351" s="14"/>
      <c r="AC1351" s="14"/>
      <c r="AD1351" s="14"/>
      <c r="AE1351" s="14"/>
      <c r="AF1351" s="14"/>
      <c r="AG1351" s="35"/>
    </row>
    <row r="1352" spans="2:33">
      <c r="B1352" s="19"/>
      <c r="P1352" s="16"/>
      <c r="Q1352" s="36" t="s">
        <v>37</v>
      </c>
      <c r="R1352" s="13">
        <v>0</v>
      </c>
      <c r="S1352" s="13">
        <v>1049</v>
      </c>
      <c r="T1352" s="13">
        <v>642</v>
      </c>
      <c r="U1352" s="13">
        <v>0</v>
      </c>
      <c r="V1352" s="13">
        <v>0</v>
      </c>
      <c r="W1352" s="37">
        <v>901</v>
      </c>
      <c r="X1352" s="19"/>
      <c r="AG1352" s="16"/>
    </row>
    <row r="1353" spans="2:33">
      <c r="B1353" s="19"/>
      <c r="P1353" s="16"/>
      <c r="Q1353" s="36" t="s">
        <v>38</v>
      </c>
      <c r="R1353" s="13">
        <v>0</v>
      </c>
      <c r="S1353" s="13">
        <v>0</v>
      </c>
      <c r="T1353" s="13">
        <v>0</v>
      </c>
      <c r="U1353" s="13">
        <v>1011</v>
      </c>
      <c r="V1353" s="13">
        <v>610</v>
      </c>
      <c r="W1353" s="37">
        <v>750</v>
      </c>
      <c r="X1353" s="19"/>
      <c r="AG1353" s="16"/>
    </row>
    <row r="1354" spans="2:33">
      <c r="B1354" s="19"/>
      <c r="P1354" s="16"/>
      <c r="Q1354" s="36" t="s">
        <v>39</v>
      </c>
      <c r="R1354" s="13">
        <v>0</v>
      </c>
      <c r="S1354" s="13">
        <v>0</v>
      </c>
      <c r="T1354" s="13">
        <v>0</v>
      </c>
      <c r="U1354" s="13">
        <v>1043</v>
      </c>
      <c r="V1354" s="13">
        <v>622</v>
      </c>
      <c r="W1354" s="37">
        <v>872</v>
      </c>
      <c r="X1354" s="19"/>
      <c r="AG1354" s="16"/>
    </row>
    <row r="1355" spans="2:33">
      <c r="B1355" s="19"/>
      <c r="P1355" s="16"/>
      <c r="Q1355" s="36" t="s">
        <v>40</v>
      </c>
      <c r="R1355" s="13">
        <v>0</v>
      </c>
      <c r="S1355" s="13">
        <v>0</v>
      </c>
      <c r="T1355" s="13">
        <v>1130</v>
      </c>
      <c r="U1355" s="13">
        <v>692</v>
      </c>
      <c r="V1355" s="13">
        <v>0</v>
      </c>
      <c r="W1355" s="37">
        <v>836</v>
      </c>
      <c r="X1355" s="19"/>
      <c r="AG1355" s="16"/>
    </row>
    <row r="1356" spans="2:33">
      <c r="B1356" s="19"/>
      <c r="P1356" s="16"/>
      <c r="Q1356" s="36" t="s">
        <v>41</v>
      </c>
      <c r="R1356" s="13">
        <v>1493</v>
      </c>
      <c r="S1356" s="13">
        <v>898</v>
      </c>
      <c r="T1356" s="13">
        <v>0</v>
      </c>
      <c r="U1356" s="13">
        <v>0</v>
      </c>
      <c r="V1356" s="13">
        <v>0</v>
      </c>
      <c r="W1356" s="37">
        <v>883</v>
      </c>
      <c r="X1356" s="19"/>
      <c r="AG1356" s="16"/>
    </row>
    <row r="1357" spans="2:33">
      <c r="B1357" s="19"/>
      <c r="P1357" s="16"/>
      <c r="Q1357" s="36" t="s">
        <v>551</v>
      </c>
      <c r="R1357" s="13">
        <v>0</v>
      </c>
      <c r="S1357" s="13">
        <v>0</v>
      </c>
      <c r="T1357" s="13">
        <v>138</v>
      </c>
      <c r="U1357" s="13">
        <v>80</v>
      </c>
      <c r="V1357" s="13">
        <v>0</v>
      </c>
      <c r="W1357" s="37">
        <v>185</v>
      </c>
      <c r="X1357" s="19"/>
      <c r="AG1357" s="16"/>
    </row>
    <row r="1358" spans="2:33">
      <c r="B1358" s="19"/>
      <c r="P1358" s="16"/>
      <c r="Q1358" s="36" t="s">
        <v>552</v>
      </c>
      <c r="R1358" s="13">
        <v>0</v>
      </c>
      <c r="S1358" s="13">
        <v>0</v>
      </c>
      <c r="T1358" s="13">
        <v>1236</v>
      </c>
      <c r="U1358" s="13">
        <v>795</v>
      </c>
      <c r="V1358" s="13">
        <v>0</v>
      </c>
      <c r="W1358" s="37">
        <v>878</v>
      </c>
      <c r="X1358" s="19"/>
      <c r="AG1358" s="16"/>
    </row>
    <row r="1359" spans="2:33">
      <c r="B1359" s="19"/>
      <c r="P1359" s="16"/>
      <c r="Q1359" s="36" t="s">
        <v>43</v>
      </c>
      <c r="R1359" s="13">
        <v>0</v>
      </c>
      <c r="S1359" s="13">
        <v>0</v>
      </c>
      <c r="T1359" s="13">
        <v>1240</v>
      </c>
      <c r="U1359" s="13">
        <v>752</v>
      </c>
      <c r="V1359" s="13">
        <v>0</v>
      </c>
      <c r="W1359" s="37">
        <v>890</v>
      </c>
      <c r="X1359" s="19"/>
      <c r="AG1359" s="16"/>
    </row>
    <row r="1360" spans="2:33">
      <c r="B1360" s="19"/>
      <c r="P1360" s="16"/>
      <c r="Q1360" s="36" t="s">
        <v>44</v>
      </c>
      <c r="R1360" s="13">
        <v>0</v>
      </c>
      <c r="S1360" s="13">
        <v>0</v>
      </c>
      <c r="T1360" s="13">
        <v>0</v>
      </c>
      <c r="U1360" s="13">
        <v>1249</v>
      </c>
      <c r="V1360" s="13">
        <v>751</v>
      </c>
      <c r="W1360" s="37">
        <v>807</v>
      </c>
      <c r="X1360" s="19"/>
      <c r="AG1360" s="16"/>
    </row>
    <row r="1361" spans="2:33">
      <c r="B1361" s="19"/>
      <c r="P1361" s="16"/>
      <c r="Q1361" s="36" t="s">
        <v>45</v>
      </c>
      <c r="R1361" s="13">
        <v>0</v>
      </c>
      <c r="S1361" s="13">
        <v>1019</v>
      </c>
      <c r="T1361" s="13">
        <v>600</v>
      </c>
      <c r="U1361" s="13">
        <v>0</v>
      </c>
      <c r="V1361" s="13">
        <v>0</v>
      </c>
      <c r="W1361" s="37">
        <v>788</v>
      </c>
      <c r="X1361" s="19"/>
      <c r="AG1361" s="16"/>
    </row>
    <row r="1362" spans="2:33" ht="15" thickBot="1">
      <c r="B1362" s="20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7"/>
      <c r="Q1362" s="36" t="s">
        <v>46</v>
      </c>
      <c r="R1362" s="13">
        <v>1045</v>
      </c>
      <c r="S1362" s="13">
        <v>630</v>
      </c>
      <c r="T1362" s="13">
        <v>0</v>
      </c>
      <c r="U1362" s="13">
        <v>0</v>
      </c>
      <c r="V1362" s="13">
        <v>0</v>
      </c>
      <c r="W1362" s="37">
        <v>763</v>
      </c>
      <c r="X1362" s="20"/>
      <c r="Y1362" s="15"/>
      <c r="Z1362" s="15"/>
      <c r="AA1362" s="15"/>
      <c r="AB1362" s="15"/>
      <c r="AC1362" s="15"/>
      <c r="AD1362" s="15"/>
      <c r="AE1362" s="15"/>
      <c r="AF1362" s="15"/>
      <c r="AG1362" s="17"/>
    </row>
    <row r="1364" spans="2:33" ht="15" thickBot="1">
      <c r="B1364" s="25" t="s">
        <v>532</v>
      </c>
      <c r="C1364" s="26" t="s">
        <v>533</v>
      </c>
      <c r="D1364" s="26" t="s">
        <v>664</v>
      </c>
      <c r="E1364" s="26" t="s">
        <v>665</v>
      </c>
      <c r="F1364" s="26" t="s">
        <v>666</v>
      </c>
      <c r="G1364" s="26" t="s">
        <v>86</v>
      </c>
      <c r="H1364" s="27" t="s">
        <v>86</v>
      </c>
      <c r="I1364" s="26" t="s">
        <v>667</v>
      </c>
      <c r="J1364" s="27" t="s">
        <v>87</v>
      </c>
      <c r="K1364" s="29">
        <v>70</v>
      </c>
      <c r="L1364" s="29">
        <v>70</v>
      </c>
      <c r="M1364" s="29">
        <v>70</v>
      </c>
      <c r="N1364" s="29">
        <v>70</v>
      </c>
      <c r="O1364" s="29">
        <v>70</v>
      </c>
      <c r="P1364" s="40">
        <v>75</v>
      </c>
      <c r="Q1364" s="1" t="s">
        <v>35</v>
      </c>
      <c r="R1364" s="2">
        <v>7302</v>
      </c>
      <c r="S1364" s="2">
        <v>3827</v>
      </c>
      <c r="T1364" s="2">
        <v>0</v>
      </c>
      <c r="U1364" s="2">
        <v>0</v>
      </c>
      <c r="V1364" s="2">
        <v>0</v>
      </c>
      <c r="W1364" s="2">
        <v>2709</v>
      </c>
      <c r="X1364" s="43">
        <f>SUM(R1364:W1376)</f>
        <v>126996</v>
      </c>
      <c r="Y1364" s="10">
        <v>46204</v>
      </c>
      <c r="Z1364" s="11">
        <v>0.21915174234314722</v>
      </c>
      <c r="AA1364" s="11">
        <v>0.18274192037163289</v>
      </c>
      <c r="AB1364" s="11">
        <v>0.14726787607165501</v>
      </c>
      <c r="AC1364" s="11">
        <v>0.1287497680516306</v>
      </c>
      <c r="AD1364" s="11">
        <v>0.11447820346270936</v>
      </c>
      <c r="AE1364" s="11">
        <v>0.13149780089791482</v>
      </c>
      <c r="AF1364" s="11">
        <v>0.2</v>
      </c>
      <c r="AG1364" s="11">
        <v>0.23899999999999999</v>
      </c>
    </row>
    <row r="1365" spans="2:33">
      <c r="B1365" s="53" t="s">
        <v>2193</v>
      </c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35"/>
      <c r="Q1365" s="36" t="s">
        <v>36</v>
      </c>
      <c r="R1365" s="13">
        <v>5941</v>
      </c>
      <c r="S1365" s="13">
        <v>2928</v>
      </c>
      <c r="T1365" s="13">
        <v>0</v>
      </c>
      <c r="U1365" s="13">
        <v>0</v>
      </c>
      <c r="V1365" s="13">
        <v>0</v>
      </c>
      <c r="W1365" s="37">
        <v>1972</v>
      </c>
      <c r="X1365" s="18"/>
      <c r="Y1365" s="14"/>
      <c r="Z1365" s="14"/>
      <c r="AA1365" s="14"/>
      <c r="AB1365" s="14"/>
      <c r="AC1365" s="14"/>
      <c r="AD1365" s="14"/>
      <c r="AE1365" s="14"/>
      <c r="AF1365" s="14"/>
      <c r="AG1365" s="35"/>
    </row>
    <row r="1366" spans="2:33">
      <c r="B1366" s="19"/>
      <c r="P1366" s="16"/>
      <c r="Q1366" s="36" t="s">
        <v>37</v>
      </c>
      <c r="R1366" s="13">
        <v>0</v>
      </c>
      <c r="S1366" s="13">
        <v>6220</v>
      </c>
      <c r="T1366" s="13">
        <v>3169</v>
      </c>
      <c r="U1366" s="13">
        <v>0</v>
      </c>
      <c r="V1366" s="13">
        <v>0</v>
      </c>
      <c r="W1366" s="37">
        <v>2750</v>
      </c>
      <c r="X1366" s="19"/>
      <c r="AG1366" s="16"/>
    </row>
    <row r="1367" spans="2:33">
      <c r="B1367" s="19"/>
      <c r="P1367" s="16"/>
      <c r="Q1367" s="36" t="s">
        <v>38</v>
      </c>
      <c r="R1367" s="13">
        <v>0</v>
      </c>
      <c r="S1367" s="13">
        <v>0</v>
      </c>
      <c r="T1367" s="13">
        <v>0</v>
      </c>
      <c r="U1367" s="13">
        <v>3575</v>
      </c>
      <c r="V1367" s="13">
        <v>1700</v>
      </c>
      <c r="W1367" s="37">
        <v>1359</v>
      </c>
      <c r="X1367" s="19"/>
      <c r="AG1367" s="16"/>
    </row>
    <row r="1368" spans="2:33">
      <c r="B1368" s="19"/>
      <c r="P1368" s="16"/>
      <c r="Q1368" s="36" t="s">
        <v>39</v>
      </c>
      <c r="R1368" s="13">
        <v>0</v>
      </c>
      <c r="S1368" s="13">
        <v>0</v>
      </c>
      <c r="T1368" s="13">
        <v>0</v>
      </c>
      <c r="U1368" s="13">
        <v>3191</v>
      </c>
      <c r="V1368" s="13">
        <v>1835</v>
      </c>
      <c r="W1368" s="37">
        <v>1393</v>
      </c>
      <c r="X1368" s="19"/>
      <c r="AG1368" s="16"/>
    </row>
    <row r="1369" spans="2:33">
      <c r="B1369" s="19"/>
      <c r="P1369" s="16"/>
      <c r="Q1369" s="36" t="s">
        <v>40</v>
      </c>
      <c r="R1369" s="13">
        <v>0</v>
      </c>
      <c r="S1369" s="13">
        <v>0</v>
      </c>
      <c r="T1369" s="13">
        <v>6502</v>
      </c>
      <c r="U1369" s="13">
        <v>3704</v>
      </c>
      <c r="V1369" s="13">
        <v>0</v>
      </c>
      <c r="W1369" s="37">
        <v>2257</v>
      </c>
      <c r="X1369" s="19"/>
      <c r="AG1369" s="16"/>
    </row>
    <row r="1370" spans="2:33">
      <c r="B1370" s="19"/>
      <c r="P1370" s="16"/>
      <c r="Q1370" s="36" t="s">
        <v>41</v>
      </c>
      <c r="R1370" s="13">
        <v>7400</v>
      </c>
      <c r="S1370" s="13">
        <v>4261</v>
      </c>
      <c r="T1370" s="13">
        <v>0</v>
      </c>
      <c r="U1370" s="13">
        <v>0</v>
      </c>
      <c r="V1370" s="13">
        <v>0</v>
      </c>
      <c r="W1370" s="37">
        <v>1985</v>
      </c>
      <c r="X1370" s="19"/>
      <c r="AG1370" s="16"/>
    </row>
    <row r="1371" spans="2:33">
      <c r="B1371" s="19"/>
      <c r="P1371" s="16"/>
      <c r="Q1371" s="36" t="s">
        <v>551</v>
      </c>
      <c r="R1371" s="13">
        <v>0</v>
      </c>
      <c r="S1371" s="13">
        <v>0</v>
      </c>
      <c r="T1371" s="13">
        <v>621</v>
      </c>
      <c r="U1371" s="13">
        <v>312</v>
      </c>
      <c r="V1371" s="13">
        <v>0</v>
      </c>
      <c r="W1371" s="37">
        <v>447</v>
      </c>
      <c r="X1371" s="19"/>
      <c r="AG1371" s="16"/>
    </row>
    <row r="1372" spans="2:33">
      <c r="B1372" s="19"/>
      <c r="P1372" s="16"/>
      <c r="Q1372" s="36" t="s">
        <v>552</v>
      </c>
      <c r="R1372" s="13">
        <v>0</v>
      </c>
      <c r="S1372" s="13">
        <v>0</v>
      </c>
      <c r="T1372" s="13">
        <v>5811</v>
      </c>
      <c r="U1372" s="13">
        <v>3215</v>
      </c>
      <c r="V1372" s="13">
        <v>0</v>
      </c>
      <c r="W1372" s="37">
        <v>2075</v>
      </c>
      <c r="X1372" s="19"/>
      <c r="AG1372" s="16"/>
    </row>
    <row r="1373" spans="2:33">
      <c r="B1373" s="19"/>
      <c r="P1373" s="16"/>
      <c r="Q1373" s="36" t="s">
        <v>43</v>
      </c>
      <c r="R1373" s="13">
        <v>0</v>
      </c>
      <c r="S1373" s="13">
        <v>0</v>
      </c>
      <c r="T1373" s="13">
        <v>4137</v>
      </c>
      <c r="U1373" s="13">
        <v>2630</v>
      </c>
      <c r="V1373" s="13">
        <v>0</v>
      </c>
      <c r="W1373" s="37">
        <v>1769</v>
      </c>
      <c r="X1373" s="19"/>
      <c r="AG1373" s="16"/>
    </row>
    <row r="1374" spans="2:33">
      <c r="B1374" s="19"/>
      <c r="P1374" s="16"/>
      <c r="Q1374" s="36" t="s">
        <v>44</v>
      </c>
      <c r="R1374" s="13">
        <v>0</v>
      </c>
      <c r="S1374" s="13">
        <v>0</v>
      </c>
      <c r="T1374" s="13">
        <v>0</v>
      </c>
      <c r="U1374" s="13">
        <v>3174</v>
      </c>
      <c r="V1374" s="13">
        <v>1680</v>
      </c>
      <c r="W1374" s="37">
        <v>1089</v>
      </c>
      <c r="X1374" s="19"/>
      <c r="AG1374" s="16"/>
    </row>
    <row r="1375" spans="2:33">
      <c r="B1375" s="19"/>
      <c r="P1375" s="16"/>
      <c r="Q1375" s="36" t="s">
        <v>45</v>
      </c>
      <c r="R1375" s="13">
        <v>0</v>
      </c>
      <c r="S1375" s="13">
        <v>5103</v>
      </c>
      <c r="T1375" s="13">
        <v>2615</v>
      </c>
      <c r="U1375" s="13">
        <v>0</v>
      </c>
      <c r="V1375" s="13">
        <v>0</v>
      </c>
      <c r="W1375" s="37">
        <v>2419</v>
      </c>
      <c r="X1375" s="19"/>
      <c r="AG1375" s="16"/>
    </row>
    <row r="1376" spans="2:33" ht="15" thickBot="1">
      <c r="B1376" s="20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7"/>
      <c r="Q1376" s="36" t="s">
        <v>46</v>
      </c>
      <c r="R1376" s="13">
        <v>7190</v>
      </c>
      <c r="S1376" s="13">
        <v>3616</v>
      </c>
      <c r="T1376" s="13">
        <v>0</v>
      </c>
      <c r="U1376" s="13">
        <v>0</v>
      </c>
      <c r="V1376" s="13">
        <v>0</v>
      </c>
      <c r="W1376" s="37">
        <v>3113</v>
      </c>
      <c r="X1376" s="20"/>
      <c r="Y1376" s="15"/>
      <c r="Z1376" s="15"/>
      <c r="AA1376" s="15"/>
      <c r="AB1376" s="15"/>
      <c r="AC1376" s="15"/>
      <c r="AD1376" s="15"/>
      <c r="AE1376" s="15"/>
      <c r="AF1376" s="15"/>
      <c r="AG1376" s="17"/>
    </row>
    <row r="1378" spans="2:33" ht="15" thickBot="1">
      <c r="B1378" s="25" t="s">
        <v>532</v>
      </c>
      <c r="C1378" s="26" t="s">
        <v>533</v>
      </c>
      <c r="D1378" s="26" t="s">
        <v>668</v>
      </c>
      <c r="E1378" s="26" t="s">
        <v>669</v>
      </c>
      <c r="F1378" s="26" t="s">
        <v>670</v>
      </c>
      <c r="G1378" s="26" t="s">
        <v>671</v>
      </c>
      <c r="H1378" s="27" t="s">
        <v>33</v>
      </c>
      <c r="I1378" s="26" t="s">
        <v>672</v>
      </c>
      <c r="J1378" s="27" t="s">
        <v>87</v>
      </c>
      <c r="K1378" s="29">
        <v>15.0100002288818</v>
      </c>
      <c r="L1378" s="29">
        <v>15.0100002288818</v>
      </c>
      <c r="M1378" s="29">
        <v>15.0100002288818</v>
      </c>
      <c r="N1378" s="29">
        <v>15.0100002288818</v>
      </c>
      <c r="O1378" s="29">
        <v>15.0100002288818</v>
      </c>
      <c r="P1378" s="40">
        <v>15.0100002288818</v>
      </c>
      <c r="Q1378" s="1" t="s">
        <v>35</v>
      </c>
      <c r="R1378" s="2">
        <v>2874</v>
      </c>
      <c r="S1378" s="2">
        <v>1443</v>
      </c>
      <c r="T1378" s="2">
        <v>0</v>
      </c>
      <c r="U1378" s="2">
        <v>0</v>
      </c>
      <c r="V1378" s="2">
        <v>0</v>
      </c>
      <c r="W1378" s="2">
        <v>1732</v>
      </c>
      <c r="X1378" s="43">
        <f>SUM(R1378:W1390)</f>
        <v>54001</v>
      </c>
      <c r="Y1378" s="10">
        <v>46204</v>
      </c>
      <c r="Z1378" s="11">
        <v>0.21915174234314722</v>
      </c>
      <c r="AA1378" s="11">
        <v>0.18274192037163289</v>
      </c>
      <c r="AB1378" s="11">
        <v>0.14726787607165501</v>
      </c>
      <c r="AC1378" s="11">
        <v>0.1287497680516306</v>
      </c>
      <c r="AD1378" s="11">
        <v>0.11447820346270936</v>
      </c>
      <c r="AE1378" s="11">
        <v>0.13149780089791482</v>
      </c>
      <c r="AF1378" s="11">
        <v>0.2</v>
      </c>
      <c r="AG1378" s="11">
        <v>0.23899999999999999</v>
      </c>
    </row>
    <row r="1379" spans="2:33">
      <c r="B1379" s="53" t="s">
        <v>2193</v>
      </c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35"/>
      <c r="Q1379" s="36" t="s">
        <v>36</v>
      </c>
      <c r="R1379" s="13">
        <v>1813</v>
      </c>
      <c r="S1379" s="13">
        <v>893</v>
      </c>
      <c r="T1379" s="13">
        <v>0</v>
      </c>
      <c r="U1379" s="13">
        <v>0</v>
      </c>
      <c r="V1379" s="13">
        <v>0</v>
      </c>
      <c r="W1379" s="37">
        <v>1073</v>
      </c>
      <c r="X1379" s="18"/>
      <c r="Y1379" s="14"/>
      <c r="Z1379" s="14"/>
      <c r="AA1379" s="14"/>
      <c r="AB1379" s="14"/>
      <c r="AC1379" s="14"/>
      <c r="AD1379" s="14"/>
      <c r="AE1379" s="14"/>
      <c r="AF1379" s="14"/>
      <c r="AG1379" s="35"/>
    </row>
    <row r="1380" spans="2:33">
      <c r="B1380" s="19"/>
      <c r="P1380" s="16"/>
      <c r="Q1380" s="36" t="s">
        <v>37</v>
      </c>
      <c r="R1380" s="13">
        <v>0</v>
      </c>
      <c r="S1380" s="13">
        <v>1885</v>
      </c>
      <c r="T1380" s="13">
        <v>930</v>
      </c>
      <c r="U1380" s="13">
        <v>0</v>
      </c>
      <c r="V1380" s="13">
        <v>0</v>
      </c>
      <c r="W1380" s="37">
        <v>1443</v>
      </c>
      <c r="X1380" s="19"/>
      <c r="AG1380" s="16"/>
    </row>
    <row r="1381" spans="2:33">
      <c r="B1381" s="19"/>
      <c r="P1381" s="16"/>
      <c r="Q1381" s="36" t="s">
        <v>38</v>
      </c>
      <c r="R1381" s="13">
        <v>0</v>
      </c>
      <c r="S1381" s="13">
        <v>0</v>
      </c>
      <c r="T1381" s="13">
        <v>0</v>
      </c>
      <c r="U1381" s="13">
        <v>1771</v>
      </c>
      <c r="V1381" s="13">
        <v>919</v>
      </c>
      <c r="W1381" s="37">
        <v>1079</v>
      </c>
      <c r="X1381" s="19"/>
      <c r="AG1381" s="16"/>
    </row>
    <row r="1382" spans="2:33">
      <c r="B1382" s="19"/>
      <c r="P1382" s="16"/>
      <c r="Q1382" s="36" t="s">
        <v>39</v>
      </c>
      <c r="R1382" s="13">
        <v>0</v>
      </c>
      <c r="S1382" s="13">
        <v>0</v>
      </c>
      <c r="T1382" s="13">
        <v>0</v>
      </c>
      <c r="U1382" s="13">
        <v>2145</v>
      </c>
      <c r="V1382" s="13">
        <v>1124</v>
      </c>
      <c r="W1382" s="37">
        <v>1464</v>
      </c>
      <c r="X1382" s="19"/>
      <c r="AG1382" s="16"/>
    </row>
    <row r="1383" spans="2:33">
      <c r="B1383" s="19"/>
      <c r="P1383" s="16"/>
      <c r="Q1383" s="36" t="s">
        <v>40</v>
      </c>
      <c r="R1383" s="13">
        <v>0</v>
      </c>
      <c r="S1383" s="13">
        <v>0</v>
      </c>
      <c r="T1383" s="13">
        <v>3369</v>
      </c>
      <c r="U1383" s="13">
        <v>1802</v>
      </c>
      <c r="V1383" s="13">
        <v>0</v>
      </c>
      <c r="W1383" s="37">
        <v>2035</v>
      </c>
      <c r="X1383" s="19"/>
      <c r="AG1383" s="16"/>
    </row>
    <row r="1384" spans="2:33">
      <c r="B1384" s="19"/>
      <c r="P1384" s="16"/>
      <c r="Q1384" s="36" t="s">
        <v>41</v>
      </c>
      <c r="R1384" s="13">
        <v>1949</v>
      </c>
      <c r="S1384" s="13">
        <v>1016</v>
      </c>
      <c r="T1384" s="13">
        <v>0</v>
      </c>
      <c r="U1384" s="13">
        <v>0</v>
      </c>
      <c r="V1384" s="13">
        <v>0</v>
      </c>
      <c r="W1384" s="37">
        <v>1060</v>
      </c>
      <c r="X1384" s="19"/>
      <c r="AG1384" s="16"/>
    </row>
    <row r="1385" spans="2:33">
      <c r="B1385" s="19"/>
      <c r="P1385" s="16"/>
      <c r="Q1385" s="36" t="s">
        <v>551</v>
      </c>
      <c r="R1385" s="13">
        <v>0</v>
      </c>
      <c r="S1385" s="13">
        <v>0</v>
      </c>
      <c r="T1385" s="13">
        <v>168</v>
      </c>
      <c r="U1385" s="13">
        <v>88</v>
      </c>
      <c r="V1385" s="13">
        <v>0</v>
      </c>
      <c r="W1385" s="37">
        <v>257</v>
      </c>
      <c r="X1385" s="19"/>
      <c r="AG1385" s="16"/>
    </row>
    <row r="1386" spans="2:33">
      <c r="B1386" s="19"/>
      <c r="P1386" s="16"/>
      <c r="Q1386" s="36" t="s">
        <v>552</v>
      </c>
      <c r="R1386" s="13">
        <v>0</v>
      </c>
      <c r="S1386" s="13">
        <v>0</v>
      </c>
      <c r="T1386" s="13">
        <v>1657</v>
      </c>
      <c r="U1386" s="13">
        <v>845</v>
      </c>
      <c r="V1386" s="13">
        <v>0</v>
      </c>
      <c r="W1386" s="37">
        <v>1256</v>
      </c>
      <c r="X1386" s="19"/>
      <c r="AG1386" s="16"/>
    </row>
    <row r="1387" spans="2:33">
      <c r="B1387" s="19"/>
      <c r="P1387" s="16"/>
      <c r="Q1387" s="36" t="s">
        <v>43</v>
      </c>
      <c r="R1387" s="13">
        <v>0</v>
      </c>
      <c r="S1387" s="13">
        <v>0</v>
      </c>
      <c r="T1387" s="13">
        <v>2126</v>
      </c>
      <c r="U1387" s="13">
        <v>1108</v>
      </c>
      <c r="V1387" s="13">
        <v>0</v>
      </c>
      <c r="W1387" s="37">
        <v>1200</v>
      </c>
      <c r="X1387" s="19"/>
      <c r="AG1387" s="16"/>
    </row>
    <row r="1388" spans="2:33">
      <c r="B1388" s="19"/>
      <c r="P1388" s="16"/>
      <c r="Q1388" s="36" t="s">
        <v>44</v>
      </c>
      <c r="R1388" s="13">
        <v>0</v>
      </c>
      <c r="S1388" s="13">
        <v>0</v>
      </c>
      <c r="T1388" s="13">
        <v>0</v>
      </c>
      <c r="U1388" s="13">
        <v>2022</v>
      </c>
      <c r="V1388" s="13">
        <v>1033</v>
      </c>
      <c r="W1388" s="37">
        <v>1121</v>
      </c>
      <c r="X1388" s="19"/>
      <c r="AG1388" s="16"/>
    </row>
    <row r="1389" spans="2:33">
      <c r="B1389" s="19"/>
      <c r="P1389" s="16"/>
      <c r="Q1389" s="36" t="s">
        <v>45</v>
      </c>
      <c r="R1389" s="13">
        <v>0</v>
      </c>
      <c r="S1389" s="13">
        <v>1617</v>
      </c>
      <c r="T1389" s="13">
        <v>807</v>
      </c>
      <c r="U1389" s="13">
        <v>0</v>
      </c>
      <c r="V1389" s="13">
        <v>0</v>
      </c>
      <c r="W1389" s="37">
        <v>1174</v>
      </c>
      <c r="X1389" s="19"/>
      <c r="AG1389" s="16"/>
    </row>
    <row r="1390" spans="2:33" ht="15" thickBot="1">
      <c r="B1390" s="20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7"/>
      <c r="Q1390" s="36" t="s">
        <v>46</v>
      </c>
      <c r="R1390" s="13">
        <v>1715</v>
      </c>
      <c r="S1390" s="13">
        <v>869</v>
      </c>
      <c r="T1390" s="13">
        <v>0</v>
      </c>
      <c r="U1390" s="13">
        <v>0</v>
      </c>
      <c r="V1390" s="13">
        <v>0</v>
      </c>
      <c r="W1390" s="37">
        <v>1119</v>
      </c>
      <c r="X1390" s="20"/>
      <c r="Y1390" s="15"/>
      <c r="Z1390" s="15"/>
      <c r="AA1390" s="15"/>
      <c r="AB1390" s="15"/>
      <c r="AC1390" s="15"/>
      <c r="AD1390" s="15"/>
      <c r="AE1390" s="15"/>
      <c r="AF1390" s="15"/>
      <c r="AG1390" s="17"/>
    </row>
    <row r="1392" spans="2:33" ht="15" thickBot="1">
      <c r="B1392" s="25" t="s">
        <v>532</v>
      </c>
      <c r="C1392" s="26" t="s">
        <v>533</v>
      </c>
      <c r="D1392" s="26" t="s">
        <v>673</v>
      </c>
      <c r="E1392" s="26" t="s">
        <v>674</v>
      </c>
      <c r="F1392" s="26" t="s">
        <v>675</v>
      </c>
      <c r="G1392" s="26" t="s">
        <v>676</v>
      </c>
      <c r="H1392" s="27" t="s">
        <v>677</v>
      </c>
      <c r="I1392" s="26" t="s">
        <v>678</v>
      </c>
      <c r="J1392" s="27" t="s">
        <v>87</v>
      </c>
      <c r="K1392" s="29">
        <v>20</v>
      </c>
      <c r="L1392" s="29">
        <v>20</v>
      </c>
      <c r="M1392" s="29">
        <v>20</v>
      </c>
      <c r="N1392" s="29">
        <v>20</v>
      </c>
      <c r="O1392" s="29">
        <v>20</v>
      </c>
      <c r="P1392" s="40">
        <v>30</v>
      </c>
      <c r="Q1392" s="1" t="s">
        <v>35</v>
      </c>
      <c r="R1392" s="2">
        <v>2515</v>
      </c>
      <c r="S1392" s="2">
        <v>1414</v>
      </c>
      <c r="T1392" s="2">
        <v>0</v>
      </c>
      <c r="U1392" s="2">
        <v>0</v>
      </c>
      <c r="V1392" s="2">
        <v>0</v>
      </c>
      <c r="W1392" s="2">
        <v>858</v>
      </c>
      <c r="X1392" s="43">
        <f>SUM(R1392:W1405)</f>
        <v>44686</v>
      </c>
      <c r="Y1392" s="10">
        <v>46204</v>
      </c>
      <c r="Z1392" s="11">
        <v>0.21915174234314722</v>
      </c>
      <c r="AA1392" s="11">
        <v>0.18274192037163289</v>
      </c>
      <c r="AB1392" s="11">
        <v>0.14726787607165501</v>
      </c>
      <c r="AC1392" s="11">
        <v>0.1287497680516306</v>
      </c>
      <c r="AD1392" s="11">
        <v>0.11447820346270936</v>
      </c>
      <c r="AE1392" s="11">
        <v>0.13149780089791482</v>
      </c>
      <c r="AF1392" s="11">
        <v>0.2</v>
      </c>
      <c r="AG1392" s="11">
        <v>0.23899999999999999</v>
      </c>
    </row>
    <row r="1393" spans="2:33">
      <c r="B1393" s="53" t="s">
        <v>2193</v>
      </c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35"/>
      <c r="Q1393" s="36" t="s">
        <v>36</v>
      </c>
      <c r="R1393" s="13">
        <v>2067</v>
      </c>
      <c r="S1393" s="13">
        <v>1094</v>
      </c>
      <c r="T1393" s="13">
        <v>0</v>
      </c>
      <c r="U1393" s="13">
        <v>0</v>
      </c>
      <c r="V1393" s="13">
        <v>0</v>
      </c>
      <c r="W1393" s="37">
        <v>819</v>
      </c>
      <c r="X1393" s="18"/>
      <c r="Y1393" s="14"/>
      <c r="Z1393" s="14"/>
      <c r="AA1393" s="14"/>
      <c r="AB1393" s="14"/>
      <c r="AC1393" s="14"/>
      <c r="AD1393" s="14"/>
      <c r="AE1393" s="14"/>
      <c r="AF1393" s="14"/>
      <c r="AG1393" s="35"/>
    </row>
    <row r="1394" spans="2:33">
      <c r="B1394" s="19"/>
      <c r="P1394" s="16"/>
      <c r="Q1394" s="36" t="s">
        <v>37</v>
      </c>
      <c r="R1394" s="13">
        <v>0</v>
      </c>
      <c r="S1394" s="13">
        <v>2211</v>
      </c>
      <c r="T1394" s="13">
        <v>1071</v>
      </c>
      <c r="U1394" s="13">
        <v>0</v>
      </c>
      <c r="V1394" s="13">
        <v>0</v>
      </c>
      <c r="W1394" s="37">
        <v>904</v>
      </c>
      <c r="X1394" s="19"/>
      <c r="AG1394" s="16"/>
    </row>
    <row r="1395" spans="2:33">
      <c r="B1395" s="19"/>
      <c r="P1395" s="16"/>
      <c r="Q1395" s="36" t="s">
        <v>38</v>
      </c>
      <c r="R1395" s="13">
        <v>0</v>
      </c>
      <c r="S1395" s="13">
        <v>0</v>
      </c>
      <c r="T1395" s="13">
        <v>0</v>
      </c>
      <c r="U1395" s="13">
        <v>1436</v>
      </c>
      <c r="V1395" s="13">
        <v>728</v>
      </c>
      <c r="W1395" s="37">
        <v>640</v>
      </c>
      <c r="X1395" s="19"/>
      <c r="AG1395" s="16"/>
    </row>
    <row r="1396" spans="2:33">
      <c r="B1396" s="19"/>
      <c r="P1396" s="16"/>
      <c r="Q1396" s="36" t="s">
        <v>39</v>
      </c>
      <c r="R1396" s="13">
        <v>0</v>
      </c>
      <c r="S1396" s="13">
        <v>0</v>
      </c>
      <c r="T1396" s="13">
        <v>0</v>
      </c>
      <c r="U1396" s="13">
        <v>1495</v>
      </c>
      <c r="V1396" s="13">
        <v>816</v>
      </c>
      <c r="W1396" s="37">
        <v>669</v>
      </c>
      <c r="X1396" s="19"/>
      <c r="AG1396" s="16"/>
    </row>
    <row r="1397" spans="2:33">
      <c r="B1397" s="19"/>
      <c r="P1397" s="16"/>
      <c r="Q1397" s="36" t="s">
        <v>40</v>
      </c>
      <c r="R1397" s="13">
        <v>0</v>
      </c>
      <c r="S1397" s="13">
        <v>0</v>
      </c>
      <c r="T1397" s="13">
        <v>1846</v>
      </c>
      <c r="U1397" s="13">
        <v>983</v>
      </c>
      <c r="V1397" s="13">
        <v>0</v>
      </c>
      <c r="W1397" s="37">
        <v>673</v>
      </c>
      <c r="X1397" s="19"/>
      <c r="AG1397" s="16"/>
    </row>
    <row r="1398" spans="2:33">
      <c r="B1398" s="19"/>
      <c r="P1398" s="16"/>
      <c r="Q1398" s="36" t="s">
        <v>41</v>
      </c>
      <c r="R1398" s="13">
        <v>2029</v>
      </c>
      <c r="S1398" s="13">
        <v>1064</v>
      </c>
      <c r="T1398" s="13">
        <v>0</v>
      </c>
      <c r="U1398" s="13">
        <v>0</v>
      </c>
      <c r="V1398" s="13">
        <v>0</v>
      </c>
      <c r="W1398" s="37">
        <v>694</v>
      </c>
      <c r="X1398" s="19"/>
      <c r="AG1398" s="16"/>
    </row>
    <row r="1399" spans="2:33">
      <c r="B1399" s="19"/>
      <c r="P1399" s="16"/>
      <c r="Q1399" s="36" t="s">
        <v>551</v>
      </c>
      <c r="R1399" s="13">
        <v>0</v>
      </c>
      <c r="S1399" s="13">
        <v>0</v>
      </c>
      <c r="T1399" s="13">
        <v>175</v>
      </c>
      <c r="U1399" s="13">
        <v>74</v>
      </c>
      <c r="V1399" s="13">
        <v>0</v>
      </c>
      <c r="W1399" s="37">
        <v>172</v>
      </c>
      <c r="X1399" s="19"/>
      <c r="AG1399" s="16"/>
    </row>
    <row r="1400" spans="2:33">
      <c r="B1400" s="19"/>
      <c r="P1400" s="16"/>
      <c r="Q1400" s="36" t="s">
        <v>552</v>
      </c>
      <c r="R1400" s="13">
        <v>0</v>
      </c>
      <c r="S1400" s="13">
        <v>0</v>
      </c>
      <c r="T1400" s="13">
        <v>1761</v>
      </c>
      <c r="U1400" s="13">
        <v>1007</v>
      </c>
      <c r="V1400" s="13">
        <v>0</v>
      </c>
      <c r="W1400" s="37">
        <v>661</v>
      </c>
      <c r="X1400" s="19"/>
      <c r="AG1400" s="16"/>
    </row>
    <row r="1401" spans="2:33">
      <c r="B1401" s="19"/>
      <c r="P1401" s="16"/>
      <c r="Q1401" s="36" t="s">
        <v>43</v>
      </c>
      <c r="R1401" s="13">
        <v>0</v>
      </c>
      <c r="S1401" s="13">
        <v>0</v>
      </c>
      <c r="T1401" s="13">
        <v>1726</v>
      </c>
      <c r="U1401" s="13">
        <v>942</v>
      </c>
      <c r="V1401" s="13">
        <v>0</v>
      </c>
      <c r="W1401" s="37">
        <v>655</v>
      </c>
      <c r="X1401" s="19"/>
      <c r="AG1401" s="16"/>
    </row>
    <row r="1402" spans="2:33">
      <c r="B1402" s="19"/>
      <c r="P1402" s="16"/>
      <c r="Q1402" s="36" t="s">
        <v>44</v>
      </c>
      <c r="R1402" s="13">
        <v>0</v>
      </c>
      <c r="S1402" s="13">
        <v>0</v>
      </c>
      <c r="T1402" s="13">
        <v>0</v>
      </c>
      <c r="U1402" s="13">
        <v>1654</v>
      </c>
      <c r="V1402" s="13">
        <v>876</v>
      </c>
      <c r="W1402" s="37">
        <v>577</v>
      </c>
      <c r="X1402" s="19"/>
      <c r="AG1402" s="16"/>
    </row>
    <row r="1403" spans="2:33">
      <c r="B1403" s="19"/>
      <c r="P1403" s="16"/>
      <c r="Q1403" s="36" t="s">
        <v>539</v>
      </c>
      <c r="R1403" s="13">
        <v>0</v>
      </c>
      <c r="S1403" s="13">
        <v>1595</v>
      </c>
      <c r="T1403" s="13">
        <v>807</v>
      </c>
      <c r="U1403" s="13">
        <v>0</v>
      </c>
      <c r="V1403" s="13">
        <v>0</v>
      </c>
      <c r="W1403" s="37">
        <v>605</v>
      </c>
      <c r="X1403" s="19"/>
      <c r="AG1403" s="16"/>
    </row>
    <row r="1404" spans="2:33">
      <c r="B1404" s="19"/>
      <c r="P1404" s="16"/>
      <c r="Q1404" s="36" t="s">
        <v>540</v>
      </c>
      <c r="R1404" s="13">
        <v>0</v>
      </c>
      <c r="S1404" s="13">
        <v>367</v>
      </c>
      <c r="T1404" s="13">
        <v>207</v>
      </c>
      <c r="U1404" s="13">
        <v>0</v>
      </c>
      <c r="V1404" s="13">
        <v>0</v>
      </c>
      <c r="W1404" s="37">
        <v>227</v>
      </c>
      <c r="X1404" s="19"/>
      <c r="AG1404" s="16"/>
    </row>
    <row r="1405" spans="2:33" ht="15" thickBot="1">
      <c r="B1405" s="20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7"/>
      <c r="Q1405" s="36" t="s">
        <v>46</v>
      </c>
      <c r="R1405" s="13">
        <v>2506</v>
      </c>
      <c r="S1405" s="13">
        <v>1384</v>
      </c>
      <c r="T1405" s="13">
        <v>0</v>
      </c>
      <c r="U1405" s="13">
        <v>0</v>
      </c>
      <c r="V1405" s="13">
        <v>0</v>
      </c>
      <c r="W1405" s="37">
        <v>682</v>
      </c>
      <c r="X1405" s="20"/>
      <c r="Y1405" s="15"/>
      <c r="Z1405" s="15"/>
      <c r="AA1405" s="15"/>
      <c r="AB1405" s="15"/>
      <c r="AC1405" s="15"/>
      <c r="AD1405" s="15"/>
      <c r="AE1405" s="15"/>
      <c r="AF1405" s="15"/>
      <c r="AG1405" s="17"/>
    </row>
    <row r="1407" spans="2:33" ht="15" thickBot="1">
      <c r="B1407" s="25" t="s">
        <v>532</v>
      </c>
      <c r="C1407" s="26" t="s">
        <v>533</v>
      </c>
      <c r="D1407" s="26" t="s">
        <v>679</v>
      </c>
      <c r="E1407" s="26" t="s">
        <v>680</v>
      </c>
      <c r="F1407" s="26" t="s">
        <v>681</v>
      </c>
      <c r="G1407" s="26" t="s">
        <v>682</v>
      </c>
      <c r="H1407" s="27" t="s">
        <v>683</v>
      </c>
      <c r="I1407" s="26" t="s">
        <v>684</v>
      </c>
      <c r="J1407" s="27" t="s">
        <v>87</v>
      </c>
      <c r="K1407" s="29">
        <v>21</v>
      </c>
      <c r="L1407" s="29">
        <v>21</v>
      </c>
      <c r="M1407" s="29">
        <v>21</v>
      </c>
      <c r="N1407" s="29">
        <v>21</v>
      </c>
      <c r="O1407" s="29">
        <v>21</v>
      </c>
      <c r="P1407" s="40">
        <v>21</v>
      </c>
      <c r="Q1407" s="1" t="s">
        <v>35</v>
      </c>
      <c r="R1407" s="2">
        <v>2752</v>
      </c>
      <c r="S1407" s="2">
        <v>521</v>
      </c>
      <c r="T1407" s="2">
        <v>0</v>
      </c>
      <c r="U1407" s="2">
        <v>0</v>
      </c>
      <c r="V1407" s="2">
        <v>0</v>
      </c>
      <c r="W1407" s="2">
        <v>759</v>
      </c>
      <c r="X1407" s="43">
        <f>SUM(R1407:W1419)</f>
        <v>30562</v>
      </c>
      <c r="Y1407" s="10">
        <v>46204</v>
      </c>
      <c r="Z1407" s="11">
        <v>0.21915174234314722</v>
      </c>
      <c r="AA1407" s="11">
        <v>0.18274192037163289</v>
      </c>
      <c r="AB1407" s="11">
        <v>0.14726787607165501</v>
      </c>
      <c r="AC1407" s="11">
        <v>0.1287497680516306</v>
      </c>
      <c r="AD1407" s="11">
        <v>0.11447820346270936</v>
      </c>
      <c r="AE1407" s="11">
        <v>0.13149780089791482</v>
      </c>
      <c r="AF1407" s="11">
        <v>0.2</v>
      </c>
      <c r="AG1407" s="11">
        <v>0.23899999999999999</v>
      </c>
    </row>
    <row r="1408" spans="2:33">
      <c r="B1408" s="53" t="s">
        <v>2193</v>
      </c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35"/>
      <c r="Q1408" s="36" t="s">
        <v>36</v>
      </c>
      <c r="R1408" s="13">
        <v>2229</v>
      </c>
      <c r="S1408" s="13">
        <v>306</v>
      </c>
      <c r="T1408" s="13">
        <v>0</v>
      </c>
      <c r="U1408" s="13">
        <v>0</v>
      </c>
      <c r="V1408" s="13">
        <v>0</v>
      </c>
      <c r="W1408" s="37">
        <v>698</v>
      </c>
      <c r="X1408" s="18"/>
      <c r="Y1408" s="14"/>
      <c r="Z1408" s="14"/>
      <c r="AA1408" s="14"/>
      <c r="AB1408" s="14"/>
      <c r="AC1408" s="14"/>
      <c r="AD1408" s="14"/>
      <c r="AE1408" s="14"/>
      <c r="AF1408" s="14"/>
      <c r="AG1408" s="35"/>
    </row>
    <row r="1409" spans="2:33">
      <c r="B1409" s="19"/>
      <c r="P1409" s="16"/>
      <c r="Q1409" s="36" t="s">
        <v>37</v>
      </c>
      <c r="R1409" s="13">
        <v>0</v>
      </c>
      <c r="S1409" s="13">
        <v>2225</v>
      </c>
      <c r="T1409" s="13">
        <v>424</v>
      </c>
      <c r="U1409" s="13">
        <v>0</v>
      </c>
      <c r="V1409" s="13">
        <v>0</v>
      </c>
      <c r="W1409" s="37">
        <v>906</v>
      </c>
      <c r="X1409" s="19"/>
      <c r="AG1409" s="16"/>
    </row>
    <row r="1410" spans="2:33">
      <c r="B1410" s="19"/>
      <c r="P1410" s="16"/>
      <c r="Q1410" s="36" t="s">
        <v>38</v>
      </c>
      <c r="R1410" s="13">
        <v>0</v>
      </c>
      <c r="S1410" s="13">
        <v>0</v>
      </c>
      <c r="T1410" s="13">
        <v>0</v>
      </c>
      <c r="U1410" s="13">
        <v>1274</v>
      </c>
      <c r="V1410" s="13">
        <v>309</v>
      </c>
      <c r="W1410" s="37">
        <v>527</v>
      </c>
      <c r="X1410" s="19"/>
      <c r="AG1410" s="16"/>
    </row>
    <row r="1411" spans="2:33">
      <c r="B1411" s="19"/>
      <c r="P1411" s="16"/>
      <c r="Q1411" s="36" t="s">
        <v>39</v>
      </c>
      <c r="R1411" s="13">
        <v>0</v>
      </c>
      <c r="S1411" s="13">
        <v>0</v>
      </c>
      <c r="T1411" s="13">
        <v>0</v>
      </c>
      <c r="U1411" s="13">
        <v>1206</v>
      </c>
      <c r="V1411" s="13">
        <v>263</v>
      </c>
      <c r="W1411" s="37">
        <v>453</v>
      </c>
      <c r="X1411" s="19"/>
      <c r="AG1411" s="16"/>
    </row>
    <row r="1412" spans="2:33">
      <c r="B1412" s="19"/>
      <c r="P1412" s="16"/>
      <c r="Q1412" s="36" t="s">
        <v>40</v>
      </c>
      <c r="R1412" s="13">
        <v>0</v>
      </c>
      <c r="S1412" s="13">
        <v>0</v>
      </c>
      <c r="T1412" s="13">
        <v>1094</v>
      </c>
      <c r="U1412" s="13">
        <v>293</v>
      </c>
      <c r="V1412" s="13">
        <v>0</v>
      </c>
      <c r="W1412" s="37">
        <v>419</v>
      </c>
      <c r="X1412" s="19"/>
      <c r="AG1412" s="16"/>
    </row>
    <row r="1413" spans="2:33">
      <c r="B1413" s="19"/>
      <c r="P1413" s="16"/>
      <c r="Q1413" s="36" t="s">
        <v>41</v>
      </c>
      <c r="R1413" s="13">
        <v>1147</v>
      </c>
      <c r="S1413" s="13">
        <v>278</v>
      </c>
      <c r="T1413" s="13">
        <v>0</v>
      </c>
      <c r="U1413" s="13">
        <v>0</v>
      </c>
      <c r="V1413" s="13">
        <v>0</v>
      </c>
      <c r="W1413" s="37">
        <v>371</v>
      </c>
      <c r="X1413" s="19"/>
      <c r="AG1413" s="16"/>
    </row>
    <row r="1414" spans="2:33">
      <c r="B1414" s="19"/>
      <c r="P1414" s="16"/>
      <c r="Q1414" s="36" t="s">
        <v>551</v>
      </c>
      <c r="R1414" s="13">
        <v>0</v>
      </c>
      <c r="S1414" s="13">
        <v>0</v>
      </c>
      <c r="T1414" s="13">
        <v>101</v>
      </c>
      <c r="U1414" s="13">
        <v>22</v>
      </c>
      <c r="V1414" s="13">
        <v>0</v>
      </c>
      <c r="W1414" s="37">
        <v>54</v>
      </c>
      <c r="X1414" s="19"/>
      <c r="AG1414" s="16"/>
    </row>
    <row r="1415" spans="2:33">
      <c r="B1415" s="19"/>
      <c r="P1415" s="16"/>
      <c r="Q1415" s="36" t="s">
        <v>552</v>
      </c>
      <c r="R1415" s="13">
        <v>0</v>
      </c>
      <c r="S1415" s="13">
        <v>0</v>
      </c>
      <c r="T1415" s="13">
        <v>1091</v>
      </c>
      <c r="U1415" s="13">
        <v>267</v>
      </c>
      <c r="V1415" s="13">
        <v>0</v>
      </c>
      <c r="W1415" s="37">
        <v>246</v>
      </c>
      <c r="X1415" s="19"/>
      <c r="AG1415" s="16"/>
    </row>
    <row r="1416" spans="2:33">
      <c r="B1416" s="19"/>
      <c r="P1416" s="16"/>
      <c r="Q1416" s="36" t="s">
        <v>43</v>
      </c>
      <c r="R1416" s="13">
        <v>0</v>
      </c>
      <c r="S1416" s="13">
        <v>0</v>
      </c>
      <c r="T1416" s="13">
        <v>1154</v>
      </c>
      <c r="U1416" s="13">
        <v>253</v>
      </c>
      <c r="V1416" s="13">
        <v>0</v>
      </c>
      <c r="W1416" s="37">
        <v>361</v>
      </c>
      <c r="X1416" s="19"/>
      <c r="AG1416" s="16"/>
    </row>
    <row r="1417" spans="2:33">
      <c r="B1417" s="19"/>
      <c r="P1417" s="16"/>
      <c r="Q1417" s="36" t="s">
        <v>44</v>
      </c>
      <c r="R1417" s="13">
        <v>0</v>
      </c>
      <c r="S1417" s="13">
        <v>0</v>
      </c>
      <c r="T1417" s="13">
        <v>0</v>
      </c>
      <c r="U1417" s="13">
        <v>1145</v>
      </c>
      <c r="V1417" s="13">
        <v>245</v>
      </c>
      <c r="W1417" s="37">
        <v>371</v>
      </c>
      <c r="X1417" s="19"/>
      <c r="AG1417" s="16"/>
    </row>
    <row r="1418" spans="2:33">
      <c r="B1418" s="19"/>
      <c r="P1418" s="16"/>
      <c r="Q1418" s="36" t="s">
        <v>45</v>
      </c>
      <c r="R1418" s="13">
        <v>0</v>
      </c>
      <c r="S1418" s="13">
        <v>1854</v>
      </c>
      <c r="T1418" s="13">
        <v>394</v>
      </c>
      <c r="U1418" s="13">
        <v>0</v>
      </c>
      <c r="V1418" s="13">
        <v>0</v>
      </c>
      <c r="W1418" s="37">
        <v>699</v>
      </c>
      <c r="X1418" s="19"/>
      <c r="AG1418" s="16"/>
    </row>
    <row r="1419" spans="2:33" ht="15" thickBot="1">
      <c r="B1419" s="20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7"/>
      <c r="Q1419" s="36" t="s">
        <v>46</v>
      </c>
      <c r="R1419" s="13">
        <v>2485</v>
      </c>
      <c r="S1419" s="13">
        <v>545</v>
      </c>
      <c r="T1419" s="13">
        <v>0</v>
      </c>
      <c r="U1419" s="13">
        <v>0</v>
      </c>
      <c r="V1419" s="13">
        <v>0</v>
      </c>
      <c r="W1419" s="37">
        <v>821</v>
      </c>
      <c r="X1419" s="20"/>
      <c r="Y1419" s="15"/>
      <c r="Z1419" s="15"/>
      <c r="AA1419" s="15"/>
      <c r="AB1419" s="15"/>
      <c r="AC1419" s="15"/>
      <c r="AD1419" s="15"/>
      <c r="AE1419" s="15"/>
      <c r="AF1419" s="15"/>
      <c r="AG1419" s="17"/>
    </row>
    <row r="1421" spans="2:33" ht="15" thickBot="1">
      <c r="B1421" s="25" t="s">
        <v>532</v>
      </c>
      <c r="C1421" s="26" t="s">
        <v>533</v>
      </c>
      <c r="D1421" s="26" t="s">
        <v>685</v>
      </c>
      <c r="E1421" s="26" t="s">
        <v>686</v>
      </c>
      <c r="F1421" s="26" t="s">
        <v>687</v>
      </c>
      <c r="G1421" s="26" t="s">
        <v>108</v>
      </c>
      <c r="H1421" s="27" t="s">
        <v>108</v>
      </c>
      <c r="I1421" s="26" t="s">
        <v>688</v>
      </c>
      <c r="J1421" s="27" t="s">
        <v>87</v>
      </c>
      <c r="K1421" s="29">
        <v>18</v>
      </c>
      <c r="L1421" s="29">
        <v>18</v>
      </c>
      <c r="M1421" s="29">
        <v>18</v>
      </c>
      <c r="N1421" s="29">
        <v>18</v>
      </c>
      <c r="O1421" s="29">
        <v>18</v>
      </c>
      <c r="P1421" s="40">
        <v>18</v>
      </c>
      <c r="Q1421" s="1" t="s">
        <v>35</v>
      </c>
      <c r="R1421" s="2">
        <v>1569.6800537109375</v>
      </c>
      <c r="S1421" s="2">
        <v>3480.199951171875</v>
      </c>
      <c r="T1421" s="2">
        <v>0</v>
      </c>
      <c r="U1421" s="2">
        <v>0</v>
      </c>
      <c r="V1421" s="2">
        <v>0</v>
      </c>
      <c r="W1421" s="2">
        <v>624.1199951171875</v>
      </c>
      <c r="X1421" s="43">
        <f>SUM(R1421:W1433)</f>
        <v>99765.020446777344</v>
      </c>
      <c r="Y1421" s="10">
        <v>46204</v>
      </c>
      <c r="Z1421" s="11">
        <v>0.21915174234314722</v>
      </c>
      <c r="AA1421" s="11">
        <v>0.18274192037163289</v>
      </c>
      <c r="AB1421" s="11">
        <v>0.14726787607165501</v>
      </c>
      <c r="AC1421" s="11">
        <v>0.1287497680516306</v>
      </c>
      <c r="AD1421" s="11">
        <v>0.11447820346270936</v>
      </c>
      <c r="AE1421" s="11">
        <v>0.13149780089791482</v>
      </c>
      <c r="AF1421" s="11">
        <v>0.2</v>
      </c>
      <c r="AG1421" s="11">
        <v>0.23899999999999999</v>
      </c>
    </row>
    <row r="1422" spans="2:33">
      <c r="B1422" s="53" t="s">
        <v>2193</v>
      </c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35"/>
      <c r="Q1422" s="36" t="s">
        <v>36</v>
      </c>
      <c r="R1422" s="13">
        <v>1361.9599609375</v>
      </c>
      <c r="S1422" s="13">
        <v>3293.719970703125</v>
      </c>
      <c r="T1422" s="13">
        <v>0</v>
      </c>
      <c r="U1422" s="13">
        <v>0</v>
      </c>
      <c r="V1422" s="13">
        <v>0</v>
      </c>
      <c r="W1422" s="37">
        <v>421.32000732421875</v>
      </c>
      <c r="X1422" s="18"/>
      <c r="Y1422" s="14"/>
      <c r="Z1422" s="14"/>
      <c r="AA1422" s="14"/>
      <c r="AB1422" s="14"/>
      <c r="AC1422" s="14"/>
      <c r="AD1422" s="14"/>
      <c r="AE1422" s="14"/>
      <c r="AF1422" s="14"/>
      <c r="AG1422" s="35"/>
    </row>
    <row r="1423" spans="2:33">
      <c r="B1423" s="19"/>
      <c r="P1423" s="16"/>
      <c r="Q1423" s="36" t="s">
        <v>37</v>
      </c>
      <c r="R1423" s="13">
        <v>0</v>
      </c>
      <c r="S1423" s="13">
        <v>4808.77001953125</v>
      </c>
      <c r="T1423" s="13">
        <v>1065.989990234375</v>
      </c>
      <c r="U1423" s="13">
        <v>0</v>
      </c>
      <c r="V1423" s="13">
        <v>0</v>
      </c>
      <c r="W1423" s="37">
        <v>1088.239990234375</v>
      </c>
      <c r="X1423" s="19"/>
      <c r="AG1423" s="16"/>
    </row>
    <row r="1424" spans="2:33">
      <c r="B1424" s="19"/>
      <c r="P1424" s="16"/>
      <c r="Q1424" s="36" t="s">
        <v>38</v>
      </c>
      <c r="R1424" s="13">
        <v>0</v>
      </c>
      <c r="S1424" s="13">
        <v>0</v>
      </c>
      <c r="T1424" s="13">
        <v>0</v>
      </c>
      <c r="U1424" s="13">
        <v>2156.989990234375</v>
      </c>
      <c r="V1424" s="13">
        <v>1934.4200439453125</v>
      </c>
      <c r="W1424" s="37">
        <v>2068.60009765625</v>
      </c>
      <c r="X1424" s="19"/>
      <c r="AG1424" s="16"/>
    </row>
    <row r="1425" spans="2:33">
      <c r="B1425" s="19"/>
      <c r="P1425" s="16"/>
      <c r="Q1425" s="36" t="s">
        <v>39</v>
      </c>
      <c r="R1425" s="13">
        <v>0</v>
      </c>
      <c r="S1425" s="13">
        <v>0</v>
      </c>
      <c r="T1425" s="13">
        <v>0</v>
      </c>
      <c r="U1425" s="13">
        <v>2408.929931640625</v>
      </c>
      <c r="V1425" s="13">
        <v>2436.800048828125</v>
      </c>
      <c r="W1425" s="37">
        <v>2216.27001953125</v>
      </c>
      <c r="X1425" s="19"/>
      <c r="AG1425" s="16"/>
    </row>
    <row r="1426" spans="2:33">
      <c r="B1426" s="19"/>
      <c r="P1426" s="16"/>
      <c r="Q1426" s="36" t="s">
        <v>40</v>
      </c>
      <c r="R1426" s="13">
        <v>0</v>
      </c>
      <c r="S1426" s="13">
        <v>0</v>
      </c>
      <c r="T1426" s="13">
        <v>2551.360107421875</v>
      </c>
      <c r="U1426" s="13">
        <v>2436.06005859375</v>
      </c>
      <c r="V1426" s="13">
        <v>0</v>
      </c>
      <c r="W1426" s="37">
        <v>3277.590087890625</v>
      </c>
      <c r="X1426" s="19"/>
      <c r="AG1426" s="16"/>
    </row>
    <row r="1427" spans="2:33">
      <c r="B1427" s="19"/>
      <c r="P1427" s="16"/>
      <c r="Q1427" s="36" t="s">
        <v>41</v>
      </c>
      <c r="R1427" s="13">
        <v>3090.77001953125</v>
      </c>
      <c r="S1427" s="13">
        <v>5557.66015625</v>
      </c>
      <c r="T1427" s="13">
        <v>0</v>
      </c>
      <c r="U1427" s="13">
        <v>0</v>
      </c>
      <c r="V1427" s="13">
        <v>0</v>
      </c>
      <c r="W1427" s="37">
        <v>1255.5699462890625</v>
      </c>
      <c r="X1427" s="19"/>
      <c r="AG1427" s="16"/>
    </row>
    <row r="1428" spans="2:33">
      <c r="B1428" s="19"/>
      <c r="P1428" s="16"/>
      <c r="Q1428" s="36" t="s">
        <v>551</v>
      </c>
      <c r="R1428" s="13">
        <v>0</v>
      </c>
      <c r="S1428" s="13">
        <v>0</v>
      </c>
      <c r="T1428" s="13">
        <v>317.41000366210938</v>
      </c>
      <c r="U1428" s="13">
        <v>334.95999145507813</v>
      </c>
      <c r="V1428" s="13">
        <v>0</v>
      </c>
      <c r="W1428" s="37">
        <v>504.6300048828125</v>
      </c>
      <c r="X1428" s="19"/>
      <c r="AG1428" s="16"/>
    </row>
    <row r="1429" spans="2:33">
      <c r="B1429" s="19"/>
      <c r="P1429" s="16"/>
      <c r="Q1429" s="36" t="s">
        <v>552</v>
      </c>
      <c r="R1429" s="13">
        <v>0</v>
      </c>
      <c r="S1429" s="13">
        <v>0</v>
      </c>
      <c r="T1429" s="13">
        <v>2672</v>
      </c>
      <c r="U1429" s="13">
        <v>2328</v>
      </c>
      <c r="V1429" s="13">
        <v>0</v>
      </c>
      <c r="W1429" s="37">
        <v>3028</v>
      </c>
      <c r="X1429" s="19"/>
      <c r="AG1429" s="16"/>
    </row>
    <row r="1430" spans="2:33">
      <c r="B1430" s="19"/>
      <c r="P1430" s="16"/>
      <c r="Q1430" s="36" t="s">
        <v>553</v>
      </c>
      <c r="R1430" s="13">
        <v>3747</v>
      </c>
      <c r="S1430" s="13">
        <v>8073</v>
      </c>
      <c r="T1430" s="13">
        <v>153</v>
      </c>
      <c r="U1430" s="13">
        <v>2377</v>
      </c>
      <c r="V1430" s="13">
        <v>3238</v>
      </c>
      <c r="W1430" s="37">
        <v>2183</v>
      </c>
      <c r="X1430" s="19"/>
      <c r="AG1430" s="16"/>
    </row>
    <row r="1431" spans="2:33">
      <c r="B1431" s="19"/>
      <c r="P1431" s="16"/>
      <c r="Q1431" s="36" t="s">
        <v>43</v>
      </c>
      <c r="R1431" s="13">
        <v>0</v>
      </c>
      <c r="S1431" s="13">
        <v>0</v>
      </c>
      <c r="T1431" s="13">
        <v>2377</v>
      </c>
      <c r="U1431" s="13">
        <v>2052</v>
      </c>
      <c r="V1431" s="13">
        <v>0</v>
      </c>
      <c r="W1431" s="37">
        <v>2696</v>
      </c>
      <c r="X1431" s="19"/>
      <c r="AG1431" s="16"/>
    </row>
    <row r="1432" spans="2:33">
      <c r="B1432" s="19"/>
      <c r="P1432" s="16"/>
      <c r="Q1432" s="36" t="s">
        <v>45</v>
      </c>
      <c r="R1432" s="13">
        <v>0</v>
      </c>
      <c r="S1432" s="13">
        <v>4664</v>
      </c>
      <c r="T1432" s="13">
        <v>831</v>
      </c>
      <c r="U1432" s="13">
        <v>0</v>
      </c>
      <c r="V1432" s="13">
        <v>0</v>
      </c>
      <c r="W1432" s="37">
        <v>1364</v>
      </c>
      <c r="X1432" s="19"/>
      <c r="AG1432" s="16"/>
    </row>
    <row r="1433" spans="2:33" ht="15" thickBot="1">
      <c r="B1433" s="20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7"/>
      <c r="Q1433" s="36" t="s">
        <v>46</v>
      </c>
      <c r="R1433" s="13">
        <v>2177</v>
      </c>
      <c r="S1433" s="13">
        <v>4283</v>
      </c>
      <c r="T1433" s="13">
        <v>0</v>
      </c>
      <c r="U1433" s="13">
        <v>0</v>
      </c>
      <c r="V1433" s="13">
        <v>0</v>
      </c>
      <c r="W1433" s="37">
        <v>1260</v>
      </c>
      <c r="X1433" s="20"/>
      <c r="Y1433" s="15"/>
      <c r="Z1433" s="15"/>
      <c r="AA1433" s="15"/>
      <c r="AB1433" s="15"/>
      <c r="AC1433" s="15"/>
      <c r="AD1433" s="15"/>
      <c r="AE1433" s="15"/>
      <c r="AF1433" s="15"/>
      <c r="AG1433" s="17"/>
    </row>
    <row r="1435" spans="2:33" ht="15" thickBot="1">
      <c r="B1435" s="25" t="s">
        <v>532</v>
      </c>
      <c r="C1435" s="26" t="s">
        <v>533</v>
      </c>
      <c r="D1435" s="26" t="s">
        <v>689</v>
      </c>
      <c r="E1435" s="26" t="s">
        <v>690</v>
      </c>
      <c r="F1435" s="26" t="s">
        <v>691</v>
      </c>
      <c r="G1435" s="26" t="s">
        <v>692</v>
      </c>
      <c r="H1435" s="27" t="s">
        <v>693</v>
      </c>
      <c r="I1435" s="26" t="s">
        <v>694</v>
      </c>
      <c r="J1435" s="27" t="s">
        <v>87</v>
      </c>
      <c r="K1435" s="29">
        <v>17.319999694824201</v>
      </c>
      <c r="L1435" s="29">
        <v>17.319999694824201</v>
      </c>
      <c r="M1435" s="29">
        <v>17.319999694824201</v>
      </c>
      <c r="N1435" s="29">
        <v>17.319999694824201</v>
      </c>
      <c r="O1435" s="29">
        <v>17.319999694824201</v>
      </c>
      <c r="P1435" s="40">
        <v>17.319999694824201</v>
      </c>
      <c r="Q1435" s="1" t="s">
        <v>35</v>
      </c>
      <c r="R1435" s="2">
        <v>0</v>
      </c>
      <c r="S1435" s="2">
        <v>1129</v>
      </c>
      <c r="T1435" s="2">
        <v>0</v>
      </c>
      <c r="U1435" s="2">
        <v>589</v>
      </c>
      <c r="V1435" s="2">
        <v>0</v>
      </c>
      <c r="W1435" s="2">
        <v>1119</v>
      </c>
      <c r="X1435" s="43">
        <f>SUM(R1435:W1447)</f>
        <v>40523</v>
      </c>
      <c r="Y1435" s="10">
        <v>46204</v>
      </c>
      <c r="Z1435" s="11">
        <v>0.21915174234314722</v>
      </c>
      <c r="AA1435" s="11">
        <v>0.18274192037163289</v>
      </c>
      <c r="AB1435" s="11">
        <v>0.14726787607165501</v>
      </c>
      <c r="AC1435" s="11">
        <v>0.1287497680516306</v>
      </c>
      <c r="AD1435" s="11">
        <v>0.11447820346270936</v>
      </c>
      <c r="AE1435" s="11">
        <v>0.13149780089791482</v>
      </c>
      <c r="AF1435" s="11">
        <v>0.2</v>
      </c>
      <c r="AG1435" s="11">
        <v>0.23899999999999999</v>
      </c>
    </row>
    <row r="1436" spans="2:33">
      <c r="B1436" s="53" t="s">
        <v>2193</v>
      </c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35"/>
      <c r="Q1436" s="36" t="s">
        <v>36</v>
      </c>
      <c r="R1436" s="13">
        <v>0</v>
      </c>
      <c r="S1436" s="13">
        <v>922</v>
      </c>
      <c r="T1436" s="13">
        <v>0</v>
      </c>
      <c r="U1436" s="13">
        <v>506</v>
      </c>
      <c r="V1436" s="13">
        <v>0</v>
      </c>
      <c r="W1436" s="37">
        <v>907</v>
      </c>
      <c r="X1436" s="18"/>
      <c r="Y1436" s="14"/>
      <c r="Z1436" s="14"/>
      <c r="AA1436" s="14"/>
      <c r="AB1436" s="14"/>
      <c r="AC1436" s="14"/>
      <c r="AD1436" s="14"/>
      <c r="AE1436" s="14"/>
      <c r="AF1436" s="14"/>
      <c r="AG1436" s="35"/>
    </row>
    <row r="1437" spans="2:33">
      <c r="B1437" s="19"/>
      <c r="P1437" s="16"/>
      <c r="Q1437" s="36" t="s">
        <v>37</v>
      </c>
      <c r="R1437" s="13">
        <v>0</v>
      </c>
      <c r="S1437" s="13">
        <v>947</v>
      </c>
      <c r="T1437" s="13">
        <v>0</v>
      </c>
      <c r="U1437" s="13">
        <v>525</v>
      </c>
      <c r="V1437" s="13">
        <v>0</v>
      </c>
      <c r="W1437" s="37">
        <v>1017</v>
      </c>
      <c r="X1437" s="19"/>
      <c r="AG1437" s="16"/>
    </row>
    <row r="1438" spans="2:33">
      <c r="B1438" s="19"/>
      <c r="P1438" s="16"/>
      <c r="Q1438" s="36" t="s">
        <v>38</v>
      </c>
      <c r="R1438" s="13">
        <v>0</v>
      </c>
      <c r="S1438" s="13">
        <v>0</v>
      </c>
      <c r="T1438" s="13">
        <v>0</v>
      </c>
      <c r="U1438" s="13">
        <v>1098</v>
      </c>
      <c r="V1438" s="13">
        <v>610</v>
      </c>
      <c r="W1438" s="37">
        <v>1002</v>
      </c>
      <c r="X1438" s="19"/>
      <c r="AG1438" s="16"/>
    </row>
    <row r="1439" spans="2:33">
      <c r="B1439" s="19"/>
      <c r="P1439" s="16"/>
      <c r="Q1439" s="36" t="s">
        <v>39</v>
      </c>
      <c r="R1439" s="13">
        <v>0</v>
      </c>
      <c r="S1439" s="13">
        <v>0</v>
      </c>
      <c r="T1439" s="13">
        <v>0</v>
      </c>
      <c r="U1439" s="13">
        <v>1193</v>
      </c>
      <c r="V1439" s="13">
        <v>670</v>
      </c>
      <c r="W1439" s="37">
        <v>1158</v>
      </c>
      <c r="X1439" s="19"/>
      <c r="AG1439" s="16"/>
    </row>
    <row r="1440" spans="2:33">
      <c r="B1440" s="19"/>
      <c r="P1440" s="16"/>
      <c r="Q1440" s="36" t="s">
        <v>40</v>
      </c>
      <c r="R1440" s="13">
        <v>0</v>
      </c>
      <c r="S1440" s="13">
        <v>0</v>
      </c>
      <c r="T1440" s="13">
        <v>0</v>
      </c>
      <c r="U1440" s="13">
        <v>1611</v>
      </c>
      <c r="V1440" s="13">
        <v>833</v>
      </c>
      <c r="W1440" s="37">
        <v>1176</v>
      </c>
      <c r="X1440" s="19"/>
      <c r="AG1440" s="16"/>
    </row>
    <row r="1441" spans="2:33">
      <c r="B1441" s="19"/>
      <c r="P1441" s="16"/>
      <c r="Q1441" s="36" t="s">
        <v>41</v>
      </c>
      <c r="R1441" s="13">
        <v>2110</v>
      </c>
      <c r="S1441" s="13">
        <v>0</v>
      </c>
      <c r="T1441" s="13">
        <v>997</v>
      </c>
      <c r="U1441" s="13">
        <v>0</v>
      </c>
      <c r="V1441" s="13">
        <v>0</v>
      </c>
      <c r="W1441" s="37">
        <v>1226</v>
      </c>
      <c r="X1441" s="19"/>
      <c r="AG1441" s="16"/>
    </row>
    <row r="1442" spans="2:33">
      <c r="B1442" s="19"/>
      <c r="P1442" s="16"/>
      <c r="Q1442" s="36" t="s">
        <v>551</v>
      </c>
      <c r="R1442" s="13">
        <v>198</v>
      </c>
      <c r="S1442" s="13">
        <v>0</v>
      </c>
      <c r="T1442" s="13">
        <v>97</v>
      </c>
      <c r="U1442" s="13">
        <v>0</v>
      </c>
      <c r="V1442" s="13">
        <v>0</v>
      </c>
      <c r="W1442" s="37">
        <v>251</v>
      </c>
      <c r="X1442" s="19"/>
      <c r="AG1442" s="16"/>
    </row>
    <row r="1443" spans="2:33">
      <c r="B1443" s="19"/>
      <c r="P1443" s="16"/>
      <c r="Q1443" s="36" t="s">
        <v>552</v>
      </c>
      <c r="R1443" s="13">
        <v>1704</v>
      </c>
      <c r="S1443" s="13">
        <v>0</v>
      </c>
      <c r="T1443" s="13">
        <v>895</v>
      </c>
      <c r="U1443" s="13">
        <v>0</v>
      </c>
      <c r="V1443" s="13">
        <v>0</v>
      </c>
      <c r="W1443" s="37">
        <v>1353</v>
      </c>
      <c r="X1443" s="19"/>
      <c r="AG1443" s="16"/>
    </row>
    <row r="1444" spans="2:33">
      <c r="B1444" s="19"/>
      <c r="P1444" s="16"/>
      <c r="Q1444" s="36" t="s">
        <v>43</v>
      </c>
      <c r="R1444" s="13">
        <v>1917</v>
      </c>
      <c r="S1444" s="13">
        <v>0</v>
      </c>
      <c r="T1444" s="13">
        <v>1020</v>
      </c>
      <c r="U1444" s="13">
        <v>0</v>
      </c>
      <c r="V1444" s="13">
        <v>0</v>
      </c>
      <c r="W1444" s="37">
        <v>1227</v>
      </c>
      <c r="X1444" s="19"/>
      <c r="AG1444" s="16"/>
    </row>
    <row r="1445" spans="2:33">
      <c r="B1445" s="19"/>
      <c r="P1445" s="16"/>
      <c r="Q1445" s="36" t="s">
        <v>44</v>
      </c>
      <c r="R1445" s="13">
        <v>1974</v>
      </c>
      <c r="S1445" s="13">
        <v>0</v>
      </c>
      <c r="T1445" s="13">
        <v>1002</v>
      </c>
      <c r="U1445" s="13">
        <v>0</v>
      </c>
      <c r="V1445" s="13">
        <v>0</v>
      </c>
      <c r="W1445" s="37">
        <v>1215</v>
      </c>
      <c r="X1445" s="19"/>
      <c r="AG1445" s="16"/>
    </row>
    <row r="1446" spans="2:33">
      <c r="B1446" s="19"/>
      <c r="P1446" s="16"/>
      <c r="Q1446" s="36" t="s">
        <v>45</v>
      </c>
      <c r="R1446" s="13">
        <v>0</v>
      </c>
      <c r="S1446" s="13">
        <v>1395</v>
      </c>
      <c r="T1446" s="13">
        <v>765</v>
      </c>
      <c r="U1446" s="13">
        <v>0</v>
      </c>
      <c r="V1446" s="13">
        <v>0</v>
      </c>
      <c r="W1446" s="37">
        <v>1206</v>
      </c>
      <c r="X1446" s="19"/>
      <c r="AG1446" s="16"/>
    </row>
    <row r="1447" spans="2:33" ht="15" thickBot="1">
      <c r="B1447" s="20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7"/>
      <c r="Q1447" s="36" t="s">
        <v>46</v>
      </c>
      <c r="R1447" s="13">
        <v>0</v>
      </c>
      <c r="S1447" s="13">
        <v>1179</v>
      </c>
      <c r="T1447" s="13">
        <v>635</v>
      </c>
      <c r="U1447" s="13">
        <v>0</v>
      </c>
      <c r="V1447" s="13">
        <v>0</v>
      </c>
      <c r="W1447" s="37">
        <v>1145</v>
      </c>
      <c r="X1447" s="20"/>
      <c r="Y1447" s="15"/>
      <c r="Z1447" s="15"/>
      <c r="AA1447" s="15"/>
      <c r="AB1447" s="15"/>
      <c r="AC1447" s="15"/>
      <c r="AD1447" s="15"/>
      <c r="AE1447" s="15"/>
      <c r="AF1447" s="15"/>
      <c r="AG1447" s="17"/>
    </row>
    <row r="1449" spans="2:33" ht="15" thickBot="1">
      <c r="B1449" s="25" t="s">
        <v>532</v>
      </c>
      <c r="C1449" s="26" t="s">
        <v>533</v>
      </c>
      <c r="D1449" s="26" t="s">
        <v>695</v>
      </c>
      <c r="E1449" s="26" t="s">
        <v>696</v>
      </c>
      <c r="F1449" s="26" t="s">
        <v>697</v>
      </c>
      <c r="G1449" s="26" t="s">
        <v>698</v>
      </c>
      <c r="H1449" s="27" t="s">
        <v>66</v>
      </c>
      <c r="I1449" s="26" t="s">
        <v>699</v>
      </c>
      <c r="J1449" s="27" t="s">
        <v>87</v>
      </c>
      <c r="K1449" s="29">
        <v>41.5</v>
      </c>
      <c r="L1449" s="29">
        <v>41.5</v>
      </c>
      <c r="M1449" s="29">
        <v>41.5</v>
      </c>
      <c r="N1449" s="29">
        <v>41.5</v>
      </c>
      <c r="O1449" s="29">
        <v>41.5</v>
      </c>
      <c r="P1449" s="40">
        <v>41.5</v>
      </c>
      <c r="Q1449" s="1" t="s">
        <v>35</v>
      </c>
      <c r="R1449" s="2">
        <v>3829</v>
      </c>
      <c r="S1449" s="2">
        <v>2145</v>
      </c>
      <c r="T1449" s="2">
        <v>0</v>
      </c>
      <c r="U1449" s="2">
        <v>0</v>
      </c>
      <c r="V1449" s="2">
        <v>0</v>
      </c>
      <c r="W1449" s="2">
        <v>1360</v>
      </c>
      <c r="X1449" s="43">
        <f>SUM(R1449:W1461)</f>
        <v>104027</v>
      </c>
      <c r="Y1449" s="10">
        <v>46204</v>
      </c>
      <c r="Z1449" s="11">
        <v>0.21915174234314722</v>
      </c>
      <c r="AA1449" s="11">
        <v>0.18274192037163289</v>
      </c>
      <c r="AB1449" s="11">
        <v>0.14726787607165501</v>
      </c>
      <c r="AC1449" s="11">
        <v>0.1287497680516306</v>
      </c>
      <c r="AD1449" s="11">
        <v>0.11447820346270936</v>
      </c>
      <c r="AE1449" s="11">
        <v>0.13149780089791482</v>
      </c>
      <c r="AF1449" s="11">
        <v>0.2</v>
      </c>
      <c r="AG1449" s="11">
        <v>0.23899999999999999</v>
      </c>
    </row>
    <row r="1450" spans="2:33">
      <c r="B1450" s="53" t="s">
        <v>2193</v>
      </c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35"/>
      <c r="Q1450" s="36" t="s">
        <v>36</v>
      </c>
      <c r="R1450" s="13">
        <v>3398</v>
      </c>
      <c r="S1450" s="13">
        <v>1876</v>
      </c>
      <c r="T1450" s="13">
        <v>0</v>
      </c>
      <c r="U1450" s="13">
        <v>0</v>
      </c>
      <c r="V1450" s="13">
        <v>0</v>
      </c>
      <c r="W1450" s="37">
        <v>1209</v>
      </c>
      <c r="X1450" s="18"/>
      <c r="Y1450" s="14"/>
      <c r="Z1450" s="14"/>
      <c r="AA1450" s="14"/>
      <c r="AB1450" s="14"/>
      <c r="AC1450" s="14"/>
      <c r="AD1450" s="14"/>
      <c r="AE1450" s="14"/>
      <c r="AF1450" s="14"/>
      <c r="AG1450" s="35"/>
    </row>
    <row r="1451" spans="2:33">
      <c r="B1451" s="19"/>
      <c r="P1451" s="16"/>
      <c r="Q1451" s="36" t="s">
        <v>37</v>
      </c>
      <c r="R1451" s="13">
        <v>0</v>
      </c>
      <c r="S1451" s="13">
        <v>3318</v>
      </c>
      <c r="T1451" s="13">
        <v>1859</v>
      </c>
      <c r="U1451" s="13">
        <v>0</v>
      </c>
      <c r="V1451" s="13">
        <v>0</v>
      </c>
      <c r="W1451" s="37">
        <v>1441</v>
      </c>
      <c r="X1451" s="19"/>
      <c r="AG1451" s="16"/>
    </row>
    <row r="1452" spans="2:33">
      <c r="B1452" s="19"/>
      <c r="P1452" s="16"/>
      <c r="Q1452" s="36" t="s">
        <v>38</v>
      </c>
      <c r="R1452" s="13">
        <v>0</v>
      </c>
      <c r="S1452" s="13">
        <v>0</v>
      </c>
      <c r="T1452" s="13">
        <v>0</v>
      </c>
      <c r="U1452" s="13">
        <v>3427</v>
      </c>
      <c r="V1452" s="13">
        <v>1884</v>
      </c>
      <c r="W1452" s="37">
        <v>1152</v>
      </c>
      <c r="X1452" s="19"/>
      <c r="AG1452" s="16"/>
    </row>
    <row r="1453" spans="2:33">
      <c r="B1453" s="19"/>
      <c r="P1453" s="16"/>
      <c r="Q1453" s="36" t="s">
        <v>39</v>
      </c>
      <c r="R1453" s="13">
        <v>0</v>
      </c>
      <c r="S1453" s="13">
        <v>0</v>
      </c>
      <c r="T1453" s="13">
        <v>0</v>
      </c>
      <c r="U1453" s="13">
        <v>4190</v>
      </c>
      <c r="V1453" s="13">
        <v>2334</v>
      </c>
      <c r="W1453" s="37">
        <v>2030</v>
      </c>
      <c r="X1453" s="19"/>
      <c r="AG1453" s="16"/>
    </row>
    <row r="1454" spans="2:33">
      <c r="B1454" s="19"/>
      <c r="P1454" s="16"/>
      <c r="Q1454" s="36" t="s">
        <v>40</v>
      </c>
      <c r="R1454" s="13">
        <v>0</v>
      </c>
      <c r="S1454" s="13">
        <v>0</v>
      </c>
      <c r="T1454" s="13">
        <v>5902</v>
      </c>
      <c r="U1454" s="13">
        <v>3456</v>
      </c>
      <c r="V1454" s="13">
        <v>0</v>
      </c>
      <c r="W1454" s="37">
        <v>2164</v>
      </c>
      <c r="X1454" s="19"/>
      <c r="AG1454" s="16"/>
    </row>
    <row r="1455" spans="2:33">
      <c r="B1455" s="19"/>
      <c r="P1455" s="16"/>
      <c r="Q1455" s="36" t="s">
        <v>41</v>
      </c>
      <c r="R1455" s="13">
        <v>5897</v>
      </c>
      <c r="S1455" s="13">
        <v>3383</v>
      </c>
      <c r="T1455" s="13">
        <v>0</v>
      </c>
      <c r="U1455" s="13">
        <v>0</v>
      </c>
      <c r="V1455" s="13">
        <v>0</v>
      </c>
      <c r="W1455" s="37">
        <v>2168</v>
      </c>
      <c r="X1455" s="19"/>
      <c r="AG1455" s="16"/>
    </row>
    <row r="1456" spans="2:33">
      <c r="B1456" s="19"/>
      <c r="P1456" s="16"/>
      <c r="Q1456" s="36" t="s">
        <v>551</v>
      </c>
      <c r="R1456" s="13">
        <v>0</v>
      </c>
      <c r="S1456" s="13">
        <v>0</v>
      </c>
      <c r="T1456" s="13">
        <v>518</v>
      </c>
      <c r="U1456" s="13">
        <v>273</v>
      </c>
      <c r="V1456" s="13">
        <v>0</v>
      </c>
      <c r="W1456" s="37">
        <v>402</v>
      </c>
      <c r="X1456" s="19"/>
      <c r="AG1456" s="16"/>
    </row>
    <row r="1457" spans="2:33">
      <c r="B1457" s="19"/>
      <c r="P1457" s="16"/>
      <c r="Q1457" s="36" t="s">
        <v>552</v>
      </c>
      <c r="R1457" s="13">
        <v>0</v>
      </c>
      <c r="S1457" s="13">
        <v>0</v>
      </c>
      <c r="T1457" s="13">
        <v>5175</v>
      </c>
      <c r="U1457" s="13">
        <v>2931</v>
      </c>
      <c r="V1457" s="13">
        <v>0</v>
      </c>
      <c r="W1457" s="37">
        <v>1977</v>
      </c>
      <c r="X1457" s="19"/>
      <c r="AG1457" s="16"/>
    </row>
    <row r="1458" spans="2:33">
      <c r="B1458" s="19"/>
      <c r="P1458" s="16"/>
      <c r="Q1458" s="36" t="s">
        <v>43</v>
      </c>
      <c r="R1458" s="13">
        <v>0</v>
      </c>
      <c r="S1458" s="13">
        <v>0</v>
      </c>
      <c r="T1458" s="13">
        <v>5201</v>
      </c>
      <c r="U1458" s="13">
        <v>2942</v>
      </c>
      <c r="V1458" s="13">
        <v>0</v>
      </c>
      <c r="W1458" s="37">
        <v>1680</v>
      </c>
      <c r="X1458" s="19"/>
      <c r="AG1458" s="16"/>
    </row>
    <row r="1459" spans="2:33">
      <c r="B1459" s="19"/>
      <c r="P1459" s="16"/>
      <c r="Q1459" s="36" t="s">
        <v>44</v>
      </c>
      <c r="R1459" s="13">
        <v>0</v>
      </c>
      <c r="S1459" s="13">
        <v>0</v>
      </c>
      <c r="T1459" s="13">
        <v>0</v>
      </c>
      <c r="U1459" s="13">
        <v>5012</v>
      </c>
      <c r="V1459" s="13">
        <v>2781</v>
      </c>
      <c r="W1459" s="37">
        <v>1602</v>
      </c>
      <c r="X1459" s="19"/>
      <c r="AG1459" s="16"/>
    </row>
    <row r="1460" spans="2:33">
      <c r="B1460" s="19"/>
      <c r="P1460" s="16"/>
      <c r="Q1460" s="36" t="s">
        <v>45</v>
      </c>
      <c r="R1460" s="13">
        <v>0</v>
      </c>
      <c r="S1460" s="13">
        <v>3814</v>
      </c>
      <c r="T1460" s="13">
        <v>1976</v>
      </c>
      <c r="U1460" s="13">
        <v>0</v>
      </c>
      <c r="V1460" s="13">
        <v>0</v>
      </c>
      <c r="W1460" s="37">
        <v>1382</v>
      </c>
      <c r="X1460" s="19"/>
      <c r="AG1460" s="16"/>
    </row>
    <row r="1461" spans="2:33" ht="15" thickBot="1">
      <c r="B1461" s="20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7"/>
      <c r="Q1461" s="36" t="s">
        <v>46</v>
      </c>
      <c r="R1461" s="13">
        <v>4029</v>
      </c>
      <c r="S1461" s="13">
        <v>2176</v>
      </c>
      <c r="T1461" s="13">
        <v>0</v>
      </c>
      <c r="U1461" s="13">
        <v>0</v>
      </c>
      <c r="V1461" s="13">
        <v>0</v>
      </c>
      <c r="W1461" s="37">
        <v>1734</v>
      </c>
      <c r="X1461" s="20"/>
      <c r="Y1461" s="15"/>
      <c r="Z1461" s="15"/>
      <c r="AA1461" s="15"/>
      <c r="AB1461" s="15"/>
      <c r="AC1461" s="15"/>
      <c r="AD1461" s="15"/>
      <c r="AE1461" s="15"/>
      <c r="AF1461" s="15"/>
      <c r="AG1461" s="17"/>
    </row>
    <row r="1463" spans="2:33" ht="15" thickBot="1">
      <c r="B1463" s="25" t="s">
        <v>532</v>
      </c>
      <c r="C1463" s="26" t="s">
        <v>533</v>
      </c>
      <c r="D1463" s="26" t="s">
        <v>700</v>
      </c>
      <c r="E1463" s="26" t="s">
        <v>701</v>
      </c>
      <c r="F1463" s="26" t="s">
        <v>702</v>
      </c>
      <c r="G1463" s="26" t="s">
        <v>703</v>
      </c>
      <c r="H1463" s="27" t="s">
        <v>704</v>
      </c>
      <c r="I1463" s="26" t="s">
        <v>705</v>
      </c>
      <c r="J1463" s="27" t="s">
        <v>87</v>
      </c>
      <c r="K1463" s="29">
        <v>39</v>
      </c>
      <c r="L1463" s="29">
        <v>39</v>
      </c>
      <c r="M1463" s="29">
        <v>39</v>
      </c>
      <c r="N1463" s="29">
        <v>39</v>
      </c>
      <c r="O1463" s="29">
        <v>39</v>
      </c>
      <c r="P1463" s="40">
        <v>39</v>
      </c>
      <c r="Q1463" s="1" t="s">
        <v>35</v>
      </c>
      <c r="R1463" s="2">
        <v>3391</v>
      </c>
      <c r="S1463" s="2">
        <v>2026</v>
      </c>
      <c r="T1463" s="2">
        <v>0</v>
      </c>
      <c r="U1463" s="2">
        <v>0</v>
      </c>
      <c r="V1463" s="2">
        <v>0</v>
      </c>
      <c r="W1463" s="2">
        <v>1321</v>
      </c>
      <c r="X1463" s="43">
        <f>SUM(R1463:W1475)</f>
        <v>69621</v>
      </c>
      <c r="Y1463" s="10">
        <v>46204</v>
      </c>
      <c r="Z1463" s="11">
        <v>0.21915174234314722</v>
      </c>
      <c r="AA1463" s="11">
        <v>0.18274192037163289</v>
      </c>
      <c r="AB1463" s="11">
        <v>0.14726787607165501</v>
      </c>
      <c r="AC1463" s="11">
        <v>0.1287497680516306</v>
      </c>
      <c r="AD1463" s="11">
        <v>0.11447820346270936</v>
      </c>
      <c r="AE1463" s="11">
        <v>0.13149780089791482</v>
      </c>
      <c r="AF1463" s="11">
        <v>0.2</v>
      </c>
      <c r="AG1463" s="11">
        <v>0.23899999999999999</v>
      </c>
    </row>
    <row r="1464" spans="2:33">
      <c r="B1464" s="53" t="s">
        <v>2193</v>
      </c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35"/>
      <c r="Q1464" s="36" t="s">
        <v>36</v>
      </c>
      <c r="R1464" s="13">
        <v>2796</v>
      </c>
      <c r="S1464" s="13">
        <v>1654</v>
      </c>
      <c r="T1464" s="13">
        <v>0</v>
      </c>
      <c r="U1464" s="13">
        <v>0</v>
      </c>
      <c r="V1464" s="13">
        <v>0</v>
      </c>
      <c r="W1464" s="37">
        <v>1227</v>
      </c>
      <c r="X1464" s="18"/>
      <c r="Y1464" s="14"/>
      <c r="Z1464" s="14"/>
      <c r="AA1464" s="14"/>
      <c r="AB1464" s="14"/>
      <c r="AC1464" s="14"/>
      <c r="AD1464" s="14"/>
      <c r="AE1464" s="14"/>
      <c r="AF1464" s="14"/>
      <c r="AG1464" s="35"/>
    </row>
    <row r="1465" spans="2:33">
      <c r="B1465" s="19"/>
      <c r="P1465" s="16"/>
      <c r="Q1465" s="36" t="s">
        <v>37</v>
      </c>
      <c r="R1465" s="13">
        <v>0</v>
      </c>
      <c r="S1465" s="13">
        <v>2900</v>
      </c>
      <c r="T1465" s="13">
        <v>1739</v>
      </c>
      <c r="U1465" s="13">
        <v>0</v>
      </c>
      <c r="V1465" s="13">
        <v>0</v>
      </c>
      <c r="W1465" s="37">
        <v>1759</v>
      </c>
      <c r="X1465" s="19"/>
      <c r="AG1465" s="16"/>
    </row>
    <row r="1466" spans="2:33">
      <c r="B1466" s="19"/>
      <c r="P1466" s="16"/>
      <c r="Q1466" s="36" t="s">
        <v>38</v>
      </c>
      <c r="R1466" s="13">
        <v>0</v>
      </c>
      <c r="S1466" s="13">
        <v>0</v>
      </c>
      <c r="T1466" s="13">
        <v>0</v>
      </c>
      <c r="U1466" s="13">
        <v>1872</v>
      </c>
      <c r="V1466" s="13">
        <v>1213</v>
      </c>
      <c r="W1466" s="37">
        <v>931</v>
      </c>
      <c r="X1466" s="19"/>
      <c r="AG1466" s="16"/>
    </row>
    <row r="1467" spans="2:33">
      <c r="B1467" s="19"/>
      <c r="P1467" s="16"/>
      <c r="Q1467" s="36" t="s">
        <v>39</v>
      </c>
      <c r="R1467" s="13">
        <v>0</v>
      </c>
      <c r="S1467" s="13">
        <v>0</v>
      </c>
      <c r="T1467" s="13">
        <v>0</v>
      </c>
      <c r="U1467" s="13">
        <v>2138</v>
      </c>
      <c r="V1467" s="13">
        <v>1366</v>
      </c>
      <c r="W1467" s="37">
        <v>1242</v>
      </c>
      <c r="X1467" s="19"/>
      <c r="AG1467" s="16"/>
    </row>
    <row r="1468" spans="2:33">
      <c r="B1468" s="19"/>
      <c r="P1468" s="16"/>
      <c r="Q1468" s="36" t="s">
        <v>40</v>
      </c>
      <c r="R1468" s="13">
        <v>0</v>
      </c>
      <c r="S1468" s="13">
        <v>0</v>
      </c>
      <c r="T1468" s="13">
        <v>3205</v>
      </c>
      <c r="U1468" s="13">
        <v>2078</v>
      </c>
      <c r="V1468" s="13">
        <v>0</v>
      </c>
      <c r="W1468" s="37">
        <v>1232</v>
      </c>
      <c r="X1468" s="19"/>
      <c r="AG1468" s="16"/>
    </row>
    <row r="1469" spans="2:33">
      <c r="B1469" s="19"/>
      <c r="P1469" s="16"/>
      <c r="Q1469" s="36" t="s">
        <v>41</v>
      </c>
      <c r="R1469" s="13">
        <v>3540</v>
      </c>
      <c r="S1469" s="13">
        <v>1962</v>
      </c>
      <c r="T1469" s="13">
        <v>0</v>
      </c>
      <c r="U1469" s="13">
        <v>0</v>
      </c>
      <c r="V1469" s="13">
        <v>0</v>
      </c>
      <c r="W1469" s="37">
        <v>1393</v>
      </c>
      <c r="X1469" s="19"/>
      <c r="AG1469" s="16"/>
    </row>
    <row r="1470" spans="2:33">
      <c r="B1470" s="19"/>
      <c r="P1470" s="16"/>
      <c r="Q1470" s="36" t="s">
        <v>551</v>
      </c>
      <c r="R1470" s="13">
        <v>0</v>
      </c>
      <c r="S1470" s="13">
        <v>0</v>
      </c>
      <c r="T1470" s="13">
        <v>322</v>
      </c>
      <c r="U1470" s="13">
        <v>211</v>
      </c>
      <c r="V1470" s="13">
        <v>0</v>
      </c>
      <c r="W1470" s="37">
        <v>335</v>
      </c>
      <c r="X1470" s="19"/>
      <c r="AG1470" s="16"/>
    </row>
    <row r="1471" spans="2:33">
      <c r="B1471" s="19"/>
      <c r="P1471" s="16"/>
      <c r="Q1471" s="36" t="s">
        <v>552</v>
      </c>
      <c r="R1471" s="13">
        <v>0</v>
      </c>
      <c r="S1471" s="13">
        <v>0</v>
      </c>
      <c r="T1471" s="13">
        <v>2906</v>
      </c>
      <c r="U1471" s="13">
        <v>1667</v>
      </c>
      <c r="V1471" s="13">
        <v>0</v>
      </c>
      <c r="W1471" s="37">
        <v>1377</v>
      </c>
      <c r="X1471" s="19"/>
      <c r="AG1471" s="16"/>
    </row>
    <row r="1472" spans="2:33">
      <c r="B1472" s="19"/>
      <c r="P1472" s="16"/>
      <c r="Q1472" s="36" t="s">
        <v>43</v>
      </c>
      <c r="R1472" s="13">
        <v>0</v>
      </c>
      <c r="S1472" s="13">
        <v>0</v>
      </c>
      <c r="T1472" s="13">
        <v>2788</v>
      </c>
      <c r="U1472" s="13">
        <v>1775</v>
      </c>
      <c r="V1472" s="13">
        <v>0</v>
      </c>
      <c r="W1472" s="37">
        <v>1269</v>
      </c>
      <c r="X1472" s="19"/>
      <c r="AG1472" s="16"/>
    </row>
    <row r="1473" spans="2:33">
      <c r="B1473" s="19"/>
      <c r="P1473" s="16"/>
      <c r="Q1473" s="36" t="s">
        <v>44</v>
      </c>
      <c r="R1473" s="13">
        <v>0</v>
      </c>
      <c r="S1473" s="13">
        <v>0</v>
      </c>
      <c r="T1473" s="13">
        <v>0</v>
      </c>
      <c r="U1473" s="13">
        <v>2570</v>
      </c>
      <c r="V1473" s="13">
        <v>1647</v>
      </c>
      <c r="W1473" s="37">
        <v>1038</v>
      </c>
      <c r="X1473" s="19"/>
      <c r="AG1473" s="16"/>
    </row>
    <row r="1474" spans="2:33">
      <c r="B1474" s="19"/>
      <c r="P1474" s="16"/>
      <c r="Q1474" s="36" t="s">
        <v>45</v>
      </c>
      <c r="R1474" s="13">
        <v>0</v>
      </c>
      <c r="S1474" s="13">
        <v>2589</v>
      </c>
      <c r="T1474" s="13">
        <v>1627</v>
      </c>
      <c r="U1474" s="13">
        <v>0</v>
      </c>
      <c r="V1474" s="13">
        <v>0</v>
      </c>
      <c r="W1474" s="37">
        <v>1187</v>
      </c>
      <c r="X1474" s="19"/>
      <c r="AG1474" s="16"/>
    </row>
    <row r="1475" spans="2:33" ht="15" thickBot="1">
      <c r="B1475" s="20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7"/>
      <c r="Q1475" s="36" t="s">
        <v>46</v>
      </c>
      <c r="R1475" s="13">
        <v>2824</v>
      </c>
      <c r="S1475" s="13">
        <v>1529</v>
      </c>
      <c r="T1475" s="13">
        <v>0</v>
      </c>
      <c r="U1475" s="13">
        <v>0</v>
      </c>
      <c r="V1475" s="13">
        <v>0</v>
      </c>
      <c r="W1475" s="37">
        <v>975</v>
      </c>
      <c r="X1475" s="20"/>
      <c r="Y1475" s="15"/>
      <c r="Z1475" s="15"/>
      <c r="AA1475" s="15"/>
      <c r="AB1475" s="15"/>
      <c r="AC1475" s="15"/>
      <c r="AD1475" s="15"/>
      <c r="AE1475" s="15"/>
      <c r="AF1475" s="15"/>
      <c r="AG1475" s="17"/>
    </row>
    <row r="1477" spans="2:33" ht="15" thickBot="1">
      <c r="B1477" s="25" t="s">
        <v>532</v>
      </c>
      <c r="C1477" s="26" t="s">
        <v>533</v>
      </c>
      <c r="D1477" s="26" t="s">
        <v>706</v>
      </c>
      <c r="E1477" s="26" t="s">
        <v>707</v>
      </c>
      <c r="F1477" s="26" t="s">
        <v>708</v>
      </c>
      <c r="G1477" s="26" t="s">
        <v>709</v>
      </c>
      <c r="H1477" s="27" t="s">
        <v>66</v>
      </c>
      <c r="I1477" s="26" t="s">
        <v>710</v>
      </c>
      <c r="J1477" s="27" t="s">
        <v>87</v>
      </c>
      <c r="K1477" s="29">
        <v>37</v>
      </c>
      <c r="L1477" s="29">
        <v>37</v>
      </c>
      <c r="M1477" s="29">
        <v>37</v>
      </c>
      <c r="N1477" s="29">
        <v>37</v>
      </c>
      <c r="O1477" s="29">
        <v>37</v>
      </c>
      <c r="P1477" s="40">
        <v>37</v>
      </c>
      <c r="Q1477" s="1" t="s">
        <v>35</v>
      </c>
      <c r="R1477" s="2">
        <v>3540</v>
      </c>
      <c r="S1477" s="2">
        <v>1330</v>
      </c>
      <c r="T1477" s="2">
        <v>0</v>
      </c>
      <c r="U1477" s="2">
        <v>0</v>
      </c>
      <c r="V1477" s="2">
        <v>0</v>
      </c>
      <c r="W1477" s="2">
        <v>1691</v>
      </c>
      <c r="X1477" s="43">
        <f>SUM(R1477:W1489)</f>
        <v>49921</v>
      </c>
      <c r="Y1477" s="10">
        <v>46204</v>
      </c>
      <c r="Z1477" s="11">
        <v>0.21915174234314722</v>
      </c>
      <c r="AA1477" s="11">
        <v>0.18274192037163289</v>
      </c>
      <c r="AB1477" s="11">
        <v>0.14726787607165501</v>
      </c>
      <c r="AC1477" s="11">
        <v>0.1287497680516306</v>
      </c>
      <c r="AD1477" s="11">
        <v>0.11447820346270936</v>
      </c>
      <c r="AE1477" s="11">
        <v>0.13149780089791482</v>
      </c>
      <c r="AF1477" s="11">
        <v>0.2</v>
      </c>
      <c r="AG1477" s="11">
        <v>0.23899999999999999</v>
      </c>
    </row>
    <row r="1478" spans="2:33">
      <c r="B1478" s="53" t="s">
        <v>2193</v>
      </c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35"/>
      <c r="Q1478" s="36" t="s">
        <v>36</v>
      </c>
      <c r="R1478" s="13">
        <v>2931</v>
      </c>
      <c r="S1478" s="13">
        <v>1103</v>
      </c>
      <c r="T1478" s="13">
        <v>0</v>
      </c>
      <c r="U1478" s="13">
        <v>0</v>
      </c>
      <c r="V1478" s="13">
        <v>0</v>
      </c>
      <c r="W1478" s="37">
        <v>1195</v>
      </c>
      <c r="X1478" s="18"/>
      <c r="Y1478" s="14"/>
      <c r="Z1478" s="14"/>
      <c r="AA1478" s="14"/>
      <c r="AB1478" s="14"/>
      <c r="AC1478" s="14"/>
      <c r="AD1478" s="14"/>
      <c r="AE1478" s="14"/>
      <c r="AF1478" s="14"/>
      <c r="AG1478" s="35"/>
    </row>
    <row r="1479" spans="2:33">
      <c r="B1479" s="19"/>
      <c r="P1479" s="16"/>
      <c r="Q1479" s="36" t="s">
        <v>37</v>
      </c>
      <c r="R1479" s="13">
        <v>0</v>
      </c>
      <c r="S1479" s="13">
        <v>3144</v>
      </c>
      <c r="T1479" s="13">
        <v>1161</v>
      </c>
      <c r="U1479" s="13">
        <v>0</v>
      </c>
      <c r="V1479" s="13">
        <v>0</v>
      </c>
      <c r="W1479" s="37">
        <v>1576</v>
      </c>
      <c r="X1479" s="19"/>
      <c r="AG1479" s="16"/>
    </row>
    <row r="1480" spans="2:33">
      <c r="B1480" s="19"/>
      <c r="P1480" s="16"/>
      <c r="Q1480" s="36" t="s">
        <v>38</v>
      </c>
      <c r="R1480" s="13">
        <v>0</v>
      </c>
      <c r="S1480" s="13">
        <v>0</v>
      </c>
      <c r="T1480" s="13">
        <v>0</v>
      </c>
      <c r="U1480" s="13">
        <v>1890</v>
      </c>
      <c r="V1480" s="13">
        <v>585</v>
      </c>
      <c r="W1480" s="37">
        <v>947</v>
      </c>
      <c r="X1480" s="19"/>
      <c r="AG1480" s="16"/>
    </row>
    <row r="1481" spans="2:33">
      <c r="B1481" s="19"/>
      <c r="P1481" s="16"/>
      <c r="Q1481" s="36" t="s">
        <v>39</v>
      </c>
      <c r="R1481" s="13">
        <v>0</v>
      </c>
      <c r="S1481" s="13">
        <v>0</v>
      </c>
      <c r="T1481" s="13">
        <v>0</v>
      </c>
      <c r="U1481" s="13">
        <v>1732</v>
      </c>
      <c r="V1481" s="13">
        <v>510</v>
      </c>
      <c r="W1481" s="37">
        <v>1048</v>
      </c>
      <c r="X1481" s="19"/>
      <c r="AG1481" s="16"/>
    </row>
    <row r="1482" spans="2:33">
      <c r="B1482" s="19"/>
      <c r="P1482" s="16"/>
      <c r="Q1482" s="36" t="s">
        <v>40</v>
      </c>
      <c r="R1482" s="13">
        <v>0</v>
      </c>
      <c r="S1482" s="13">
        <v>0</v>
      </c>
      <c r="T1482" s="13">
        <v>2161</v>
      </c>
      <c r="U1482" s="13">
        <v>690</v>
      </c>
      <c r="V1482" s="13">
        <v>0</v>
      </c>
      <c r="W1482" s="37">
        <v>1002</v>
      </c>
      <c r="X1482" s="19"/>
      <c r="AG1482" s="16"/>
    </row>
    <row r="1483" spans="2:33">
      <c r="B1483" s="19"/>
      <c r="P1483" s="16"/>
      <c r="Q1483" s="36" t="s">
        <v>41</v>
      </c>
      <c r="R1483" s="13">
        <v>2087</v>
      </c>
      <c r="S1483" s="13">
        <v>700</v>
      </c>
      <c r="T1483" s="13">
        <v>0</v>
      </c>
      <c r="U1483" s="13">
        <v>0</v>
      </c>
      <c r="V1483" s="13">
        <v>0</v>
      </c>
      <c r="W1483" s="37">
        <v>1084</v>
      </c>
      <c r="X1483" s="19"/>
      <c r="AG1483" s="16"/>
    </row>
    <row r="1484" spans="2:33">
      <c r="B1484" s="19"/>
      <c r="P1484" s="16"/>
      <c r="Q1484" s="36" t="s">
        <v>551</v>
      </c>
      <c r="R1484" s="13">
        <v>0</v>
      </c>
      <c r="S1484" s="13">
        <v>0</v>
      </c>
      <c r="T1484" s="13">
        <v>103</v>
      </c>
      <c r="U1484" s="13">
        <v>25</v>
      </c>
      <c r="V1484" s="13">
        <v>0</v>
      </c>
      <c r="W1484" s="37">
        <v>132</v>
      </c>
      <c r="X1484" s="19"/>
      <c r="AG1484" s="16"/>
    </row>
    <row r="1485" spans="2:33">
      <c r="B1485" s="19"/>
      <c r="P1485" s="16"/>
      <c r="Q1485" s="36" t="s">
        <v>552</v>
      </c>
      <c r="R1485" s="13">
        <v>0</v>
      </c>
      <c r="S1485" s="13">
        <v>0</v>
      </c>
      <c r="T1485" s="13">
        <v>1820</v>
      </c>
      <c r="U1485" s="13">
        <v>570</v>
      </c>
      <c r="V1485" s="13">
        <v>0</v>
      </c>
      <c r="W1485" s="37">
        <v>1000</v>
      </c>
      <c r="X1485" s="19"/>
      <c r="AG1485" s="16"/>
    </row>
    <row r="1486" spans="2:33">
      <c r="B1486" s="19"/>
      <c r="P1486" s="16"/>
      <c r="Q1486" s="36" t="s">
        <v>43</v>
      </c>
      <c r="R1486" s="13">
        <v>0</v>
      </c>
      <c r="S1486" s="13">
        <v>0</v>
      </c>
      <c r="T1486" s="13">
        <v>1839</v>
      </c>
      <c r="U1486" s="13">
        <v>503</v>
      </c>
      <c r="V1486" s="13">
        <v>0</v>
      </c>
      <c r="W1486" s="37">
        <v>872</v>
      </c>
      <c r="X1486" s="19"/>
      <c r="AG1486" s="16"/>
    </row>
    <row r="1487" spans="2:33">
      <c r="B1487" s="19"/>
      <c r="P1487" s="16"/>
      <c r="Q1487" s="36" t="s">
        <v>44</v>
      </c>
      <c r="R1487" s="13">
        <v>0</v>
      </c>
      <c r="S1487" s="13">
        <v>0</v>
      </c>
      <c r="T1487" s="13">
        <v>0</v>
      </c>
      <c r="U1487" s="13">
        <v>1817</v>
      </c>
      <c r="V1487" s="13">
        <v>472</v>
      </c>
      <c r="W1487" s="37">
        <v>816</v>
      </c>
      <c r="X1487" s="19"/>
      <c r="AG1487" s="16"/>
    </row>
    <row r="1488" spans="2:33">
      <c r="B1488" s="19"/>
      <c r="P1488" s="16"/>
      <c r="Q1488" s="36" t="s">
        <v>45</v>
      </c>
      <c r="R1488" s="13">
        <v>0</v>
      </c>
      <c r="S1488" s="13">
        <v>1922</v>
      </c>
      <c r="T1488" s="13">
        <v>596</v>
      </c>
      <c r="U1488" s="13">
        <v>0</v>
      </c>
      <c r="V1488" s="13">
        <v>0</v>
      </c>
      <c r="W1488" s="37">
        <v>990</v>
      </c>
      <c r="X1488" s="19"/>
      <c r="AG1488" s="16"/>
    </row>
    <row r="1489" spans="2:33" ht="15" thickBot="1">
      <c r="B1489" s="20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7"/>
      <c r="Q1489" s="36" t="s">
        <v>46</v>
      </c>
      <c r="R1489" s="13">
        <v>2307</v>
      </c>
      <c r="S1489" s="13">
        <v>838</v>
      </c>
      <c r="T1489" s="13">
        <v>0</v>
      </c>
      <c r="U1489" s="13">
        <v>0</v>
      </c>
      <c r="V1489" s="13">
        <v>0</v>
      </c>
      <c r="W1489" s="37">
        <v>1192</v>
      </c>
      <c r="X1489" s="20"/>
      <c r="Y1489" s="15"/>
      <c r="Z1489" s="15"/>
      <c r="AA1489" s="15"/>
      <c r="AB1489" s="15"/>
      <c r="AC1489" s="15"/>
      <c r="AD1489" s="15"/>
      <c r="AE1489" s="15"/>
      <c r="AF1489" s="15"/>
      <c r="AG1489" s="17"/>
    </row>
    <row r="1491" spans="2:33" ht="15" thickBot="1">
      <c r="B1491" s="25" t="s">
        <v>532</v>
      </c>
      <c r="C1491" s="26" t="s">
        <v>533</v>
      </c>
      <c r="D1491" s="26" t="s">
        <v>711</v>
      </c>
      <c r="E1491" s="26" t="s">
        <v>712</v>
      </c>
      <c r="F1491" s="26" t="s">
        <v>713</v>
      </c>
      <c r="G1491" s="26" t="s">
        <v>714</v>
      </c>
      <c r="H1491" s="27" t="s">
        <v>66</v>
      </c>
      <c r="I1491" s="26" t="s">
        <v>715</v>
      </c>
      <c r="J1491" s="27" t="s">
        <v>87</v>
      </c>
      <c r="K1491" s="29">
        <v>17</v>
      </c>
      <c r="L1491" s="29">
        <v>17</v>
      </c>
      <c r="M1491" s="29">
        <v>17</v>
      </c>
      <c r="N1491" s="29">
        <v>17</v>
      </c>
      <c r="O1491" s="29">
        <v>17</v>
      </c>
      <c r="P1491" s="40">
        <v>17</v>
      </c>
      <c r="Q1491" s="1" t="s">
        <v>35</v>
      </c>
      <c r="R1491" s="2">
        <v>1607</v>
      </c>
      <c r="S1491" s="2">
        <v>832</v>
      </c>
      <c r="T1491" s="2">
        <v>0</v>
      </c>
      <c r="U1491" s="2">
        <v>0</v>
      </c>
      <c r="V1491" s="2">
        <v>0</v>
      </c>
      <c r="W1491" s="2">
        <v>711</v>
      </c>
      <c r="X1491" s="43">
        <f>SUM(R1491:W1503)</f>
        <v>31549</v>
      </c>
      <c r="Y1491" s="10">
        <v>46204</v>
      </c>
      <c r="Z1491" s="11">
        <v>0.21915174234314722</v>
      </c>
      <c r="AA1491" s="11">
        <v>0.18274192037163289</v>
      </c>
      <c r="AB1491" s="11">
        <v>0.14726787607165501</v>
      </c>
      <c r="AC1491" s="11">
        <v>0.1287497680516306</v>
      </c>
      <c r="AD1491" s="11">
        <v>0.11447820346270936</v>
      </c>
      <c r="AE1491" s="11">
        <v>0.13149780089791482</v>
      </c>
      <c r="AF1491" s="11">
        <v>0.2</v>
      </c>
      <c r="AG1491" s="11">
        <v>0.23899999999999999</v>
      </c>
    </row>
    <row r="1492" spans="2:33">
      <c r="B1492" s="53" t="s">
        <v>2193</v>
      </c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35"/>
      <c r="Q1492" s="36" t="s">
        <v>36</v>
      </c>
      <c r="R1492" s="13">
        <v>1361</v>
      </c>
      <c r="S1492" s="13">
        <v>648</v>
      </c>
      <c r="T1492" s="13">
        <v>0</v>
      </c>
      <c r="U1492" s="13">
        <v>0</v>
      </c>
      <c r="V1492" s="13">
        <v>0</v>
      </c>
      <c r="W1492" s="37">
        <v>526</v>
      </c>
      <c r="X1492" s="18"/>
      <c r="Y1492" s="14"/>
      <c r="Z1492" s="14"/>
      <c r="AA1492" s="14"/>
      <c r="AB1492" s="14"/>
      <c r="AC1492" s="14"/>
      <c r="AD1492" s="14"/>
      <c r="AE1492" s="14"/>
      <c r="AF1492" s="14"/>
      <c r="AG1492" s="35"/>
    </row>
    <row r="1493" spans="2:33">
      <c r="B1493" s="19"/>
      <c r="P1493" s="16"/>
      <c r="Q1493" s="36" t="s">
        <v>37</v>
      </c>
      <c r="R1493" s="13">
        <v>0</v>
      </c>
      <c r="S1493" s="13">
        <v>1382</v>
      </c>
      <c r="T1493" s="13">
        <v>701</v>
      </c>
      <c r="U1493" s="13">
        <v>0</v>
      </c>
      <c r="V1493" s="13">
        <v>0</v>
      </c>
      <c r="W1493" s="37">
        <v>629</v>
      </c>
      <c r="X1493" s="19"/>
      <c r="AG1493" s="16"/>
    </row>
    <row r="1494" spans="2:33">
      <c r="B1494" s="19"/>
      <c r="P1494" s="16"/>
      <c r="Q1494" s="36" t="s">
        <v>38</v>
      </c>
      <c r="R1494" s="13">
        <v>0</v>
      </c>
      <c r="S1494" s="13">
        <v>0</v>
      </c>
      <c r="T1494" s="13">
        <v>0</v>
      </c>
      <c r="U1494" s="13">
        <v>1009</v>
      </c>
      <c r="V1494" s="13">
        <v>494</v>
      </c>
      <c r="W1494" s="37">
        <v>461</v>
      </c>
      <c r="X1494" s="19"/>
      <c r="AG1494" s="16"/>
    </row>
    <row r="1495" spans="2:33">
      <c r="B1495" s="19"/>
      <c r="P1495" s="16"/>
      <c r="Q1495" s="36" t="s">
        <v>39</v>
      </c>
      <c r="R1495" s="13">
        <v>0</v>
      </c>
      <c r="S1495" s="13">
        <v>0</v>
      </c>
      <c r="T1495" s="13">
        <v>0</v>
      </c>
      <c r="U1495" s="13">
        <v>959</v>
      </c>
      <c r="V1495" s="13">
        <v>553</v>
      </c>
      <c r="W1495" s="37">
        <v>561</v>
      </c>
      <c r="X1495" s="19"/>
      <c r="AG1495" s="16"/>
    </row>
    <row r="1496" spans="2:33">
      <c r="B1496" s="19"/>
      <c r="P1496" s="16"/>
      <c r="Q1496" s="36" t="s">
        <v>40</v>
      </c>
      <c r="R1496" s="13">
        <v>0</v>
      </c>
      <c r="S1496" s="13">
        <v>0</v>
      </c>
      <c r="T1496" s="13">
        <v>1591</v>
      </c>
      <c r="U1496" s="13">
        <v>954</v>
      </c>
      <c r="V1496" s="13">
        <v>0</v>
      </c>
      <c r="W1496" s="37">
        <v>681</v>
      </c>
      <c r="X1496" s="19"/>
      <c r="AG1496" s="16"/>
    </row>
    <row r="1497" spans="2:33">
      <c r="B1497" s="19"/>
      <c r="P1497" s="16"/>
      <c r="Q1497" s="36" t="s">
        <v>41</v>
      </c>
      <c r="R1497" s="13">
        <v>1521</v>
      </c>
      <c r="S1497" s="13">
        <v>909</v>
      </c>
      <c r="T1497" s="13">
        <v>0</v>
      </c>
      <c r="U1497" s="13">
        <v>0</v>
      </c>
      <c r="V1497" s="13">
        <v>0</v>
      </c>
      <c r="W1497" s="37">
        <v>544</v>
      </c>
      <c r="X1497" s="19"/>
      <c r="AG1497" s="16"/>
    </row>
    <row r="1498" spans="2:33">
      <c r="B1498" s="19"/>
      <c r="P1498" s="16"/>
      <c r="Q1498" s="36" t="s">
        <v>551</v>
      </c>
      <c r="R1498" s="13">
        <v>0</v>
      </c>
      <c r="S1498" s="13">
        <v>0</v>
      </c>
      <c r="T1498" s="13">
        <v>130</v>
      </c>
      <c r="U1498" s="13">
        <v>89</v>
      </c>
      <c r="V1498" s="13">
        <v>0</v>
      </c>
      <c r="W1498" s="37">
        <v>122</v>
      </c>
      <c r="X1498" s="19"/>
      <c r="AG1498" s="16"/>
    </row>
    <row r="1499" spans="2:33">
      <c r="B1499" s="19"/>
      <c r="P1499" s="16"/>
      <c r="Q1499" s="36" t="s">
        <v>552</v>
      </c>
      <c r="R1499" s="13">
        <v>0</v>
      </c>
      <c r="S1499" s="13">
        <v>0</v>
      </c>
      <c r="T1499" s="13">
        <v>1366</v>
      </c>
      <c r="U1499" s="13">
        <v>887</v>
      </c>
      <c r="V1499" s="13">
        <v>0</v>
      </c>
      <c r="W1499" s="37">
        <v>672</v>
      </c>
      <c r="X1499" s="19"/>
      <c r="AG1499" s="16"/>
    </row>
    <row r="1500" spans="2:33">
      <c r="B1500" s="19"/>
      <c r="P1500" s="16"/>
      <c r="Q1500" s="36" t="s">
        <v>43</v>
      </c>
      <c r="R1500" s="13">
        <v>0</v>
      </c>
      <c r="S1500" s="13">
        <v>0</v>
      </c>
      <c r="T1500" s="13">
        <v>1244</v>
      </c>
      <c r="U1500" s="13">
        <v>789</v>
      </c>
      <c r="V1500" s="13">
        <v>0</v>
      </c>
      <c r="W1500" s="37">
        <v>556</v>
      </c>
      <c r="X1500" s="19"/>
      <c r="AG1500" s="16"/>
    </row>
    <row r="1501" spans="2:33">
      <c r="B1501" s="19"/>
      <c r="P1501" s="16"/>
      <c r="Q1501" s="36" t="s">
        <v>44</v>
      </c>
      <c r="R1501" s="13">
        <v>0</v>
      </c>
      <c r="S1501" s="13">
        <v>0</v>
      </c>
      <c r="T1501" s="13">
        <v>0</v>
      </c>
      <c r="U1501" s="13">
        <v>1007</v>
      </c>
      <c r="V1501" s="13">
        <v>604</v>
      </c>
      <c r="W1501" s="37">
        <v>430</v>
      </c>
      <c r="X1501" s="19"/>
      <c r="AG1501" s="16"/>
    </row>
    <row r="1502" spans="2:33">
      <c r="B1502" s="19"/>
      <c r="P1502" s="16"/>
      <c r="Q1502" s="36" t="s">
        <v>45</v>
      </c>
      <c r="R1502" s="13">
        <v>0</v>
      </c>
      <c r="S1502" s="13">
        <v>1078</v>
      </c>
      <c r="T1502" s="13">
        <v>550</v>
      </c>
      <c r="U1502" s="13">
        <v>0</v>
      </c>
      <c r="V1502" s="13">
        <v>0</v>
      </c>
      <c r="W1502" s="37">
        <v>518</v>
      </c>
      <c r="X1502" s="19"/>
      <c r="AG1502" s="16"/>
    </row>
    <row r="1503" spans="2:33" ht="15" thickBot="1">
      <c r="B1503" s="20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7"/>
      <c r="Q1503" s="36" t="s">
        <v>46</v>
      </c>
      <c r="R1503" s="13">
        <v>1459</v>
      </c>
      <c r="S1503" s="13">
        <v>739</v>
      </c>
      <c r="T1503" s="13">
        <v>0</v>
      </c>
      <c r="U1503" s="13">
        <v>0</v>
      </c>
      <c r="V1503" s="13">
        <v>0</v>
      </c>
      <c r="W1503" s="37">
        <v>675</v>
      </c>
      <c r="X1503" s="20"/>
      <c r="Y1503" s="15"/>
      <c r="Z1503" s="15"/>
      <c r="AA1503" s="15"/>
      <c r="AB1503" s="15"/>
      <c r="AC1503" s="15"/>
      <c r="AD1503" s="15"/>
      <c r="AE1503" s="15"/>
      <c r="AF1503" s="15"/>
      <c r="AG1503" s="17"/>
    </row>
    <row r="1505" spans="2:33" ht="15" thickBot="1">
      <c r="B1505" s="25" t="s">
        <v>532</v>
      </c>
      <c r="C1505" s="26" t="s">
        <v>533</v>
      </c>
      <c r="D1505" s="26" t="s">
        <v>716</v>
      </c>
      <c r="E1505" s="26" t="s">
        <v>717</v>
      </c>
      <c r="F1505" s="26" t="s">
        <v>718</v>
      </c>
      <c r="G1505" s="26" t="s">
        <v>719</v>
      </c>
      <c r="H1505" s="27" t="s">
        <v>498</v>
      </c>
      <c r="I1505" s="26" t="s">
        <v>720</v>
      </c>
      <c r="J1505" s="27" t="s">
        <v>87</v>
      </c>
      <c r="K1505" s="29">
        <v>27</v>
      </c>
      <c r="L1505" s="29">
        <v>27</v>
      </c>
      <c r="M1505" s="29">
        <v>27</v>
      </c>
      <c r="N1505" s="29">
        <v>27</v>
      </c>
      <c r="O1505" s="29">
        <v>27</v>
      </c>
      <c r="P1505" s="40">
        <v>27</v>
      </c>
      <c r="Q1505" s="1" t="s">
        <v>35</v>
      </c>
      <c r="R1505" s="2">
        <v>2966</v>
      </c>
      <c r="S1505" s="2">
        <v>1669</v>
      </c>
      <c r="T1505" s="2">
        <v>0</v>
      </c>
      <c r="U1505" s="2">
        <v>0</v>
      </c>
      <c r="V1505" s="2">
        <v>0</v>
      </c>
      <c r="W1505" s="2">
        <v>1226</v>
      </c>
      <c r="X1505" s="43">
        <f>SUM(R1505:W1517)</f>
        <v>67560</v>
      </c>
      <c r="Y1505" s="10">
        <v>46204</v>
      </c>
      <c r="Z1505" s="11">
        <v>0.21915174234314722</v>
      </c>
      <c r="AA1505" s="11">
        <v>0.18274192037163289</v>
      </c>
      <c r="AB1505" s="11">
        <v>0.14726787607165501</v>
      </c>
      <c r="AC1505" s="11">
        <v>0.1287497680516306</v>
      </c>
      <c r="AD1505" s="11">
        <v>0.11447820346270936</v>
      </c>
      <c r="AE1505" s="11">
        <v>0.13149780089791482</v>
      </c>
      <c r="AF1505" s="11">
        <v>0.2</v>
      </c>
      <c r="AG1505" s="11">
        <v>0.23899999999999999</v>
      </c>
    </row>
    <row r="1506" spans="2:33">
      <c r="B1506" s="53" t="s">
        <v>2193</v>
      </c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35"/>
      <c r="Q1506" s="36" t="s">
        <v>36</v>
      </c>
      <c r="R1506" s="13">
        <v>2759</v>
      </c>
      <c r="S1506" s="13">
        <v>1515</v>
      </c>
      <c r="T1506" s="13">
        <v>0</v>
      </c>
      <c r="U1506" s="13">
        <v>0</v>
      </c>
      <c r="V1506" s="13">
        <v>0</v>
      </c>
      <c r="W1506" s="37">
        <v>1215</v>
      </c>
      <c r="X1506" s="18"/>
      <c r="Y1506" s="14"/>
      <c r="Z1506" s="14"/>
      <c r="AA1506" s="14"/>
      <c r="AB1506" s="14"/>
      <c r="AC1506" s="14"/>
      <c r="AD1506" s="14"/>
      <c r="AE1506" s="14"/>
      <c r="AF1506" s="14"/>
      <c r="AG1506" s="35"/>
    </row>
    <row r="1507" spans="2:33">
      <c r="B1507" s="19"/>
      <c r="P1507" s="16"/>
      <c r="Q1507" s="36" t="s">
        <v>37</v>
      </c>
      <c r="R1507" s="13">
        <v>0</v>
      </c>
      <c r="S1507" s="13">
        <v>2443</v>
      </c>
      <c r="T1507" s="13">
        <v>1334</v>
      </c>
      <c r="U1507" s="13">
        <v>0</v>
      </c>
      <c r="V1507" s="13">
        <v>0</v>
      </c>
      <c r="W1507" s="37">
        <v>1397</v>
      </c>
      <c r="X1507" s="19"/>
      <c r="AG1507" s="16"/>
    </row>
    <row r="1508" spans="2:33">
      <c r="B1508" s="19"/>
      <c r="P1508" s="16"/>
      <c r="Q1508" s="36" t="s">
        <v>38</v>
      </c>
      <c r="R1508" s="13">
        <v>0</v>
      </c>
      <c r="S1508" s="13">
        <v>0</v>
      </c>
      <c r="T1508" s="13">
        <v>0</v>
      </c>
      <c r="U1508" s="13">
        <v>2108</v>
      </c>
      <c r="V1508" s="13">
        <v>1058</v>
      </c>
      <c r="W1508" s="37">
        <v>958</v>
      </c>
      <c r="X1508" s="19"/>
      <c r="AG1508" s="16"/>
    </row>
    <row r="1509" spans="2:33">
      <c r="B1509" s="19"/>
      <c r="P1509" s="16"/>
      <c r="Q1509" s="36" t="s">
        <v>39</v>
      </c>
      <c r="R1509" s="13">
        <v>0</v>
      </c>
      <c r="S1509" s="13">
        <v>0</v>
      </c>
      <c r="T1509" s="13">
        <v>0</v>
      </c>
      <c r="U1509" s="13">
        <v>1890</v>
      </c>
      <c r="V1509" s="13">
        <v>1049</v>
      </c>
      <c r="W1509" s="37">
        <v>1078</v>
      </c>
      <c r="X1509" s="19"/>
      <c r="AG1509" s="16"/>
    </row>
    <row r="1510" spans="2:33">
      <c r="B1510" s="19"/>
      <c r="P1510" s="16"/>
      <c r="Q1510" s="36" t="s">
        <v>40</v>
      </c>
      <c r="R1510" s="13">
        <v>0</v>
      </c>
      <c r="S1510" s="13">
        <v>0</v>
      </c>
      <c r="T1510" s="13">
        <v>2490</v>
      </c>
      <c r="U1510" s="13">
        <v>1367</v>
      </c>
      <c r="V1510" s="13">
        <v>0</v>
      </c>
      <c r="W1510" s="37">
        <v>1112</v>
      </c>
      <c r="X1510" s="19"/>
      <c r="AG1510" s="16"/>
    </row>
    <row r="1511" spans="2:33">
      <c r="B1511" s="19"/>
      <c r="P1511" s="16"/>
      <c r="Q1511" s="36" t="s">
        <v>41</v>
      </c>
      <c r="R1511" s="13">
        <v>3805</v>
      </c>
      <c r="S1511" s="13">
        <v>2127</v>
      </c>
      <c r="T1511" s="13">
        <v>0</v>
      </c>
      <c r="U1511" s="13">
        <v>0</v>
      </c>
      <c r="V1511" s="13">
        <v>0</v>
      </c>
      <c r="W1511" s="37">
        <v>1578</v>
      </c>
      <c r="X1511" s="19"/>
      <c r="AG1511" s="16"/>
    </row>
    <row r="1512" spans="2:33">
      <c r="B1512" s="19"/>
      <c r="P1512" s="16"/>
      <c r="Q1512" s="36" t="s">
        <v>551</v>
      </c>
      <c r="R1512" s="13">
        <v>0</v>
      </c>
      <c r="S1512" s="13">
        <v>0</v>
      </c>
      <c r="T1512" s="13">
        <v>358</v>
      </c>
      <c r="U1512" s="13">
        <v>198</v>
      </c>
      <c r="V1512" s="13">
        <v>0</v>
      </c>
      <c r="W1512" s="37">
        <v>316</v>
      </c>
      <c r="X1512" s="19"/>
      <c r="AG1512" s="16"/>
    </row>
    <row r="1513" spans="2:33">
      <c r="B1513" s="19"/>
      <c r="P1513" s="16"/>
      <c r="Q1513" s="36" t="s">
        <v>552</v>
      </c>
      <c r="R1513" s="13">
        <v>0</v>
      </c>
      <c r="S1513" s="13">
        <v>0</v>
      </c>
      <c r="T1513" s="13">
        <v>3123</v>
      </c>
      <c r="U1513" s="13">
        <v>1749</v>
      </c>
      <c r="V1513" s="13">
        <v>0</v>
      </c>
      <c r="W1513" s="37">
        <v>1545</v>
      </c>
      <c r="X1513" s="19"/>
      <c r="AG1513" s="16"/>
    </row>
    <row r="1514" spans="2:33">
      <c r="B1514" s="19"/>
      <c r="P1514" s="16"/>
      <c r="Q1514" s="36" t="s">
        <v>43</v>
      </c>
      <c r="R1514" s="13">
        <v>0</v>
      </c>
      <c r="S1514" s="13">
        <v>0</v>
      </c>
      <c r="T1514" s="13">
        <v>3111</v>
      </c>
      <c r="U1514" s="13">
        <v>1683</v>
      </c>
      <c r="V1514" s="13">
        <v>0</v>
      </c>
      <c r="W1514" s="37">
        <v>1294</v>
      </c>
      <c r="X1514" s="19"/>
      <c r="AG1514" s="16"/>
    </row>
    <row r="1515" spans="2:33">
      <c r="B1515" s="19"/>
      <c r="P1515" s="16"/>
      <c r="Q1515" s="36" t="s">
        <v>44</v>
      </c>
      <c r="R1515" s="13">
        <v>0</v>
      </c>
      <c r="S1515" s="13">
        <v>0</v>
      </c>
      <c r="T1515" s="13">
        <v>0</v>
      </c>
      <c r="U1515" s="13">
        <v>2674</v>
      </c>
      <c r="V1515" s="13">
        <v>1498</v>
      </c>
      <c r="W1515" s="37">
        <v>1069</v>
      </c>
      <c r="X1515" s="19"/>
      <c r="AG1515" s="16"/>
    </row>
    <row r="1516" spans="2:33">
      <c r="B1516" s="19"/>
      <c r="P1516" s="16"/>
      <c r="Q1516" s="36" t="s">
        <v>45</v>
      </c>
      <c r="R1516" s="13">
        <v>0</v>
      </c>
      <c r="S1516" s="13">
        <v>2432</v>
      </c>
      <c r="T1516" s="13">
        <v>1384</v>
      </c>
      <c r="U1516" s="13">
        <v>0</v>
      </c>
      <c r="V1516" s="13">
        <v>0</v>
      </c>
      <c r="W1516" s="37">
        <v>1468</v>
      </c>
      <c r="X1516" s="19"/>
      <c r="AG1516" s="16"/>
    </row>
    <row r="1517" spans="2:33" ht="15" thickBot="1">
      <c r="B1517" s="20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7"/>
      <c r="Q1517" s="36" t="s">
        <v>46</v>
      </c>
      <c r="R1517" s="13">
        <v>3128</v>
      </c>
      <c r="S1517" s="13">
        <v>1707</v>
      </c>
      <c r="T1517" s="13">
        <v>0</v>
      </c>
      <c r="U1517" s="13">
        <v>0</v>
      </c>
      <c r="V1517" s="13">
        <v>0</v>
      </c>
      <c r="W1517" s="37">
        <v>1679</v>
      </c>
      <c r="X1517" s="20"/>
      <c r="Y1517" s="15"/>
      <c r="Z1517" s="15"/>
      <c r="AA1517" s="15"/>
      <c r="AB1517" s="15"/>
      <c r="AC1517" s="15"/>
      <c r="AD1517" s="15"/>
      <c r="AE1517" s="15"/>
      <c r="AF1517" s="15"/>
      <c r="AG1517" s="17"/>
    </row>
    <row r="1519" spans="2:33" ht="15" thickBot="1">
      <c r="B1519" s="25" t="s">
        <v>532</v>
      </c>
      <c r="C1519" s="26" t="s">
        <v>533</v>
      </c>
      <c r="D1519" s="26" t="s">
        <v>721</v>
      </c>
      <c r="E1519" s="26" t="s">
        <v>722</v>
      </c>
      <c r="F1519" s="26" t="s">
        <v>723</v>
      </c>
      <c r="G1519" s="26" t="s">
        <v>724</v>
      </c>
      <c r="H1519" s="27" t="s">
        <v>677</v>
      </c>
      <c r="I1519" s="26" t="s">
        <v>725</v>
      </c>
      <c r="J1519" s="27" t="s">
        <v>87</v>
      </c>
      <c r="K1519" s="29">
        <v>25</v>
      </c>
      <c r="L1519" s="29">
        <v>25</v>
      </c>
      <c r="M1519" s="29">
        <v>25</v>
      </c>
      <c r="N1519" s="29">
        <v>25</v>
      </c>
      <c r="O1519" s="29">
        <v>25</v>
      </c>
      <c r="P1519" s="40">
        <v>25</v>
      </c>
      <c r="Q1519" s="1" t="s">
        <v>35</v>
      </c>
      <c r="R1519" s="2">
        <v>2045</v>
      </c>
      <c r="S1519" s="2">
        <v>568</v>
      </c>
      <c r="T1519" s="2">
        <v>0</v>
      </c>
      <c r="U1519" s="2">
        <v>0</v>
      </c>
      <c r="V1519" s="2">
        <v>0</v>
      </c>
      <c r="W1519" s="2">
        <v>657</v>
      </c>
      <c r="X1519" s="43">
        <f>SUM(R1519:W1531)</f>
        <v>29784</v>
      </c>
      <c r="Y1519" s="10">
        <v>46204</v>
      </c>
      <c r="Z1519" s="11">
        <v>0.21915174234314722</v>
      </c>
      <c r="AA1519" s="11">
        <v>0.18274192037163289</v>
      </c>
      <c r="AB1519" s="11">
        <v>0.14726787607165501</v>
      </c>
      <c r="AC1519" s="11">
        <v>0.1287497680516306</v>
      </c>
      <c r="AD1519" s="11">
        <v>0.11447820346270936</v>
      </c>
      <c r="AE1519" s="11">
        <v>0.13149780089791482</v>
      </c>
      <c r="AF1519" s="11">
        <v>0.2</v>
      </c>
      <c r="AG1519" s="11">
        <v>0.23899999999999999</v>
      </c>
    </row>
    <row r="1520" spans="2:33">
      <c r="B1520" s="53" t="s">
        <v>2193</v>
      </c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35"/>
      <c r="Q1520" s="36" t="s">
        <v>36</v>
      </c>
      <c r="R1520" s="13">
        <v>1647</v>
      </c>
      <c r="S1520" s="13">
        <v>432</v>
      </c>
      <c r="T1520" s="13">
        <v>0</v>
      </c>
      <c r="U1520" s="13">
        <v>0</v>
      </c>
      <c r="V1520" s="13">
        <v>0</v>
      </c>
      <c r="W1520" s="37">
        <v>554</v>
      </c>
      <c r="X1520" s="18"/>
      <c r="Y1520" s="14"/>
      <c r="Z1520" s="14"/>
      <c r="AA1520" s="14"/>
      <c r="AB1520" s="14"/>
      <c r="AC1520" s="14"/>
      <c r="AD1520" s="14"/>
      <c r="AE1520" s="14"/>
      <c r="AF1520" s="14"/>
      <c r="AG1520" s="35"/>
    </row>
    <row r="1521" spans="2:33">
      <c r="B1521" s="19"/>
      <c r="P1521" s="16"/>
      <c r="Q1521" s="36" t="s">
        <v>37</v>
      </c>
      <c r="R1521" s="13">
        <v>0</v>
      </c>
      <c r="S1521" s="13">
        <v>1436</v>
      </c>
      <c r="T1521" s="13">
        <v>397</v>
      </c>
      <c r="U1521" s="13">
        <v>0</v>
      </c>
      <c r="V1521" s="13">
        <v>0</v>
      </c>
      <c r="W1521" s="37">
        <v>557</v>
      </c>
      <c r="X1521" s="19"/>
      <c r="AG1521" s="16"/>
    </row>
    <row r="1522" spans="2:33">
      <c r="B1522" s="19"/>
      <c r="P1522" s="16"/>
      <c r="Q1522" s="36" t="s">
        <v>38</v>
      </c>
      <c r="R1522" s="13">
        <v>0</v>
      </c>
      <c r="S1522" s="13">
        <v>0</v>
      </c>
      <c r="T1522" s="13">
        <v>0</v>
      </c>
      <c r="U1522" s="13">
        <v>1054</v>
      </c>
      <c r="V1522" s="13">
        <v>336</v>
      </c>
      <c r="W1522" s="37">
        <v>416</v>
      </c>
      <c r="X1522" s="19"/>
      <c r="AG1522" s="16"/>
    </row>
    <row r="1523" spans="2:33">
      <c r="B1523" s="19"/>
      <c r="P1523" s="16"/>
      <c r="Q1523" s="36" t="s">
        <v>39</v>
      </c>
      <c r="R1523" s="13">
        <v>0</v>
      </c>
      <c r="S1523" s="13">
        <v>0</v>
      </c>
      <c r="T1523" s="13">
        <v>0</v>
      </c>
      <c r="U1523" s="13">
        <v>1322</v>
      </c>
      <c r="V1523" s="13">
        <v>367</v>
      </c>
      <c r="W1523" s="37">
        <v>565</v>
      </c>
      <c r="X1523" s="19"/>
      <c r="AG1523" s="16"/>
    </row>
    <row r="1524" spans="2:33">
      <c r="B1524" s="19"/>
      <c r="P1524" s="16"/>
      <c r="Q1524" s="36" t="s">
        <v>40</v>
      </c>
      <c r="R1524" s="13">
        <v>0</v>
      </c>
      <c r="S1524" s="13">
        <v>0</v>
      </c>
      <c r="T1524" s="13">
        <v>1852</v>
      </c>
      <c r="U1524" s="13">
        <v>546</v>
      </c>
      <c r="V1524" s="13">
        <v>0</v>
      </c>
      <c r="W1524" s="37">
        <v>535</v>
      </c>
      <c r="X1524" s="19"/>
      <c r="AG1524" s="16"/>
    </row>
    <row r="1525" spans="2:33">
      <c r="B1525" s="19"/>
      <c r="P1525" s="16"/>
      <c r="Q1525" s="36" t="s">
        <v>41</v>
      </c>
      <c r="R1525" s="13">
        <v>2129</v>
      </c>
      <c r="S1525" s="13">
        <v>531</v>
      </c>
      <c r="T1525" s="13">
        <v>0</v>
      </c>
      <c r="U1525" s="13">
        <v>0</v>
      </c>
      <c r="V1525" s="13">
        <v>0</v>
      </c>
      <c r="W1525" s="37">
        <v>540</v>
      </c>
      <c r="X1525" s="19"/>
      <c r="AG1525" s="16"/>
    </row>
    <row r="1526" spans="2:33">
      <c r="B1526" s="19"/>
      <c r="P1526" s="16"/>
      <c r="Q1526" s="36" t="s">
        <v>551</v>
      </c>
      <c r="R1526" s="13">
        <v>0</v>
      </c>
      <c r="S1526" s="13">
        <v>0</v>
      </c>
      <c r="T1526" s="13">
        <v>214</v>
      </c>
      <c r="U1526" s="13">
        <v>47</v>
      </c>
      <c r="V1526" s="13">
        <v>0</v>
      </c>
      <c r="W1526" s="37">
        <v>113</v>
      </c>
      <c r="X1526" s="19"/>
      <c r="AG1526" s="16"/>
    </row>
    <row r="1527" spans="2:33">
      <c r="B1527" s="19"/>
      <c r="P1527" s="16"/>
      <c r="Q1527" s="36" t="s">
        <v>552</v>
      </c>
      <c r="R1527" s="13">
        <v>0</v>
      </c>
      <c r="S1527" s="13">
        <v>0</v>
      </c>
      <c r="T1527" s="13">
        <v>1682</v>
      </c>
      <c r="U1527" s="13">
        <v>376</v>
      </c>
      <c r="V1527" s="13">
        <v>0</v>
      </c>
      <c r="W1527" s="37">
        <v>505</v>
      </c>
      <c r="X1527" s="19"/>
      <c r="AG1527" s="16"/>
    </row>
    <row r="1528" spans="2:33">
      <c r="B1528" s="19"/>
      <c r="P1528" s="16"/>
      <c r="Q1528" s="36" t="s">
        <v>43</v>
      </c>
      <c r="R1528" s="13">
        <v>0</v>
      </c>
      <c r="S1528" s="13">
        <v>0</v>
      </c>
      <c r="T1528" s="13">
        <v>1560</v>
      </c>
      <c r="U1528" s="13">
        <v>367</v>
      </c>
      <c r="V1528" s="13">
        <v>0</v>
      </c>
      <c r="W1528" s="37">
        <v>396</v>
      </c>
      <c r="X1528" s="19"/>
      <c r="AG1528" s="16"/>
    </row>
    <row r="1529" spans="2:33">
      <c r="B1529" s="19"/>
      <c r="P1529" s="16"/>
      <c r="Q1529" s="36" t="s">
        <v>44</v>
      </c>
      <c r="R1529" s="13">
        <v>0</v>
      </c>
      <c r="S1529" s="13">
        <v>0</v>
      </c>
      <c r="T1529" s="13">
        <v>0</v>
      </c>
      <c r="U1529" s="13">
        <v>1168</v>
      </c>
      <c r="V1529" s="13">
        <v>281</v>
      </c>
      <c r="W1529" s="37">
        <v>331</v>
      </c>
      <c r="X1529" s="19"/>
      <c r="AG1529" s="16"/>
    </row>
    <row r="1530" spans="2:33">
      <c r="B1530" s="19"/>
      <c r="P1530" s="16"/>
      <c r="Q1530" s="36" t="s">
        <v>45</v>
      </c>
      <c r="R1530" s="13">
        <v>0</v>
      </c>
      <c r="S1530" s="13">
        <v>1117</v>
      </c>
      <c r="T1530" s="13">
        <v>284</v>
      </c>
      <c r="U1530" s="13">
        <v>0</v>
      </c>
      <c r="V1530" s="13">
        <v>0</v>
      </c>
      <c r="W1530" s="37">
        <v>436</v>
      </c>
      <c r="X1530" s="19"/>
      <c r="AG1530" s="16"/>
    </row>
    <row r="1531" spans="2:33" ht="15" thickBot="1">
      <c r="B1531" s="20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7"/>
      <c r="Q1531" s="36" t="s">
        <v>46</v>
      </c>
      <c r="R1531" s="13">
        <v>1482</v>
      </c>
      <c r="S1531" s="13">
        <v>503</v>
      </c>
      <c r="T1531" s="13">
        <v>0</v>
      </c>
      <c r="U1531" s="13">
        <v>0</v>
      </c>
      <c r="V1531" s="13">
        <v>0</v>
      </c>
      <c r="W1531" s="37">
        <v>436</v>
      </c>
      <c r="X1531" s="20"/>
      <c r="Y1531" s="15"/>
      <c r="Z1531" s="15"/>
      <c r="AA1531" s="15"/>
      <c r="AB1531" s="15"/>
      <c r="AC1531" s="15"/>
      <c r="AD1531" s="15"/>
      <c r="AE1531" s="15"/>
      <c r="AF1531" s="15"/>
      <c r="AG1531" s="17"/>
    </row>
    <row r="1533" spans="2:33" ht="15" thickBot="1">
      <c r="B1533" s="25" t="s">
        <v>532</v>
      </c>
      <c r="C1533" s="26" t="s">
        <v>533</v>
      </c>
      <c r="D1533" s="26" t="s">
        <v>726</v>
      </c>
      <c r="E1533" s="26" t="s">
        <v>727</v>
      </c>
      <c r="F1533" s="26" t="s">
        <v>728</v>
      </c>
      <c r="G1533" s="26" t="s">
        <v>729</v>
      </c>
      <c r="H1533" s="27" t="s">
        <v>677</v>
      </c>
      <c r="I1533" s="26" t="s">
        <v>730</v>
      </c>
      <c r="J1533" s="27" t="s">
        <v>87</v>
      </c>
      <c r="K1533" s="29">
        <v>25</v>
      </c>
      <c r="L1533" s="29">
        <v>25</v>
      </c>
      <c r="M1533" s="29">
        <v>25</v>
      </c>
      <c r="N1533" s="29">
        <v>25</v>
      </c>
      <c r="O1533" s="29">
        <v>25</v>
      </c>
      <c r="P1533" s="40">
        <v>40</v>
      </c>
      <c r="Q1533" s="1" t="s">
        <v>35</v>
      </c>
      <c r="R1533" s="2">
        <v>1897</v>
      </c>
      <c r="S1533" s="2">
        <v>991</v>
      </c>
      <c r="T1533" s="2">
        <v>0</v>
      </c>
      <c r="U1533" s="2">
        <v>0</v>
      </c>
      <c r="V1533" s="2">
        <v>0</v>
      </c>
      <c r="W1533" s="2">
        <v>868</v>
      </c>
      <c r="X1533" s="43">
        <f>SUM(R1533:W1545)</f>
        <v>46389</v>
      </c>
      <c r="Y1533" s="10">
        <v>46204</v>
      </c>
      <c r="Z1533" s="11">
        <v>0.21915174234314722</v>
      </c>
      <c r="AA1533" s="11">
        <v>0.18274192037163289</v>
      </c>
      <c r="AB1533" s="11">
        <v>0.14726787607165501</v>
      </c>
      <c r="AC1533" s="11">
        <v>0.1287497680516306</v>
      </c>
      <c r="AD1533" s="11">
        <v>0.11447820346270936</v>
      </c>
      <c r="AE1533" s="11">
        <v>0.13149780089791482</v>
      </c>
      <c r="AF1533" s="11">
        <v>0.2</v>
      </c>
      <c r="AG1533" s="11">
        <v>0.23899999999999999</v>
      </c>
    </row>
    <row r="1534" spans="2:33">
      <c r="B1534" s="53" t="s">
        <v>2193</v>
      </c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35"/>
      <c r="Q1534" s="36" t="s">
        <v>36</v>
      </c>
      <c r="R1534" s="13">
        <v>1763</v>
      </c>
      <c r="S1534" s="13">
        <v>911</v>
      </c>
      <c r="T1534" s="13">
        <v>0</v>
      </c>
      <c r="U1534" s="13">
        <v>0</v>
      </c>
      <c r="V1534" s="13">
        <v>0</v>
      </c>
      <c r="W1534" s="37">
        <v>1032</v>
      </c>
      <c r="X1534" s="18"/>
      <c r="Y1534" s="14"/>
      <c r="Z1534" s="14"/>
      <c r="AA1534" s="14"/>
      <c r="AB1534" s="14"/>
      <c r="AC1534" s="14"/>
      <c r="AD1534" s="14"/>
      <c r="AE1534" s="14"/>
      <c r="AF1534" s="14"/>
      <c r="AG1534" s="35"/>
    </row>
    <row r="1535" spans="2:33">
      <c r="B1535" s="19"/>
      <c r="P1535" s="16"/>
      <c r="Q1535" s="36" t="s">
        <v>37</v>
      </c>
      <c r="R1535" s="13">
        <v>0</v>
      </c>
      <c r="S1535" s="13">
        <v>1751</v>
      </c>
      <c r="T1535" s="13">
        <v>889</v>
      </c>
      <c r="U1535" s="13">
        <v>0</v>
      </c>
      <c r="V1535" s="13">
        <v>0</v>
      </c>
      <c r="W1535" s="37">
        <v>971</v>
      </c>
      <c r="X1535" s="19"/>
      <c r="AG1535" s="16"/>
    </row>
    <row r="1536" spans="2:33">
      <c r="B1536" s="19"/>
      <c r="P1536" s="16"/>
      <c r="Q1536" s="36" t="s">
        <v>38</v>
      </c>
      <c r="R1536" s="13">
        <v>0</v>
      </c>
      <c r="S1536" s="13">
        <v>0</v>
      </c>
      <c r="T1536" s="13">
        <v>0</v>
      </c>
      <c r="U1536" s="13">
        <v>1662</v>
      </c>
      <c r="V1536" s="13">
        <v>857</v>
      </c>
      <c r="W1536" s="37">
        <v>983</v>
      </c>
      <c r="X1536" s="19"/>
      <c r="AG1536" s="16"/>
    </row>
    <row r="1537" spans="2:33">
      <c r="B1537" s="19"/>
      <c r="P1537" s="16"/>
      <c r="Q1537" s="36" t="s">
        <v>39</v>
      </c>
      <c r="R1537" s="13">
        <v>0</v>
      </c>
      <c r="S1537" s="13">
        <v>0</v>
      </c>
      <c r="T1537" s="13">
        <v>0</v>
      </c>
      <c r="U1537" s="13">
        <v>1983</v>
      </c>
      <c r="V1537" s="13">
        <v>1057</v>
      </c>
      <c r="W1537" s="37">
        <v>1106</v>
      </c>
      <c r="X1537" s="19"/>
      <c r="AG1537" s="16"/>
    </row>
    <row r="1538" spans="2:33">
      <c r="B1538" s="19"/>
      <c r="P1538" s="16"/>
      <c r="Q1538" s="36" t="s">
        <v>40</v>
      </c>
      <c r="R1538" s="13">
        <v>0</v>
      </c>
      <c r="S1538" s="13">
        <v>0</v>
      </c>
      <c r="T1538" s="13">
        <v>2564</v>
      </c>
      <c r="U1538" s="13">
        <v>1348</v>
      </c>
      <c r="V1538" s="13">
        <v>0</v>
      </c>
      <c r="W1538" s="37">
        <v>1257</v>
      </c>
      <c r="X1538" s="19"/>
      <c r="AG1538" s="16"/>
    </row>
    <row r="1539" spans="2:33">
      <c r="B1539" s="19"/>
      <c r="P1539" s="16"/>
      <c r="Q1539" s="36" t="s">
        <v>41</v>
      </c>
      <c r="R1539" s="13">
        <v>2696</v>
      </c>
      <c r="S1539" s="13">
        <v>1271</v>
      </c>
      <c r="T1539" s="13">
        <v>0</v>
      </c>
      <c r="U1539" s="13">
        <v>0</v>
      </c>
      <c r="V1539" s="13">
        <v>0</v>
      </c>
      <c r="W1539" s="37">
        <v>1167</v>
      </c>
      <c r="X1539" s="19"/>
      <c r="AG1539" s="16"/>
    </row>
    <row r="1540" spans="2:33">
      <c r="B1540" s="19"/>
      <c r="P1540" s="16"/>
      <c r="Q1540" s="36" t="s">
        <v>551</v>
      </c>
      <c r="R1540" s="13">
        <v>0</v>
      </c>
      <c r="S1540" s="13">
        <v>0</v>
      </c>
      <c r="T1540" s="13">
        <v>270</v>
      </c>
      <c r="U1540" s="13">
        <v>119</v>
      </c>
      <c r="V1540" s="13">
        <v>0</v>
      </c>
      <c r="W1540" s="37">
        <v>232</v>
      </c>
      <c r="X1540" s="19"/>
      <c r="AG1540" s="16"/>
    </row>
    <row r="1541" spans="2:33">
      <c r="B1541" s="19"/>
      <c r="P1541" s="16"/>
      <c r="Q1541" s="36" t="s">
        <v>552</v>
      </c>
      <c r="R1541" s="13">
        <v>0</v>
      </c>
      <c r="S1541" s="13">
        <v>0</v>
      </c>
      <c r="T1541" s="13">
        <v>2313</v>
      </c>
      <c r="U1541" s="13">
        <v>1222</v>
      </c>
      <c r="V1541" s="13">
        <v>0</v>
      </c>
      <c r="W1541" s="37">
        <v>1168</v>
      </c>
      <c r="X1541" s="19"/>
      <c r="AG1541" s="16"/>
    </row>
    <row r="1542" spans="2:33">
      <c r="B1542" s="19"/>
      <c r="P1542" s="16"/>
      <c r="Q1542" s="36" t="s">
        <v>43</v>
      </c>
      <c r="R1542" s="13">
        <v>0</v>
      </c>
      <c r="S1542" s="13">
        <v>0</v>
      </c>
      <c r="T1542" s="13">
        <v>993</v>
      </c>
      <c r="U1542" s="13">
        <v>647</v>
      </c>
      <c r="V1542" s="13">
        <v>0</v>
      </c>
      <c r="W1542" s="37">
        <v>582</v>
      </c>
      <c r="X1542" s="19"/>
      <c r="AG1542" s="16"/>
    </row>
    <row r="1543" spans="2:33">
      <c r="B1543" s="19"/>
      <c r="P1543" s="16"/>
      <c r="Q1543" s="36" t="s">
        <v>44</v>
      </c>
      <c r="R1543" s="13">
        <v>0</v>
      </c>
      <c r="S1543" s="13">
        <v>0</v>
      </c>
      <c r="T1543" s="13">
        <v>0</v>
      </c>
      <c r="U1543" s="13">
        <v>1911</v>
      </c>
      <c r="V1543" s="13">
        <v>1020</v>
      </c>
      <c r="W1543" s="37">
        <v>953</v>
      </c>
      <c r="X1543" s="19"/>
      <c r="AG1543" s="16"/>
    </row>
    <row r="1544" spans="2:33">
      <c r="B1544" s="19"/>
      <c r="P1544" s="16"/>
      <c r="Q1544" s="36" t="s">
        <v>45</v>
      </c>
      <c r="R1544" s="13">
        <v>0</v>
      </c>
      <c r="S1544" s="13">
        <v>1593</v>
      </c>
      <c r="T1544" s="13">
        <v>787</v>
      </c>
      <c r="U1544" s="13">
        <v>0</v>
      </c>
      <c r="V1544" s="13">
        <v>0</v>
      </c>
      <c r="W1544" s="37">
        <v>639</v>
      </c>
      <c r="X1544" s="19"/>
      <c r="AG1544" s="16"/>
    </row>
    <row r="1545" spans="2:33" ht="15" thickBot="1">
      <c r="B1545" s="20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7"/>
      <c r="Q1545" s="36" t="s">
        <v>46</v>
      </c>
      <c r="R1545" s="13">
        <v>1558</v>
      </c>
      <c r="S1545" s="13">
        <v>855</v>
      </c>
      <c r="T1545" s="13">
        <v>0</v>
      </c>
      <c r="U1545" s="13">
        <v>0</v>
      </c>
      <c r="V1545" s="13">
        <v>0</v>
      </c>
      <c r="W1545" s="37">
        <v>503</v>
      </c>
      <c r="X1545" s="20"/>
      <c r="Y1545" s="15"/>
      <c r="Z1545" s="15"/>
      <c r="AA1545" s="15"/>
      <c r="AB1545" s="15"/>
      <c r="AC1545" s="15"/>
      <c r="AD1545" s="15"/>
      <c r="AE1545" s="15"/>
      <c r="AF1545" s="15"/>
      <c r="AG1545" s="17"/>
    </row>
    <row r="1547" spans="2:33" ht="15" thickBot="1">
      <c r="B1547" s="25" t="s">
        <v>532</v>
      </c>
      <c r="C1547" s="26" t="s">
        <v>533</v>
      </c>
      <c r="D1547" s="26" t="s">
        <v>731</v>
      </c>
      <c r="E1547" s="26" t="s">
        <v>732</v>
      </c>
      <c r="F1547" s="26" t="s">
        <v>733</v>
      </c>
      <c r="G1547" s="26" t="s">
        <v>734</v>
      </c>
      <c r="H1547" s="27" t="s">
        <v>683</v>
      </c>
      <c r="I1547" s="26" t="s">
        <v>735</v>
      </c>
      <c r="J1547" s="27" t="s">
        <v>87</v>
      </c>
      <c r="K1547" s="29">
        <v>20</v>
      </c>
      <c r="L1547" s="29">
        <v>20</v>
      </c>
      <c r="M1547" s="29">
        <v>20</v>
      </c>
      <c r="N1547" s="29">
        <v>20</v>
      </c>
      <c r="O1547" s="29">
        <v>20</v>
      </c>
      <c r="P1547" s="40">
        <v>26</v>
      </c>
      <c r="Q1547" s="1" t="s">
        <v>35</v>
      </c>
      <c r="R1547" s="2">
        <v>1859</v>
      </c>
      <c r="S1547" s="2">
        <v>1010</v>
      </c>
      <c r="T1547" s="2">
        <v>0</v>
      </c>
      <c r="U1547" s="2">
        <v>0</v>
      </c>
      <c r="V1547" s="2">
        <v>0</v>
      </c>
      <c r="W1547" s="2">
        <v>628</v>
      </c>
      <c r="X1547" s="43">
        <f>SUM(R1547:W1559)</f>
        <v>27056</v>
      </c>
      <c r="Y1547" s="10">
        <v>46204</v>
      </c>
      <c r="Z1547" s="11">
        <v>0.21915174234314722</v>
      </c>
      <c r="AA1547" s="11">
        <v>0.18274192037163289</v>
      </c>
      <c r="AB1547" s="11">
        <v>0.14726787607165501</v>
      </c>
      <c r="AC1547" s="11">
        <v>0.1287497680516306</v>
      </c>
      <c r="AD1547" s="11">
        <v>0.11447820346270936</v>
      </c>
      <c r="AE1547" s="11">
        <v>0.13149780089791482</v>
      </c>
      <c r="AF1547" s="11">
        <v>0.2</v>
      </c>
      <c r="AG1547" s="11">
        <v>0.23899999999999999</v>
      </c>
    </row>
    <row r="1548" spans="2:33">
      <c r="B1548" s="53" t="s">
        <v>2193</v>
      </c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35"/>
      <c r="Q1548" s="36" t="s">
        <v>36</v>
      </c>
      <c r="R1548" s="13">
        <v>0</v>
      </c>
      <c r="S1548" s="13">
        <v>0</v>
      </c>
      <c r="T1548" s="13">
        <v>0</v>
      </c>
      <c r="U1548" s="13">
        <v>0</v>
      </c>
      <c r="V1548" s="13">
        <v>0</v>
      </c>
      <c r="W1548" s="37">
        <v>0</v>
      </c>
      <c r="X1548" s="18"/>
      <c r="Y1548" s="14"/>
      <c r="Z1548" s="14"/>
      <c r="AA1548" s="14"/>
      <c r="AB1548" s="14"/>
      <c r="AC1548" s="14"/>
      <c r="AD1548" s="14"/>
      <c r="AE1548" s="14"/>
      <c r="AF1548" s="14"/>
      <c r="AG1548" s="35"/>
    </row>
    <row r="1549" spans="2:33">
      <c r="B1549" s="19"/>
      <c r="P1549" s="16"/>
      <c r="Q1549" s="36" t="s">
        <v>37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37">
        <v>0</v>
      </c>
      <c r="X1549" s="19"/>
      <c r="AG1549" s="16"/>
    </row>
    <row r="1550" spans="2:33">
      <c r="B1550" s="19"/>
      <c r="P1550" s="16"/>
      <c r="Q1550" s="36" t="s">
        <v>38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37">
        <v>0</v>
      </c>
      <c r="X1550" s="19"/>
      <c r="AG1550" s="16"/>
    </row>
    <row r="1551" spans="2:33">
      <c r="B1551" s="19"/>
      <c r="P1551" s="16"/>
      <c r="Q1551" s="36" t="s">
        <v>39</v>
      </c>
      <c r="R1551" s="13">
        <v>1446</v>
      </c>
      <c r="S1551" s="13">
        <v>2268</v>
      </c>
      <c r="T1551" s="13">
        <v>804</v>
      </c>
      <c r="U1551" s="13">
        <v>1900</v>
      </c>
      <c r="V1551" s="13">
        <v>1027</v>
      </c>
      <c r="W1551" s="37">
        <v>2151</v>
      </c>
      <c r="X1551" s="19"/>
      <c r="AG1551" s="16"/>
    </row>
    <row r="1552" spans="2:33">
      <c r="B1552" s="19"/>
      <c r="P1552" s="16"/>
      <c r="Q1552" s="36" t="s">
        <v>41</v>
      </c>
      <c r="R1552" s="13">
        <v>1370</v>
      </c>
      <c r="S1552" s="13">
        <v>783</v>
      </c>
      <c r="T1552" s="13">
        <v>0</v>
      </c>
      <c r="U1552" s="13">
        <v>0</v>
      </c>
      <c r="V1552" s="13">
        <v>0</v>
      </c>
      <c r="W1552" s="37">
        <v>524</v>
      </c>
      <c r="X1552" s="19"/>
      <c r="AG1552" s="16"/>
    </row>
    <row r="1553" spans="2:33">
      <c r="B1553" s="19"/>
      <c r="P1553" s="16"/>
      <c r="Q1553" s="36" t="s">
        <v>551</v>
      </c>
      <c r="R1553" s="13">
        <v>0</v>
      </c>
      <c r="S1553" s="13">
        <v>0</v>
      </c>
      <c r="T1553" s="13">
        <v>133</v>
      </c>
      <c r="U1553" s="13">
        <v>87</v>
      </c>
      <c r="V1553" s="13">
        <v>0</v>
      </c>
      <c r="W1553" s="37">
        <v>116</v>
      </c>
      <c r="X1553" s="19"/>
      <c r="AG1553" s="16"/>
    </row>
    <row r="1554" spans="2:33">
      <c r="B1554" s="19"/>
      <c r="P1554" s="16"/>
      <c r="Q1554" s="36" t="s">
        <v>552</v>
      </c>
      <c r="R1554" s="13">
        <v>0</v>
      </c>
      <c r="S1554" s="13">
        <v>0</v>
      </c>
      <c r="T1554" s="13">
        <v>1293</v>
      </c>
      <c r="U1554" s="13">
        <v>797</v>
      </c>
      <c r="V1554" s="13">
        <v>0</v>
      </c>
      <c r="W1554" s="37">
        <v>539</v>
      </c>
      <c r="X1554" s="19"/>
      <c r="AG1554" s="16"/>
    </row>
    <row r="1555" spans="2:33">
      <c r="B1555" s="19"/>
      <c r="P1555" s="16"/>
      <c r="Q1555" s="36" t="s">
        <v>43</v>
      </c>
      <c r="R1555" s="13">
        <v>0</v>
      </c>
      <c r="S1555" s="13">
        <v>0</v>
      </c>
      <c r="T1555" s="13">
        <v>1336</v>
      </c>
      <c r="U1555" s="13">
        <v>777</v>
      </c>
      <c r="V1555" s="13">
        <v>0</v>
      </c>
      <c r="W1555" s="37">
        <v>510</v>
      </c>
      <c r="X1555" s="19"/>
      <c r="AG1555" s="16"/>
    </row>
    <row r="1556" spans="2:33">
      <c r="B1556" s="19"/>
      <c r="P1556" s="16"/>
      <c r="Q1556" s="36" t="s">
        <v>44</v>
      </c>
      <c r="R1556" s="13">
        <v>0</v>
      </c>
      <c r="S1556" s="13">
        <v>0</v>
      </c>
      <c r="T1556" s="13">
        <v>0</v>
      </c>
      <c r="U1556" s="13">
        <v>1388</v>
      </c>
      <c r="V1556" s="13">
        <v>775</v>
      </c>
      <c r="W1556" s="37">
        <v>448</v>
      </c>
      <c r="X1556" s="19"/>
      <c r="AG1556" s="16"/>
    </row>
    <row r="1557" spans="2:33">
      <c r="B1557" s="19"/>
      <c r="P1557" s="16"/>
      <c r="Q1557" s="36" t="s">
        <v>539</v>
      </c>
      <c r="R1557" s="13">
        <v>0</v>
      </c>
      <c r="S1557" s="13">
        <v>1267</v>
      </c>
      <c r="T1557" s="13">
        <v>714</v>
      </c>
      <c r="U1557" s="13">
        <v>0</v>
      </c>
      <c r="V1557" s="13">
        <v>0</v>
      </c>
      <c r="W1557" s="37">
        <v>431</v>
      </c>
      <c r="X1557" s="19"/>
      <c r="AG1557" s="16"/>
    </row>
    <row r="1558" spans="2:33">
      <c r="B1558" s="19"/>
      <c r="P1558" s="16"/>
      <c r="Q1558" s="36" t="s">
        <v>540</v>
      </c>
      <c r="R1558" s="13">
        <v>0</v>
      </c>
      <c r="S1558" s="13">
        <v>312</v>
      </c>
      <c r="T1558" s="13">
        <v>182</v>
      </c>
      <c r="U1558" s="13">
        <v>0</v>
      </c>
      <c r="V1558" s="13">
        <v>0</v>
      </c>
      <c r="W1558" s="37">
        <v>181</v>
      </c>
      <c r="X1558" s="19"/>
      <c r="AG1558" s="16"/>
    </row>
    <row r="1559" spans="2:33" ht="15" thickBot="1">
      <c r="B1559" s="20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7"/>
      <c r="Q1559" s="36" t="s">
        <v>46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37">
        <v>0</v>
      </c>
      <c r="X1559" s="20"/>
      <c r="Y1559" s="15"/>
      <c r="Z1559" s="15"/>
      <c r="AA1559" s="15"/>
      <c r="AB1559" s="15"/>
      <c r="AC1559" s="15"/>
      <c r="AD1559" s="15"/>
      <c r="AE1559" s="15"/>
      <c r="AF1559" s="15"/>
      <c r="AG1559" s="17"/>
    </row>
    <row r="1561" spans="2:33" ht="15" thickBot="1">
      <c r="B1561" s="25" t="s">
        <v>532</v>
      </c>
      <c r="C1561" s="26" t="s">
        <v>533</v>
      </c>
      <c r="D1561" s="26" t="s">
        <v>736</v>
      </c>
      <c r="E1561" s="26" t="s">
        <v>737</v>
      </c>
      <c r="F1561" s="26" t="s">
        <v>738</v>
      </c>
      <c r="G1561" s="26" t="s">
        <v>739</v>
      </c>
      <c r="H1561" s="27" t="s">
        <v>740</v>
      </c>
      <c r="I1561" s="26" t="s">
        <v>741</v>
      </c>
      <c r="J1561" s="27" t="s">
        <v>87</v>
      </c>
      <c r="K1561" s="29">
        <v>19</v>
      </c>
      <c r="L1561" s="29">
        <v>19</v>
      </c>
      <c r="M1561" s="29">
        <v>19</v>
      </c>
      <c r="N1561" s="29">
        <v>19</v>
      </c>
      <c r="O1561" s="29">
        <v>19</v>
      </c>
      <c r="P1561" s="40">
        <v>19</v>
      </c>
      <c r="Q1561" s="1" t="s">
        <v>35</v>
      </c>
      <c r="R1561" s="2">
        <v>2259</v>
      </c>
      <c r="S1561" s="2">
        <v>494</v>
      </c>
      <c r="T1561" s="2">
        <v>0</v>
      </c>
      <c r="U1561" s="2">
        <v>0</v>
      </c>
      <c r="V1561" s="2">
        <v>0</v>
      </c>
      <c r="W1561" s="2">
        <v>841</v>
      </c>
      <c r="X1561" s="43">
        <f>SUM(R1561:W1572)</f>
        <v>30989</v>
      </c>
      <c r="Y1561" s="10">
        <v>46204</v>
      </c>
      <c r="Z1561" s="11">
        <v>0.21915174234314722</v>
      </c>
      <c r="AA1561" s="11">
        <v>0.18274192037163289</v>
      </c>
      <c r="AB1561" s="11">
        <v>0.14726787607165501</v>
      </c>
      <c r="AC1561" s="11">
        <v>0.1287497680516306</v>
      </c>
      <c r="AD1561" s="11">
        <v>0.11447820346270936</v>
      </c>
      <c r="AE1561" s="11">
        <v>0.13149780089791482</v>
      </c>
      <c r="AF1561" s="11">
        <v>0.2</v>
      </c>
      <c r="AG1561" s="11">
        <v>0.23899999999999999</v>
      </c>
    </row>
    <row r="1562" spans="2:33">
      <c r="B1562" s="53" t="s">
        <v>2193</v>
      </c>
      <c r="C1562" s="14"/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35"/>
      <c r="Q1562" s="36" t="s">
        <v>36</v>
      </c>
      <c r="R1562" s="13">
        <v>1694</v>
      </c>
      <c r="S1562" s="13">
        <v>367</v>
      </c>
      <c r="T1562" s="13">
        <v>0</v>
      </c>
      <c r="U1562" s="13">
        <v>0</v>
      </c>
      <c r="V1562" s="13">
        <v>0</v>
      </c>
      <c r="W1562" s="37">
        <v>612</v>
      </c>
      <c r="X1562" s="18"/>
      <c r="Y1562" s="14"/>
      <c r="Z1562" s="14"/>
      <c r="AA1562" s="14"/>
      <c r="AB1562" s="14"/>
      <c r="AC1562" s="14"/>
      <c r="AD1562" s="14"/>
      <c r="AE1562" s="14"/>
      <c r="AF1562" s="14"/>
      <c r="AG1562" s="35"/>
    </row>
    <row r="1563" spans="2:33">
      <c r="B1563" s="19"/>
      <c r="P1563" s="16"/>
      <c r="Q1563" s="36" t="s">
        <v>37</v>
      </c>
      <c r="R1563" s="13">
        <v>0</v>
      </c>
      <c r="S1563" s="13">
        <v>1826</v>
      </c>
      <c r="T1563" s="13">
        <v>424</v>
      </c>
      <c r="U1563" s="13">
        <v>0</v>
      </c>
      <c r="V1563" s="13">
        <v>0</v>
      </c>
      <c r="W1563" s="37">
        <v>725</v>
      </c>
      <c r="X1563" s="19"/>
      <c r="AG1563" s="16"/>
    </row>
    <row r="1564" spans="2:33">
      <c r="B1564" s="19"/>
      <c r="P1564" s="16"/>
      <c r="Q1564" s="36" t="s">
        <v>38</v>
      </c>
      <c r="R1564" s="13">
        <v>0</v>
      </c>
      <c r="S1564" s="13">
        <v>0</v>
      </c>
      <c r="T1564" s="13">
        <v>0</v>
      </c>
      <c r="U1564" s="13">
        <v>1016</v>
      </c>
      <c r="V1564" s="13">
        <v>274</v>
      </c>
      <c r="W1564" s="37">
        <v>511</v>
      </c>
      <c r="X1564" s="19"/>
      <c r="AG1564" s="16"/>
    </row>
    <row r="1565" spans="2:33">
      <c r="B1565" s="19"/>
      <c r="P1565" s="16"/>
      <c r="Q1565" s="36" t="s">
        <v>39</v>
      </c>
      <c r="R1565" s="13">
        <v>0</v>
      </c>
      <c r="S1565" s="13">
        <v>0</v>
      </c>
      <c r="T1565" s="13">
        <v>0</v>
      </c>
      <c r="U1565" s="13">
        <v>1051</v>
      </c>
      <c r="V1565" s="13">
        <v>262</v>
      </c>
      <c r="W1565" s="37">
        <v>564</v>
      </c>
      <c r="X1565" s="19"/>
      <c r="AG1565" s="16"/>
    </row>
    <row r="1566" spans="2:33">
      <c r="B1566" s="19"/>
      <c r="P1566" s="16"/>
      <c r="Q1566" s="36" t="s">
        <v>40</v>
      </c>
      <c r="R1566" s="13">
        <v>0</v>
      </c>
      <c r="S1566" s="13">
        <v>0</v>
      </c>
      <c r="T1566" s="13">
        <v>1918</v>
      </c>
      <c r="U1566" s="13">
        <v>291</v>
      </c>
      <c r="V1566" s="13">
        <v>0</v>
      </c>
      <c r="W1566" s="37">
        <v>671</v>
      </c>
      <c r="X1566" s="19"/>
      <c r="AG1566" s="16"/>
    </row>
    <row r="1567" spans="2:33">
      <c r="B1567" s="19"/>
      <c r="P1567" s="16"/>
      <c r="Q1567" s="36" t="s">
        <v>41</v>
      </c>
      <c r="R1567" s="13">
        <v>2596</v>
      </c>
      <c r="S1567" s="13">
        <v>377</v>
      </c>
      <c r="T1567" s="13">
        <v>0</v>
      </c>
      <c r="U1567" s="13">
        <v>0</v>
      </c>
      <c r="V1567" s="13">
        <v>0</v>
      </c>
      <c r="W1567" s="37">
        <v>570</v>
      </c>
      <c r="X1567" s="19"/>
      <c r="AG1567" s="16"/>
    </row>
    <row r="1568" spans="2:33">
      <c r="B1568" s="19"/>
      <c r="P1568" s="16"/>
      <c r="Q1568" s="36" t="s">
        <v>221</v>
      </c>
      <c r="R1568" s="13">
        <v>0</v>
      </c>
      <c r="S1568" s="13">
        <v>0</v>
      </c>
      <c r="T1568" s="13">
        <v>2045</v>
      </c>
      <c r="U1568" s="13">
        <v>280</v>
      </c>
      <c r="V1568" s="13">
        <v>0</v>
      </c>
      <c r="W1568" s="37">
        <v>506</v>
      </c>
      <c r="X1568" s="19"/>
      <c r="AG1568" s="16"/>
    </row>
    <row r="1569" spans="2:33">
      <c r="B1569" s="19"/>
      <c r="P1569" s="16"/>
      <c r="Q1569" s="36" t="s">
        <v>742</v>
      </c>
      <c r="R1569" s="13">
        <v>0</v>
      </c>
      <c r="S1569" s="13">
        <v>0</v>
      </c>
      <c r="T1569" s="13">
        <v>1617</v>
      </c>
      <c r="U1569" s="13">
        <v>269</v>
      </c>
      <c r="V1569" s="13">
        <v>0</v>
      </c>
      <c r="W1569" s="37">
        <v>575</v>
      </c>
      <c r="X1569" s="19"/>
      <c r="AG1569" s="16"/>
    </row>
    <row r="1570" spans="2:33">
      <c r="B1570" s="19"/>
      <c r="P1570" s="16"/>
      <c r="Q1570" s="36" t="s">
        <v>743</v>
      </c>
      <c r="R1570" s="13">
        <v>0</v>
      </c>
      <c r="S1570" s="13">
        <v>0</v>
      </c>
      <c r="T1570" s="13">
        <v>0</v>
      </c>
      <c r="U1570" s="13">
        <v>1176</v>
      </c>
      <c r="V1570" s="13">
        <v>293</v>
      </c>
      <c r="W1570" s="37">
        <v>534</v>
      </c>
      <c r="X1570" s="19"/>
      <c r="AG1570" s="16"/>
    </row>
    <row r="1571" spans="2:33">
      <c r="B1571" s="19"/>
      <c r="P1571" s="16"/>
      <c r="Q1571" s="36" t="s">
        <v>744</v>
      </c>
      <c r="R1571" s="13">
        <v>0</v>
      </c>
      <c r="S1571" s="13">
        <v>1074</v>
      </c>
      <c r="T1571" s="13">
        <v>255</v>
      </c>
      <c r="U1571" s="13">
        <v>0</v>
      </c>
      <c r="V1571" s="13">
        <v>0</v>
      </c>
      <c r="W1571" s="37">
        <v>528</v>
      </c>
      <c r="X1571" s="19"/>
      <c r="AG1571" s="16"/>
    </row>
    <row r="1572" spans="2:33" ht="15" thickBot="1">
      <c r="B1572" s="20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7"/>
      <c r="Q1572" s="36" t="s">
        <v>745</v>
      </c>
      <c r="R1572" s="13">
        <v>1554</v>
      </c>
      <c r="S1572" s="13">
        <v>399</v>
      </c>
      <c r="T1572" s="13">
        <v>0</v>
      </c>
      <c r="U1572" s="13">
        <v>0</v>
      </c>
      <c r="V1572" s="13">
        <v>0</v>
      </c>
      <c r="W1572" s="37">
        <v>541</v>
      </c>
      <c r="X1572" s="20"/>
      <c r="Y1572" s="15"/>
      <c r="Z1572" s="15"/>
      <c r="AA1572" s="15"/>
      <c r="AB1572" s="15"/>
      <c r="AC1572" s="15"/>
      <c r="AD1572" s="15"/>
      <c r="AE1572" s="15"/>
      <c r="AF1572" s="15"/>
      <c r="AG1572" s="17"/>
    </row>
    <row r="1574" spans="2:33" ht="15" thickBot="1">
      <c r="B1574" s="25" t="s">
        <v>532</v>
      </c>
      <c r="C1574" s="26" t="s">
        <v>533</v>
      </c>
      <c r="D1574" s="26" t="s">
        <v>746</v>
      </c>
      <c r="E1574" s="26" t="s">
        <v>747</v>
      </c>
      <c r="F1574" s="26" t="s">
        <v>748</v>
      </c>
      <c r="G1574" s="26" t="s">
        <v>749</v>
      </c>
      <c r="H1574" s="27" t="s">
        <v>246</v>
      </c>
      <c r="I1574" s="26" t="s">
        <v>750</v>
      </c>
      <c r="J1574" s="27" t="s">
        <v>87</v>
      </c>
      <c r="K1574" s="29">
        <v>15</v>
      </c>
      <c r="L1574" s="29">
        <v>15</v>
      </c>
      <c r="M1574" s="29">
        <v>33</v>
      </c>
      <c r="N1574" s="29">
        <v>33</v>
      </c>
      <c r="O1574" s="29">
        <v>33</v>
      </c>
      <c r="P1574" s="40">
        <v>36</v>
      </c>
      <c r="Q1574" s="1" t="s">
        <v>35</v>
      </c>
      <c r="R1574" s="2">
        <v>1627</v>
      </c>
      <c r="S1574" s="2">
        <v>834</v>
      </c>
      <c r="T1574" s="2">
        <v>0</v>
      </c>
      <c r="U1574" s="2">
        <v>0</v>
      </c>
      <c r="V1574" s="2">
        <v>0</v>
      </c>
      <c r="W1574" s="2">
        <v>672</v>
      </c>
      <c r="X1574" s="43">
        <f>SUM(R1574:W1587)</f>
        <v>29293</v>
      </c>
      <c r="Y1574" s="10">
        <v>46204</v>
      </c>
      <c r="Z1574" s="11">
        <v>0.21915174234314722</v>
      </c>
      <c r="AA1574" s="11">
        <v>0.18274192037163289</v>
      </c>
      <c r="AB1574" s="11">
        <v>0.14726787607165501</v>
      </c>
      <c r="AC1574" s="11">
        <v>0.1287497680516306</v>
      </c>
      <c r="AD1574" s="11">
        <v>0.11447820346270936</v>
      </c>
      <c r="AE1574" s="11">
        <v>0.13149780089791482</v>
      </c>
      <c r="AF1574" s="11">
        <v>0.2</v>
      </c>
      <c r="AG1574" s="11">
        <v>0.23899999999999999</v>
      </c>
    </row>
    <row r="1575" spans="2:33">
      <c r="B1575" s="53" t="s">
        <v>2193</v>
      </c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35"/>
      <c r="Q1575" s="36" t="s">
        <v>36</v>
      </c>
      <c r="R1575" s="13">
        <v>1583</v>
      </c>
      <c r="S1575" s="13">
        <v>807</v>
      </c>
      <c r="T1575" s="13">
        <v>0</v>
      </c>
      <c r="U1575" s="13">
        <v>0</v>
      </c>
      <c r="V1575" s="13">
        <v>0</v>
      </c>
      <c r="W1575" s="37">
        <v>588</v>
      </c>
      <c r="X1575" s="18"/>
      <c r="Y1575" s="14"/>
      <c r="Z1575" s="14"/>
      <c r="AA1575" s="14"/>
      <c r="AB1575" s="14"/>
      <c r="AC1575" s="14"/>
      <c r="AD1575" s="14"/>
      <c r="AE1575" s="14"/>
      <c r="AF1575" s="14"/>
      <c r="AG1575" s="35"/>
    </row>
    <row r="1576" spans="2:33">
      <c r="B1576" s="19"/>
      <c r="P1576" s="16"/>
      <c r="Q1576" s="36" t="s">
        <v>37</v>
      </c>
      <c r="R1576" s="13">
        <v>0</v>
      </c>
      <c r="S1576" s="13">
        <v>1511</v>
      </c>
      <c r="T1576" s="13">
        <v>735</v>
      </c>
      <c r="U1576" s="13">
        <v>0</v>
      </c>
      <c r="V1576" s="13">
        <v>0</v>
      </c>
      <c r="W1576" s="37">
        <v>676</v>
      </c>
      <c r="X1576" s="19"/>
      <c r="AG1576" s="16"/>
    </row>
    <row r="1577" spans="2:33">
      <c r="B1577" s="19"/>
      <c r="P1577" s="16"/>
      <c r="Q1577" s="36" t="s">
        <v>38</v>
      </c>
      <c r="R1577" s="13">
        <v>0</v>
      </c>
      <c r="S1577" s="13">
        <v>0</v>
      </c>
      <c r="T1577" s="13">
        <v>0</v>
      </c>
      <c r="U1577" s="13">
        <v>2595</v>
      </c>
      <c r="V1577" s="13">
        <v>1475</v>
      </c>
      <c r="W1577" s="37">
        <v>728</v>
      </c>
      <c r="X1577" s="19"/>
      <c r="AG1577" s="16"/>
    </row>
    <row r="1578" spans="2:33">
      <c r="B1578" s="19"/>
      <c r="P1578" s="16"/>
      <c r="Q1578" s="36" t="s">
        <v>39</v>
      </c>
      <c r="R1578" s="13">
        <v>0</v>
      </c>
      <c r="S1578" s="13">
        <v>0</v>
      </c>
      <c r="T1578" s="13">
        <v>0</v>
      </c>
      <c r="U1578" s="13">
        <v>987</v>
      </c>
      <c r="V1578" s="13">
        <v>497</v>
      </c>
      <c r="W1578" s="37">
        <v>453</v>
      </c>
      <c r="X1578" s="19"/>
      <c r="AG1578" s="16"/>
    </row>
    <row r="1579" spans="2:33">
      <c r="B1579" s="19"/>
      <c r="P1579" s="16"/>
      <c r="Q1579" s="36" t="s">
        <v>40</v>
      </c>
      <c r="R1579" s="13">
        <v>0</v>
      </c>
      <c r="S1579" s="13">
        <v>0</v>
      </c>
      <c r="T1579" s="13">
        <v>757</v>
      </c>
      <c r="U1579" s="13">
        <v>435</v>
      </c>
      <c r="V1579" s="13">
        <v>0</v>
      </c>
      <c r="W1579" s="37">
        <v>398</v>
      </c>
      <c r="X1579" s="19"/>
      <c r="AG1579" s="16"/>
    </row>
    <row r="1580" spans="2:33">
      <c r="B1580" s="19"/>
      <c r="P1580" s="16"/>
      <c r="Q1580" s="36" t="s">
        <v>41</v>
      </c>
      <c r="R1580" s="13">
        <v>905</v>
      </c>
      <c r="S1580" s="13">
        <v>525</v>
      </c>
      <c r="T1580" s="13">
        <v>0</v>
      </c>
      <c r="U1580" s="13">
        <v>0</v>
      </c>
      <c r="V1580" s="13">
        <v>0</v>
      </c>
      <c r="W1580" s="37">
        <v>356</v>
      </c>
      <c r="X1580" s="19"/>
      <c r="AG1580" s="16"/>
    </row>
    <row r="1581" spans="2:33">
      <c r="B1581" s="19"/>
      <c r="P1581" s="16"/>
      <c r="Q1581" s="36" t="s">
        <v>551</v>
      </c>
      <c r="R1581" s="13">
        <v>0</v>
      </c>
      <c r="S1581" s="13">
        <v>0</v>
      </c>
      <c r="T1581" s="13">
        <v>66</v>
      </c>
      <c r="U1581" s="13">
        <v>45</v>
      </c>
      <c r="V1581" s="13">
        <v>0</v>
      </c>
      <c r="W1581" s="37">
        <v>69</v>
      </c>
      <c r="X1581" s="19"/>
      <c r="AG1581" s="16"/>
    </row>
    <row r="1582" spans="2:33">
      <c r="B1582" s="19"/>
      <c r="P1582" s="16"/>
      <c r="Q1582" s="36" t="s">
        <v>552</v>
      </c>
      <c r="R1582" s="13">
        <v>0</v>
      </c>
      <c r="S1582" s="13">
        <v>0</v>
      </c>
      <c r="T1582" s="13">
        <v>734</v>
      </c>
      <c r="U1582" s="13">
        <v>410</v>
      </c>
      <c r="V1582" s="13">
        <v>0</v>
      </c>
      <c r="W1582" s="37">
        <v>349</v>
      </c>
      <c r="X1582" s="19"/>
      <c r="AG1582" s="16"/>
    </row>
    <row r="1583" spans="2:33">
      <c r="B1583" s="19"/>
      <c r="P1583" s="16"/>
      <c r="Q1583" s="36" t="s">
        <v>43</v>
      </c>
      <c r="R1583" s="13">
        <v>0</v>
      </c>
      <c r="S1583" s="13">
        <v>0</v>
      </c>
      <c r="T1583" s="13">
        <v>792</v>
      </c>
      <c r="U1583" s="13">
        <v>439</v>
      </c>
      <c r="V1583" s="13">
        <v>0</v>
      </c>
      <c r="W1583" s="37">
        <v>334</v>
      </c>
      <c r="X1583" s="19"/>
      <c r="AG1583" s="16"/>
    </row>
    <row r="1584" spans="2:33">
      <c r="B1584" s="19"/>
      <c r="P1584" s="16"/>
      <c r="Q1584" s="36" t="s">
        <v>751</v>
      </c>
      <c r="R1584" s="13">
        <v>0</v>
      </c>
      <c r="S1584" s="13">
        <v>0</v>
      </c>
      <c r="T1584" s="13">
        <v>0</v>
      </c>
      <c r="U1584" s="13">
        <v>209</v>
      </c>
      <c r="V1584" s="13">
        <v>157</v>
      </c>
      <c r="W1584" s="37">
        <v>121</v>
      </c>
      <c r="X1584" s="19"/>
      <c r="AG1584" s="16"/>
    </row>
    <row r="1585" spans="2:33">
      <c r="B1585" s="19"/>
      <c r="P1585" s="16"/>
      <c r="Q1585" s="36" t="s">
        <v>752</v>
      </c>
      <c r="R1585" s="13">
        <v>0</v>
      </c>
      <c r="S1585" s="13">
        <v>0</v>
      </c>
      <c r="T1585" s="13">
        <v>0</v>
      </c>
      <c r="U1585" s="13">
        <v>634</v>
      </c>
      <c r="V1585" s="13">
        <v>348</v>
      </c>
      <c r="W1585" s="37">
        <v>309</v>
      </c>
      <c r="X1585" s="19"/>
      <c r="AG1585" s="16"/>
    </row>
    <row r="1586" spans="2:33">
      <c r="B1586" s="19"/>
      <c r="P1586" s="16"/>
      <c r="Q1586" s="36" t="s">
        <v>562</v>
      </c>
      <c r="R1586" s="13">
        <v>0</v>
      </c>
      <c r="S1586" s="13">
        <v>1049</v>
      </c>
      <c r="T1586" s="13">
        <v>530</v>
      </c>
      <c r="U1586" s="13">
        <v>0</v>
      </c>
      <c r="V1586" s="13">
        <v>0</v>
      </c>
      <c r="W1586" s="37">
        <v>426</v>
      </c>
      <c r="X1586" s="19"/>
      <c r="AG1586" s="16"/>
    </row>
    <row r="1587" spans="2:33" ht="15" thickBot="1">
      <c r="B1587" s="20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7"/>
      <c r="Q1587" s="36" t="s">
        <v>753</v>
      </c>
      <c r="R1587" s="13">
        <v>1333</v>
      </c>
      <c r="S1587" s="13">
        <v>811</v>
      </c>
      <c r="T1587" s="13">
        <v>68</v>
      </c>
      <c r="U1587" s="13">
        <v>0</v>
      </c>
      <c r="V1587" s="13">
        <v>0</v>
      </c>
      <c r="W1587" s="37">
        <v>916</v>
      </c>
      <c r="X1587" s="20"/>
      <c r="Y1587" s="15"/>
      <c r="Z1587" s="15"/>
      <c r="AA1587" s="15"/>
      <c r="AB1587" s="15"/>
      <c r="AC1587" s="15"/>
      <c r="AD1587" s="15"/>
      <c r="AE1587" s="15"/>
      <c r="AF1587" s="15"/>
      <c r="AG1587" s="17"/>
    </row>
    <row r="1589" spans="2:33" ht="15" thickBot="1">
      <c r="B1589" s="25" t="s">
        <v>532</v>
      </c>
      <c r="C1589" s="26" t="s">
        <v>533</v>
      </c>
      <c r="D1589" s="26" t="s">
        <v>754</v>
      </c>
      <c r="E1589" s="26" t="s">
        <v>755</v>
      </c>
      <c r="F1589" s="26" t="s">
        <v>756</v>
      </c>
      <c r="G1589" s="26" t="s">
        <v>757</v>
      </c>
      <c r="H1589" s="27" t="s">
        <v>662</v>
      </c>
      <c r="I1589" s="26" t="s">
        <v>758</v>
      </c>
      <c r="J1589" s="27" t="s">
        <v>87</v>
      </c>
      <c r="K1589" s="29">
        <v>41.390998840332003</v>
      </c>
      <c r="L1589" s="29">
        <v>41.390998840332003</v>
      </c>
      <c r="M1589" s="29">
        <v>41.390998840332003</v>
      </c>
      <c r="N1589" s="29">
        <v>41.390998840332003</v>
      </c>
      <c r="O1589" s="29">
        <v>41.390998840332003</v>
      </c>
      <c r="P1589" s="40">
        <v>41.390998840332003</v>
      </c>
      <c r="Q1589" s="1" t="s">
        <v>759</v>
      </c>
      <c r="R1589" s="2">
        <v>204</v>
      </c>
      <c r="S1589" s="2">
        <v>118</v>
      </c>
      <c r="T1589" s="2">
        <v>0</v>
      </c>
      <c r="U1589" s="2">
        <v>0</v>
      </c>
      <c r="V1589" s="2">
        <v>0</v>
      </c>
      <c r="W1589" s="2">
        <v>116</v>
      </c>
      <c r="X1589" s="43">
        <f>SUM(R1589:W1598)</f>
        <v>49048</v>
      </c>
      <c r="Y1589" s="10">
        <v>46204</v>
      </c>
      <c r="Z1589" s="11">
        <v>0.21915174234314722</v>
      </c>
      <c r="AA1589" s="11">
        <v>0.18274192037163289</v>
      </c>
      <c r="AB1589" s="11">
        <v>0.14726787607165501</v>
      </c>
      <c r="AC1589" s="11">
        <v>0.1287497680516306</v>
      </c>
      <c r="AD1589" s="11">
        <v>0.11447820346270936</v>
      </c>
      <c r="AE1589" s="11">
        <v>0.13149780089791482</v>
      </c>
      <c r="AF1589" s="11">
        <v>0.2</v>
      </c>
      <c r="AG1589" s="11">
        <v>0.23899999999999999</v>
      </c>
    </row>
    <row r="1590" spans="2:33">
      <c r="B1590" s="53" t="s">
        <v>2193</v>
      </c>
      <c r="C1590" s="14"/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35"/>
      <c r="Q1590" s="36" t="s">
        <v>103</v>
      </c>
      <c r="R1590" s="13">
        <v>986</v>
      </c>
      <c r="S1590" s="13">
        <v>701</v>
      </c>
      <c r="T1590" s="13">
        <v>0</v>
      </c>
      <c r="U1590" s="13">
        <v>0</v>
      </c>
      <c r="V1590" s="13">
        <v>0</v>
      </c>
      <c r="W1590" s="37">
        <v>1287</v>
      </c>
      <c r="X1590" s="18"/>
      <c r="Y1590" s="14"/>
      <c r="Z1590" s="14"/>
      <c r="AA1590" s="14"/>
      <c r="AB1590" s="14"/>
      <c r="AC1590" s="14"/>
      <c r="AD1590" s="14"/>
      <c r="AE1590" s="14"/>
      <c r="AF1590" s="14"/>
      <c r="AG1590" s="35"/>
    </row>
    <row r="1591" spans="2:33">
      <c r="B1591" s="19"/>
      <c r="P1591" s="16"/>
      <c r="Q1591" s="36" t="s">
        <v>214</v>
      </c>
      <c r="R1591" s="13">
        <v>938</v>
      </c>
      <c r="S1591" s="13">
        <v>712</v>
      </c>
      <c r="T1591" s="13">
        <v>39</v>
      </c>
      <c r="U1591" s="13">
        <v>0</v>
      </c>
      <c r="V1591" s="13">
        <v>0</v>
      </c>
      <c r="W1591" s="37">
        <v>1068</v>
      </c>
      <c r="X1591" s="19"/>
      <c r="AG1591" s="16"/>
    </row>
    <row r="1592" spans="2:33">
      <c r="B1592" s="19"/>
      <c r="P1592" s="16"/>
      <c r="Q1592" s="36" t="s">
        <v>760</v>
      </c>
      <c r="R1592" s="13">
        <v>0</v>
      </c>
      <c r="S1592" s="13">
        <v>901</v>
      </c>
      <c r="T1592" s="13">
        <v>793</v>
      </c>
      <c r="U1592" s="13">
        <v>137</v>
      </c>
      <c r="V1592" s="13">
        <v>92</v>
      </c>
      <c r="W1592" s="37">
        <v>1138</v>
      </c>
      <c r="X1592" s="19"/>
      <c r="AG1592" s="16"/>
    </row>
    <row r="1593" spans="2:33">
      <c r="B1593" s="19"/>
      <c r="P1593" s="16"/>
      <c r="Q1593" s="36" t="s">
        <v>761</v>
      </c>
      <c r="R1593" s="13">
        <v>0</v>
      </c>
      <c r="S1593" s="13">
        <v>0</v>
      </c>
      <c r="T1593" s="13">
        <v>0</v>
      </c>
      <c r="U1593" s="13">
        <v>914</v>
      </c>
      <c r="V1593" s="13">
        <v>616</v>
      </c>
      <c r="W1593" s="37">
        <v>1213</v>
      </c>
      <c r="X1593" s="19"/>
      <c r="AG1593" s="16"/>
    </row>
    <row r="1594" spans="2:33">
      <c r="B1594" s="19"/>
      <c r="P1594" s="16"/>
      <c r="Q1594" s="36" t="s">
        <v>762</v>
      </c>
      <c r="R1594" s="13">
        <v>0</v>
      </c>
      <c r="S1594" s="13">
        <v>0</v>
      </c>
      <c r="T1594" s="13">
        <v>101</v>
      </c>
      <c r="U1594" s="13">
        <v>985</v>
      </c>
      <c r="V1594" s="13">
        <v>616</v>
      </c>
      <c r="W1594" s="37">
        <v>1189</v>
      </c>
      <c r="X1594" s="19"/>
      <c r="AG1594" s="16"/>
    </row>
    <row r="1595" spans="2:33">
      <c r="B1595" s="19"/>
      <c r="P1595" s="16"/>
      <c r="Q1595" s="36" t="s">
        <v>763</v>
      </c>
      <c r="R1595" s="13">
        <v>0</v>
      </c>
      <c r="S1595" s="13">
        <v>0</v>
      </c>
      <c r="T1595" s="13">
        <v>9033</v>
      </c>
      <c r="U1595" s="13">
        <v>5595</v>
      </c>
      <c r="V1595" s="13">
        <v>203</v>
      </c>
      <c r="W1595" s="37">
        <v>4414</v>
      </c>
      <c r="X1595" s="19"/>
      <c r="AG1595" s="16"/>
    </row>
    <row r="1596" spans="2:33">
      <c r="B1596" s="19"/>
      <c r="P1596" s="16"/>
      <c r="Q1596" s="36" t="s">
        <v>764</v>
      </c>
      <c r="R1596" s="13">
        <v>0</v>
      </c>
      <c r="S1596" s="13">
        <v>157</v>
      </c>
      <c r="T1596" s="13">
        <v>64</v>
      </c>
      <c r="U1596" s="13">
        <v>2778</v>
      </c>
      <c r="V1596" s="13">
        <v>1659</v>
      </c>
      <c r="W1596" s="37">
        <v>1722</v>
      </c>
      <c r="X1596" s="19"/>
      <c r="AG1596" s="16"/>
    </row>
    <row r="1597" spans="2:33">
      <c r="B1597" s="19"/>
      <c r="P1597" s="16"/>
      <c r="Q1597" s="36" t="s">
        <v>765</v>
      </c>
      <c r="R1597" s="13">
        <v>131</v>
      </c>
      <c r="S1597" s="13">
        <v>1646</v>
      </c>
      <c r="T1597" s="13">
        <v>1296</v>
      </c>
      <c r="U1597" s="13">
        <v>0</v>
      </c>
      <c r="V1597" s="13">
        <v>0</v>
      </c>
      <c r="W1597" s="37">
        <v>1601</v>
      </c>
      <c r="X1597" s="19"/>
      <c r="AG1597" s="16"/>
    </row>
    <row r="1598" spans="2:33" ht="15" thickBot="1">
      <c r="B1598" s="20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7"/>
      <c r="Q1598" s="36" t="s">
        <v>766</v>
      </c>
      <c r="R1598" s="13">
        <v>829</v>
      </c>
      <c r="S1598" s="13">
        <v>1141</v>
      </c>
      <c r="T1598" s="13">
        <v>0</v>
      </c>
      <c r="U1598" s="13">
        <v>0</v>
      </c>
      <c r="V1598" s="13">
        <v>0</v>
      </c>
      <c r="W1598" s="37">
        <v>1915</v>
      </c>
      <c r="X1598" s="20"/>
      <c r="Y1598" s="15"/>
      <c r="Z1598" s="15"/>
      <c r="AA1598" s="15"/>
      <c r="AB1598" s="15"/>
      <c r="AC1598" s="15"/>
      <c r="AD1598" s="15"/>
      <c r="AE1598" s="15"/>
      <c r="AF1598" s="15"/>
      <c r="AG1598" s="17"/>
    </row>
    <row r="1600" spans="2:33" ht="15" thickBot="1">
      <c r="B1600" s="25" t="s">
        <v>532</v>
      </c>
      <c r="C1600" s="26" t="s">
        <v>533</v>
      </c>
      <c r="D1600" s="26" t="s">
        <v>767</v>
      </c>
      <c r="E1600" s="26" t="s">
        <v>768</v>
      </c>
      <c r="F1600" s="26" t="s">
        <v>769</v>
      </c>
      <c r="G1600" s="26" t="s">
        <v>65</v>
      </c>
      <c r="H1600" s="27" t="s">
        <v>66</v>
      </c>
      <c r="I1600" s="26" t="s">
        <v>770</v>
      </c>
      <c r="J1600" s="27" t="s">
        <v>87</v>
      </c>
      <c r="K1600" s="29">
        <v>27</v>
      </c>
      <c r="L1600" s="29">
        <v>27</v>
      </c>
      <c r="M1600" s="29">
        <v>27</v>
      </c>
      <c r="N1600" s="29">
        <v>27</v>
      </c>
      <c r="O1600" s="29">
        <v>27</v>
      </c>
      <c r="P1600" s="40">
        <v>27</v>
      </c>
      <c r="Q1600" s="1" t="s">
        <v>35</v>
      </c>
      <c r="R1600" s="2">
        <v>2239</v>
      </c>
      <c r="S1600" s="2">
        <v>1298</v>
      </c>
      <c r="T1600" s="2">
        <v>0</v>
      </c>
      <c r="U1600" s="2">
        <v>0</v>
      </c>
      <c r="V1600" s="2">
        <v>0</v>
      </c>
      <c r="W1600" s="2">
        <v>1507</v>
      </c>
      <c r="X1600" s="43">
        <f>SUM(R1600:W1612)</f>
        <v>52986</v>
      </c>
      <c r="Y1600" s="10">
        <v>46204</v>
      </c>
      <c r="Z1600" s="11">
        <v>0.21915174234314722</v>
      </c>
      <c r="AA1600" s="11">
        <v>0.18274192037163289</v>
      </c>
      <c r="AB1600" s="11">
        <v>0.14726787607165501</v>
      </c>
      <c r="AC1600" s="11">
        <v>0.1287497680516306</v>
      </c>
      <c r="AD1600" s="11">
        <v>0.11447820346270936</v>
      </c>
      <c r="AE1600" s="11">
        <v>0.13149780089791482</v>
      </c>
      <c r="AF1600" s="11">
        <v>0.2</v>
      </c>
      <c r="AG1600" s="11">
        <v>0.23899999999999999</v>
      </c>
    </row>
    <row r="1601" spans="2:33">
      <c r="B1601" s="53" t="s">
        <v>2193</v>
      </c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35"/>
      <c r="Q1601" s="36" t="s">
        <v>36</v>
      </c>
      <c r="R1601" s="13">
        <v>1840</v>
      </c>
      <c r="S1601" s="13">
        <v>1106</v>
      </c>
      <c r="T1601" s="13">
        <v>0</v>
      </c>
      <c r="U1601" s="13">
        <v>0</v>
      </c>
      <c r="V1601" s="13">
        <v>0</v>
      </c>
      <c r="W1601" s="37">
        <v>1362</v>
      </c>
      <c r="X1601" s="18"/>
      <c r="Y1601" s="14"/>
      <c r="Z1601" s="14"/>
      <c r="AA1601" s="14"/>
      <c r="AB1601" s="14"/>
      <c r="AC1601" s="14"/>
      <c r="AD1601" s="14"/>
      <c r="AE1601" s="14"/>
      <c r="AF1601" s="14"/>
      <c r="AG1601" s="35"/>
    </row>
    <row r="1602" spans="2:33">
      <c r="B1602" s="19"/>
      <c r="P1602" s="16"/>
      <c r="Q1602" s="36" t="s">
        <v>37</v>
      </c>
      <c r="R1602" s="13">
        <v>0</v>
      </c>
      <c r="S1602" s="13">
        <v>1927</v>
      </c>
      <c r="T1602" s="13">
        <v>1052</v>
      </c>
      <c r="U1602" s="13">
        <v>0</v>
      </c>
      <c r="V1602" s="13">
        <v>0</v>
      </c>
      <c r="W1602" s="37">
        <v>1541</v>
      </c>
      <c r="X1602" s="19"/>
      <c r="AG1602" s="16"/>
    </row>
    <row r="1603" spans="2:33">
      <c r="B1603" s="19"/>
      <c r="P1603" s="16"/>
      <c r="Q1603" s="36" t="s">
        <v>38</v>
      </c>
      <c r="R1603" s="13">
        <v>0</v>
      </c>
      <c r="S1603" s="13">
        <v>0</v>
      </c>
      <c r="T1603" s="13">
        <v>0</v>
      </c>
      <c r="U1603" s="13">
        <v>1561</v>
      </c>
      <c r="V1603" s="13">
        <v>896</v>
      </c>
      <c r="W1603" s="37">
        <v>1265</v>
      </c>
      <c r="X1603" s="19"/>
      <c r="AG1603" s="16"/>
    </row>
    <row r="1604" spans="2:33">
      <c r="B1604" s="19"/>
      <c r="P1604" s="16"/>
      <c r="Q1604" s="36" t="s">
        <v>39</v>
      </c>
      <c r="R1604" s="13">
        <v>0</v>
      </c>
      <c r="S1604" s="13">
        <v>0</v>
      </c>
      <c r="T1604" s="13">
        <v>0</v>
      </c>
      <c r="U1604" s="13">
        <v>1673</v>
      </c>
      <c r="V1604" s="13">
        <v>984</v>
      </c>
      <c r="W1604" s="37">
        <v>1421</v>
      </c>
      <c r="X1604" s="19"/>
      <c r="AG1604" s="16"/>
    </row>
    <row r="1605" spans="2:33">
      <c r="B1605" s="19"/>
      <c r="P1605" s="16"/>
      <c r="Q1605" s="36" t="s">
        <v>40</v>
      </c>
      <c r="R1605" s="13">
        <v>0</v>
      </c>
      <c r="S1605" s="13">
        <v>0</v>
      </c>
      <c r="T1605" s="13">
        <v>2205</v>
      </c>
      <c r="U1605" s="13">
        <v>1197</v>
      </c>
      <c r="V1605" s="13">
        <v>0</v>
      </c>
      <c r="W1605" s="37">
        <v>1375</v>
      </c>
      <c r="X1605" s="19"/>
      <c r="AG1605" s="16"/>
    </row>
    <row r="1606" spans="2:33">
      <c r="B1606" s="19"/>
      <c r="P1606" s="16"/>
      <c r="Q1606" s="36" t="s">
        <v>41</v>
      </c>
      <c r="R1606" s="13">
        <v>2070</v>
      </c>
      <c r="S1606" s="13">
        <v>1045</v>
      </c>
      <c r="T1606" s="13">
        <v>0</v>
      </c>
      <c r="U1606" s="13">
        <v>0</v>
      </c>
      <c r="V1606" s="13">
        <v>0</v>
      </c>
      <c r="W1606" s="37">
        <v>1308</v>
      </c>
      <c r="X1606" s="19"/>
      <c r="AG1606" s="16"/>
    </row>
    <row r="1607" spans="2:33">
      <c r="B1607" s="19"/>
      <c r="P1607" s="16"/>
      <c r="Q1607" s="36" t="s">
        <v>551</v>
      </c>
      <c r="R1607" s="13">
        <v>0</v>
      </c>
      <c r="S1607" s="13">
        <v>0</v>
      </c>
      <c r="T1607" s="13">
        <v>195</v>
      </c>
      <c r="U1607" s="13">
        <v>109</v>
      </c>
      <c r="V1607" s="13">
        <v>0</v>
      </c>
      <c r="W1607" s="37">
        <v>261</v>
      </c>
      <c r="X1607" s="19"/>
      <c r="AG1607" s="16"/>
    </row>
    <row r="1608" spans="2:33">
      <c r="B1608" s="19"/>
      <c r="P1608" s="16"/>
      <c r="Q1608" s="36" t="s">
        <v>552</v>
      </c>
      <c r="R1608" s="13">
        <v>0</v>
      </c>
      <c r="S1608" s="13">
        <v>0</v>
      </c>
      <c r="T1608" s="13">
        <v>1855</v>
      </c>
      <c r="U1608" s="13">
        <v>1022</v>
      </c>
      <c r="V1608" s="13">
        <v>0</v>
      </c>
      <c r="W1608" s="37">
        <v>1307</v>
      </c>
      <c r="X1608" s="19"/>
      <c r="AG1608" s="16"/>
    </row>
    <row r="1609" spans="2:33">
      <c r="B1609" s="19"/>
      <c r="P1609" s="16"/>
      <c r="Q1609" s="36" t="s">
        <v>43</v>
      </c>
      <c r="R1609" s="13">
        <v>0</v>
      </c>
      <c r="S1609" s="13">
        <v>0</v>
      </c>
      <c r="T1609" s="13">
        <v>1946</v>
      </c>
      <c r="U1609" s="13">
        <v>1145</v>
      </c>
      <c r="V1609" s="13">
        <v>0</v>
      </c>
      <c r="W1609" s="37">
        <v>1251</v>
      </c>
      <c r="X1609" s="19"/>
      <c r="AG1609" s="16"/>
    </row>
    <row r="1610" spans="2:33">
      <c r="B1610" s="19"/>
      <c r="P1610" s="16"/>
      <c r="Q1610" s="36" t="s">
        <v>44</v>
      </c>
      <c r="R1610" s="13">
        <v>0</v>
      </c>
      <c r="S1610" s="13">
        <v>0</v>
      </c>
      <c r="T1610" s="13">
        <v>0</v>
      </c>
      <c r="U1610" s="13">
        <v>1953</v>
      </c>
      <c r="V1610" s="13">
        <v>1148</v>
      </c>
      <c r="W1610" s="37">
        <v>1257</v>
      </c>
      <c r="X1610" s="19"/>
      <c r="AG1610" s="16"/>
    </row>
    <row r="1611" spans="2:33">
      <c r="B1611" s="19"/>
      <c r="P1611" s="16"/>
      <c r="Q1611" s="36" t="s">
        <v>45</v>
      </c>
      <c r="R1611" s="13">
        <v>0</v>
      </c>
      <c r="S1611" s="13">
        <v>1868</v>
      </c>
      <c r="T1611" s="13">
        <v>1017</v>
      </c>
      <c r="U1611" s="13">
        <v>0</v>
      </c>
      <c r="V1611" s="13">
        <v>0</v>
      </c>
      <c r="W1611" s="37">
        <v>1301</v>
      </c>
      <c r="X1611" s="19"/>
      <c r="AG1611" s="16"/>
    </row>
    <row r="1612" spans="2:33" ht="15" thickBot="1">
      <c r="B1612" s="20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7"/>
      <c r="Q1612" s="36" t="s">
        <v>46</v>
      </c>
      <c r="R1612" s="13">
        <v>2030</v>
      </c>
      <c r="S1612" s="13">
        <v>1146</v>
      </c>
      <c r="T1612" s="13">
        <v>0</v>
      </c>
      <c r="U1612" s="13">
        <v>0</v>
      </c>
      <c r="V1612" s="13">
        <v>0</v>
      </c>
      <c r="W1612" s="37">
        <v>1303</v>
      </c>
      <c r="X1612" s="20"/>
      <c r="Y1612" s="15"/>
      <c r="Z1612" s="15"/>
      <c r="AA1612" s="15"/>
      <c r="AB1612" s="15"/>
      <c r="AC1612" s="15"/>
      <c r="AD1612" s="15"/>
      <c r="AE1612" s="15"/>
      <c r="AF1612" s="15"/>
      <c r="AG1612" s="17"/>
    </row>
    <row r="1614" spans="2:33" ht="15" thickBot="1">
      <c r="B1614" s="25" t="s">
        <v>532</v>
      </c>
      <c r="C1614" s="26" t="s">
        <v>533</v>
      </c>
      <c r="D1614" s="26" t="s">
        <v>771</v>
      </c>
      <c r="E1614" s="26" t="s">
        <v>772</v>
      </c>
      <c r="F1614" s="26" t="s">
        <v>773</v>
      </c>
      <c r="G1614" s="26" t="s">
        <v>774</v>
      </c>
      <c r="H1614" s="27" t="s">
        <v>704</v>
      </c>
      <c r="I1614" s="26" t="s">
        <v>775</v>
      </c>
      <c r="J1614" s="27" t="s">
        <v>87</v>
      </c>
      <c r="K1614" s="29">
        <v>19</v>
      </c>
      <c r="L1614" s="29">
        <v>19</v>
      </c>
      <c r="M1614" s="29">
        <v>19</v>
      </c>
      <c r="N1614" s="29">
        <v>19</v>
      </c>
      <c r="O1614" s="29">
        <v>19</v>
      </c>
      <c r="P1614" s="40">
        <v>19</v>
      </c>
      <c r="Q1614" s="1" t="s">
        <v>35</v>
      </c>
      <c r="R1614" s="2">
        <v>1793</v>
      </c>
      <c r="S1614" s="2">
        <v>1004</v>
      </c>
      <c r="T1614" s="2">
        <v>0</v>
      </c>
      <c r="U1614" s="2">
        <v>0</v>
      </c>
      <c r="V1614" s="2">
        <v>0</v>
      </c>
      <c r="W1614" s="2">
        <v>715</v>
      </c>
      <c r="X1614" s="43">
        <f>SUM(R1614:W1626)</f>
        <v>41693</v>
      </c>
      <c r="Y1614" s="10">
        <v>46204</v>
      </c>
      <c r="Z1614" s="11">
        <v>0.21915174234314722</v>
      </c>
      <c r="AA1614" s="11">
        <v>0.18274192037163289</v>
      </c>
      <c r="AB1614" s="11">
        <v>0.14726787607165501</v>
      </c>
      <c r="AC1614" s="11">
        <v>0.1287497680516306</v>
      </c>
      <c r="AD1614" s="11">
        <v>0.11447820346270936</v>
      </c>
      <c r="AE1614" s="11">
        <v>0.13149780089791482</v>
      </c>
      <c r="AF1614" s="11">
        <v>0.2</v>
      </c>
      <c r="AG1614" s="11">
        <v>0.23899999999999999</v>
      </c>
    </row>
    <row r="1615" spans="2:33">
      <c r="B1615" s="53" t="s">
        <v>2193</v>
      </c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35"/>
      <c r="Q1615" s="36" t="s">
        <v>36</v>
      </c>
      <c r="R1615" s="13">
        <v>1667</v>
      </c>
      <c r="S1615" s="13">
        <v>1057</v>
      </c>
      <c r="T1615" s="13">
        <v>0</v>
      </c>
      <c r="U1615" s="13">
        <v>0</v>
      </c>
      <c r="V1615" s="13">
        <v>0</v>
      </c>
      <c r="W1615" s="37">
        <v>785</v>
      </c>
      <c r="X1615" s="18"/>
      <c r="Y1615" s="14"/>
      <c r="Z1615" s="14"/>
      <c r="AA1615" s="14"/>
      <c r="AB1615" s="14"/>
      <c r="AC1615" s="14"/>
      <c r="AD1615" s="14"/>
      <c r="AE1615" s="14"/>
      <c r="AF1615" s="14"/>
      <c r="AG1615" s="35"/>
    </row>
    <row r="1616" spans="2:33">
      <c r="B1616" s="19"/>
      <c r="P1616" s="16"/>
      <c r="Q1616" s="36" t="s">
        <v>37</v>
      </c>
      <c r="R1616" s="13">
        <v>0</v>
      </c>
      <c r="S1616" s="13">
        <v>1625</v>
      </c>
      <c r="T1616" s="13">
        <v>985</v>
      </c>
      <c r="U1616" s="13">
        <v>0</v>
      </c>
      <c r="V1616" s="13">
        <v>0</v>
      </c>
      <c r="W1616" s="37">
        <v>844</v>
      </c>
      <c r="X1616" s="19"/>
      <c r="AG1616" s="16"/>
    </row>
    <row r="1617" spans="2:33">
      <c r="B1617" s="19"/>
      <c r="P1617" s="16"/>
      <c r="Q1617" s="36" t="s">
        <v>38</v>
      </c>
      <c r="R1617" s="13">
        <v>0</v>
      </c>
      <c r="S1617" s="13">
        <v>0</v>
      </c>
      <c r="T1617" s="13">
        <v>0</v>
      </c>
      <c r="U1617" s="13">
        <v>943</v>
      </c>
      <c r="V1617" s="13">
        <v>602</v>
      </c>
      <c r="W1617" s="37">
        <v>498</v>
      </c>
      <c r="X1617" s="19"/>
      <c r="AG1617" s="16"/>
    </row>
    <row r="1618" spans="2:33">
      <c r="B1618" s="19"/>
      <c r="P1618" s="16"/>
      <c r="Q1618" s="36" t="s">
        <v>39</v>
      </c>
      <c r="R1618" s="13">
        <v>0</v>
      </c>
      <c r="S1618" s="13">
        <v>0</v>
      </c>
      <c r="T1618" s="13">
        <v>0</v>
      </c>
      <c r="U1618" s="13">
        <v>1088</v>
      </c>
      <c r="V1618" s="13">
        <v>647</v>
      </c>
      <c r="W1618" s="37">
        <v>634</v>
      </c>
      <c r="X1618" s="19"/>
      <c r="AG1618" s="16"/>
    </row>
    <row r="1619" spans="2:33">
      <c r="B1619" s="19"/>
      <c r="P1619" s="16"/>
      <c r="Q1619" s="36" t="s">
        <v>40</v>
      </c>
      <c r="R1619" s="13">
        <v>0</v>
      </c>
      <c r="S1619" s="13">
        <v>0</v>
      </c>
      <c r="T1619" s="13">
        <v>1973</v>
      </c>
      <c r="U1619" s="13">
        <v>1129</v>
      </c>
      <c r="V1619" s="13">
        <v>0</v>
      </c>
      <c r="W1619" s="37">
        <v>777</v>
      </c>
      <c r="X1619" s="19"/>
      <c r="AG1619" s="16"/>
    </row>
    <row r="1620" spans="2:33">
      <c r="B1620" s="19"/>
      <c r="P1620" s="16"/>
      <c r="Q1620" s="36" t="s">
        <v>41</v>
      </c>
      <c r="R1620" s="13">
        <v>2419</v>
      </c>
      <c r="S1620" s="13">
        <v>1413</v>
      </c>
      <c r="T1620" s="13">
        <v>0</v>
      </c>
      <c r="U1620" s="13">
        <v>0</v>
      </c>
      <c r="V1620" s="13">
        <v>0</v>
      </c>
      <c r="W1620" s="37">
        <v>985</v>
      </c>
      <c r="X1620" s="19"/>
      <c r="AG1620" s="16"/>
    </row>
    <row r="1621" spans="2:33">
      <c r="B1621" s="19"/>
      <c r="P1621" s="16"/>
      <c r="Q1621" s="36" t="s">
        <v>551</v>
      </c>
      <c r="R1621" s="13">
        <v>0</v>
      </c>
      <c r="S1621" s="13">
        <v>0</v>
      </c>
      <c r="T1621" s="13">
        <v>222</v>
      </c>
      <c r="U1621" s="13">
        <v>102</v>
      </c>
      <c r="V1621" s="13">
        <v>0</v>
      </c>
      <c r="W1621" s="37">
        <v>207</v>
      </c>
      <c r="X1621" s="19"/>
      <c r="AG1621" s="16"/>
    </row>
    <row r="1622" spans="2:33">
      <c r="B1622" s="19"/>
      <c r="P1622" s="16"/>
      <c r="Q1622" s="36" t="s">
        <v>552</v>
      </c>
      <c r="R1622" s="13">
        <v>0</v>
      </c>
      <c r="S1622" s="13">
        <v>0</v>
      </c>
      <c r="T1622" s="13">
        <v>831</v>
      </c>
      <c r="U1622" s="13">
        <v>524</v>
      </c>
      <c r="V1622" s="13">
        <v>0</v>
      </c>
      <c r="W1622" s="37">
        <v>177</v>
      </c>
      <c r="X1622" s="19"/>
      <c r="AG1622" s="16"/>
    </row>
    <row r="1623" spans="2:33">
      <c r="B1623" s="19"/>
      <c r="P1623" s="16"/>
      <c r="Q1623" s="36" t="s">
        <v>43</v>
      </c>
      <c r="R1623" s="13">
        <v>0</v>
      </c>
      <c r="S1623" s="13">
        <v>0</v>
      </c>
      <c r="T1623" s="13">
        <v>2005</v>
      </c>
      <c r="U1623" s="13">
        <v>1204</v>
      </c>
      <c r="V1623" s="13">
        <v>0</v>
      </c>
      <c r="W1623" s="37">
        <v>1305</v>
      </c>
      <c r="X1623" s="19"/>
      <c r="AG1623" s="16"/>
    </row>
    <row r="1624" spans="2:33">
      <c r="B1624" s="19"/>
      <c r="P1624" s="16"/>
      <c r="Q1624" s="36" t="s">
        <v>44</v>
      </c>
      <c r="R1624" s="13">
        <v>0</v>
      </c>
      <c r="S1624" s="13">
        <v>0</v>
      </c>
      <c r="T1624" s="13">
        <v>0</v>
      </c>
      <c r="U1624" s="13">
        <v>1858</v>
      </c>
      <c r="V1624" s="13">
        <v>1254</v>
      </c>
      <c r="W1624" s="37">
        <v>1054</v>
      </c>
      <c r="X1624" s="19"/>
      <c r="AG1624" s="16"/>
    </row>
    <row r="1625" spans="2:33">
      <c r="B1625" s="19"/>
      <c r="P1625" s="16"/>
      <c r="Q1625" s="36" t="s">
        <v>45</v>
      </c>
      <c r="R1625" s="13">
        <v>0</v>
      </c>
      <c r="S1625" s="13">
        <v>1651</v>
      </c>
      <c r="T1625" s="13">
        <v>1074</v>
      </c>
      <c r="U1625" s="13">
        <v>0</v>
      </c>
      <c r="V1625" s="13">
        <v>0</v>
      </c>
      <c r="W1625" s="37">
        <v>1031</v>
      </c>
      <c r="X1625" s="19"/>
      <c r="AG1625" s="16"/>
    </row>
    <row r="1626" spans="2:33" ht="15" thickBot="1">
      <c r="B1626" s="20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7"/>
      <c r="Q1626" s="36" t="s">
        <v>46</v>
      </c>
      <c r="R1626" s="13">
        <v>1664</v>
      </c>
      <c r="S1626" s="13">
        <v>1076</v>
      </c>
      <c r="T1626" s="13">
        <v>0</v>
      </c>
      <c r="U1626" s="13">
        <v>0</v>
      </c>
      <c r="V1626" s="13">
        <v>0</v>
      </c>
      <c r="W1626" s="37">
        <v>871</v>
      </c>
      <c r="X1626" s="20"/>
      <c r="Y1626" s="15"/>
      <c r="Z1626" s="15"/>
      <c r="AA1626" s="15"/>
      <c r="AB1626" s="15"/>
      <c r="AC1626" s="15"/>
      <c r="AD1626" s="15"/>
      <c r="AE1626" s="15"/>
      <c r="AF1626" s="15"/>
      <c r="AG1626" s="17"/>
    </row>
    <row r="1628" spans="2:33" ht="15" thickBot="1">
      <c r="B1628" s="25" t="s">
        <v>532</v>
      </c>
      <c r="C1628" s="26" t="s">
        <v>533</v>
      </c>
      <c r="D1628" s="26" t="s">
        <v>776</v>
      </c>
      <c r="E1628" s="26" t="s">
        <v>777</v>
      </c>
      <c r="F1628" s="26" t="s">
        <v>778</v>
      </c>
      <c r="G1628" s="26" t="s">
        <v>779</v>
      </c>
      <c r="H1628" s="27" t="s">
        <v>683</v>
      </c>
      <c r="I1628" s="26" t="s">
        <v>780</v>
      </c>
      <c r="J1628" s="27" t="s">
        <v>87</v>
      </c>
      <c r="K1628" s="29">
        <v>20</v>
      </c>
      <c r="L1628" s="29">
        <v>20</v>
      </c>
      <c r="M1628" s="29">
        <v>20</v>
      </c>
      <c r="N1628" s="29">
        <v>20</v>
      </c>
      <c r="O1628" s="29">
        <v>20</v>
      </c>
      <c r="P1628" s="40">
        <v>27</v>
      </c>
      <c r="Q1628" s="1" t="s">
        <v>35</v>
      </c>
      <c r="R1628" s="2">
        <v>944</v>
      </c>
      <c r="S1628" s="2">
        <v>568</v>
      </c>
      <c r="T1628" s="2">
        <v>0</v>
      </c>
      <c r="U1628" s="2">
        <v>0</v>
      </c>
      <c r="V1628" s="2">
        <v>0</v>
      </c>
      <c r="W1628" s="2">
        <v>555</v>
      </c>
      <c r="X1628" s="43">
        <f>SUM(R1628:W1641)</f>
        <v>36404</v>
      </c>
      <c r="Y1628" s="10">
        <v>46204</v>
      </c>
      <c r="Z1628" s="11">
        <v>0.21915174234314722</v>
      </c>
      <c r="AA1628" s="11">
        <v>0.18274192037163289</v>
      </c>
      <c r="AB1628" s="11">
        <v>0.14726787607165501</v>
      </c>
      <c r="AC1628" s="11">
        <v>0.1287497680516306</v>
      </c>
      <c r="AD1628" s="11">
        <v>0.11447820346270936</v>
      </c>
      <c r="AE1628" s="11">
        <v>0.13149780089791482</v>
      </c>
      <c r="AF1628" s="11">
        <v>0.2</v>
      </c>
      <c r="AG1628" s="11">
        <v>0.23899999999999999</v>
      </c>
    </row>
    <row r="1629" spans="2:33">
      <c r="B1629" s="53" t="s">
        <v>2193</v>
      </c>
      <c r="C1629" s="14"/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35"/>
      <c r="Q1629" s="36" t="s">
        <v>36</v>
      </c>
      <c r="R1629" s="13">
        <v>972</v>
      </c>
      <c r="S1629" s="13">
        <v>560</v>
      </c>
      <c r="T1629" s="13">
        <v>0</v>
      </c>
      <c r="U1629" s="13">
        <v>0</v>
      </c>
      <c r="V1629" s="13">
        <v>0</v>
      </c>
      <c r="W1629" s="37">
        <v>562</v>
      </c>
      <c r="X1629" s="18"/>
      <c r="Y1629" s="14"/>
      <c r="Z1629" s="14"/>
      <c r="AA1629" s="14"/>
      <c r="AB1629" s="14"/>
      <c r="AC1629" s="14"/>
      <c r="AD1629" s="14"/>
      <c r="AE1629" s="14"/>
      <c r="AF1629" s="14"/>
      <c r="AG1629" s="35"/>
    </row>
    <row r="1630" spans="2:33">
      <c r="B1630" s="19"/>
      <c r="P1630" s="16"/>
      <c r="Q1630" s="36" t="s">
        <v>37</v>
      </c>
      <c r="R1630" s="13">
        <v>0</v>
      </c>
      <c r="S1630" s="13">
        <v>980</v>
      </c>
      <c r="T1630" s="13">
        <v>573</v>
      </c>
      <c r="U1630" s="13">
        <v>0</v>
      </c>
      <c r="V1630" s="13">
        <v>0</v>
      </c>
      <c r="W1630" s="37">
        <v>707</v>
      </c>
      <c r="X1630" s="19"/>
      <c r="AG1630" s="16"/>
    </row>
    <row r="1631" spans="2:33">
      <c r="B1631" s="19"/>
      <c r="P1631" s="16"/>
      <c r="Q1631" s="36" t="s">
        <v>38</v>
      </c>
      <c r="R1631" s="13">
        <v>0</v>
      </c>
      <c r="S1631" s="13">
        <v>0</v>
      </c>
      <c r="T1631" s="13">
        <v>0</v>
      </c>
      <c r="U1631" s="13">
        <v>882</v>
      </c>
      <c r="V1631" s="13">
        <v>505</v>
      </c>
      <c r="W1631" s="37">
        <v>507</v>
      </c>
      <c r="X1631" s="19"/>
      <c r="AG1631" s="16"/>
    </row>
    <row r="1632" spans="2:33">
      <c r="B1632" s="19"/>
      <c r="P1632" s="16"/>
      <c r="Q1632" s="36" t="s">
        <v>39</v>
      </c>
      <c r="R1632" s="13">
        <v>0</v>
      </c>
      <c r="S1632" s="13">
        <v>0</v>
      </c>
      <c r="T1632" s="13">
        <v>0</v>
      </c>
      <c r="U1632" s="13">
        <v>961</v>
      </c>
      <c r="V1632" s="13">
        <v>531</v>
      </c>
      <c r="W1632" s="37">
        <v>611</v>
      </c>
      <c r="X1632" s="19"/>
      <c r="AG1632" s="16"/>
    </row>
    <row r="1633" spans="2:33">
      <c r="B1633" s="19"/>
      <c r="P1633" s="16"/>
      <c r="Q1633" s="36" t="s">
        <v>40</v>
      </c>
      <c r="R1633" s="13">
        <v>0</v>
      </c>
      <c r="S1633" s="13">
        <v>0</v>
      </c>
      <c r="T1633" s="13">
        <v>1736</v>
      </c>
      <c r="U1633" s="13">
        <v>1055</v>
      </c>
      <c r="V1633" s="13">
        <v>0</v>
      </c>
      <c r="W1633" s="37">
        <v>886</v>
      </c>
      <c r="X1633" s="19"/>
      <c r="AG1633" s="16"/>
    </row>
    <row r="1634" spans="2:33">
      <c r="B1634" s="19"/>
      <c r="P1634" s="16"/>
      <c r="Q1634" s="36" t="s">
        <v>41</v>
      </c>
      <c r="R1634" s="13">
        <v>2029</v>
      </c>
      <c r="S1634" s="13">
        <v>1219</v>
      </c>
      <c r="T1634" s="13">
        <v>0</v>
      </c>
      <c r="U1634" s="13">
        <v>0</v>
      </c>
      <c r="V1634" s="13">
        <v>0</v>
      </c>
      <c r="W1634" s="37">
        <v>1018</v>
      </c>
      <c r="X1634" s="19"/>
      <c r="AG1634" s="16"/>
    </row>
    <row r="1635" spans="2:33">
      <c r="B1635" s="19"/>
      <c r="P1635" s="16"/>
      <c r="Q1635" s="36" t="s">
        <v>551</v>
      </c>
      <c r="R1635" s="13">
        <v>0</v>
      </c>
      <c r="S1635" s="13">
        <v>0</v>
      </c>
      <c r="T1635" s="13">
        <v>199</v>
      </c>
      <c r="U1635" s="13">
        <v>115</v>
      </c>
      <c r="V1635" s="13">
        <v>0</v>
      </c>
      <c r="W1635" s="37">
        <v>196</v>
      </c>
      <c r="X1635" s="19"/>
      <c r="AG1635" s="16"/>
    </row>
    <row r="1636" spans="2:33">
      <c r="B1636" s="19"/>
      <c r="P1636" s="16"/>
      <c r="Q1636" s="36" t="s">
        <v>552</v>
      </c>
      <c r="R1636" s="13">
        <v>0</v>
      </c>
      <c r="S1636" s="13">
        <v>0</v>
      </c>
      <c r="T1636" s="13">
        <v>1822</v>
      </c>
      <c r="U1636" s="13">
        <v>1044</v>
      </c>
      <c r="V1636" s="13">
        <v>0</v>
      </c>
      <c r="W1636" s="37">
        <v>1015</v>
      </c>
      <c r="X1636" s="19"/>
      <c r="AG1636" s="16"/>
    </row>
    <row r="1637" spans="2:33">
      <c r="B1637" s="19"/>
      <c r="P1637" s="16"/>
      <c r="Q1637" s="36" t="s">
        <v>43</v>
      </c>
      <c r="R1637" s="13">
        <v>0</v>
      </c>
      <c r="S1637" s="13">
        <v>0</v>
      </c>
      <c r="T1637" s="13">
        <v>1838</v>
      </c>
      <c r="U1637" s="13">
        <v>1114</v>
      </c>
      <c r="V1637" s="13">
        <v>0</v>
      </c>
      <c r="W1637" s="37">
        <v>965</v>
      </c>
      <c r="X1637" s="19"/>
      <c r="AG1637" s="16"/>
    </row>
    <row r="1638" spans="2:33">
      <c r="B1638" s="19"/>
      <c r="P1638" s="16"/>
      <c r="Q1638" s="36" t="s">
        <v>44</v>
      </c>
      <c r="R1638" s="13">
        <v>0</v>
      </c>
      <c r="S1638" s="13">
        <v>0</v>
      </c>
      <c r="T1638" s="13">
        <v>0</v>
      </c>
      <c r="U1638" s="13">
        <v>1517</v>
      </c>
      <c r="V1638" s="13">
        <v>1047</v>
      </c>
      <c r="W1638" s="37">
        <v>836</v>
      </c>
      <c r="X1638" s="19"/>
      <c r="AG1638" s="16"/>
    </row>
    <row r="1639" spans="2:33">
      <c r="B1639" s="19"/>
      <c r="P1639" s="16"/>
      <c r="Q1639" s="36" t="s">
        <v>539</v>
      </c>
      <c r="R1639" s="13">
        <v>0</v>
      </c>
      <c r="S1639" s="13">
        <v>1290</v>
      </c>
      <c r="T1639" s="13">
        <v>759</v>
      </c>
      <c r="U1639" s="13">
        <v>0</v>
      </c>
      <c r="V1639" s="13">
        <v>0</v>
      </c>
      <c r="W1639" s="37">
        <v>736</v>
      </c>
      <c r="X1639" s="19"/>
      <c r="AG1639" s="16"/>
    </row>
    <row r="1640" spans="2:33">
      <c r="B1640" s="19"/>
      <c r="P1640" s="16"/>
      <c r="Q1640" s="36" t="s">
        <v>540</v>
      </c>
      <c r="R1640" s="13">
        <v>0</v>
      </c>
      <c r="S1640" s="13">
        <v>210</v>
      </c>
      <c r="T1640" s="13">
        <v>129</v>
      </c>
      <c r="U1640" s="13">
        <v>0</v>
      </c>
      <c r="V1640" s="13">
        <v>0</v>
      </c>
      <c r="W1640" s="37">
        <v>173</v>
      </c>
      <c r="X1640" s="19"/>
      <c r="AG1640" s="16"/>
    </row>
    <row r="1641" spans="2:33" ht="15" thickBot="1">
      <c r="B1641" s="20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7"/>
      <c r="Q1641" s="36" t="s">
        <v>46</v>
      </c>
      <c r="R1641" s="13">
        <v>1417</v>
      </c>
      <c r="S1641" s="13">
        <v>851</v>
      </c>
      <c r="T1641" s="13">
        <v>0</v>
      </c>
      <c r="U1641" s="13">
        <v>0</v>
      </c>
      <c r="V1641" s="13">
        <v>0</v>
      </c>
      <c r="W1641" s="37">
        <v>770</v>
      </c>
      <c r="X1641" s="20"/>
      <c r="Y1641" s="15"/>
      <c r="Z1641" s="15"/>
      <c r="AA1641" s="15"/>
      <c r="AB1641" s="15"/>
      <c r="AC1641" s="15"/>
      <c r="AD1641" s="15"/>
      <c r="AE1641" s="15"/>
      <c r="AF1641" s="15"/>
      <c r="AG1641" s="17"/>
    </row>
    <row r="1643" spans="2:33" ht="15" thickBot="1">
      <c r="B1643" s="25" t="s">
        <v>532</v>
      </c>
      <c r="C1643" s="26" t="s">
        <v>533</v>
      </c>
      <c r="D1643" s="26" t="s">
        <v>781</v>
      </c>
      <c r="E1643" s="26" t="s">
        <v>782</v>
      </c>
      <c r="F1643" s="26" t="s">
        <v>783</v>
      </c>
      <c r="G1643" s="26" t="s">
        <v>784</v>
      </c>
      <c r="H1643" s="27" t="s">
        <v>469</v>
      </c>
      <c r="I1643" s="26" t="s">
        <v>785</v>
      </c>
      <c r="J1643" s="27" t="s">
        <v>87</v>
      </c>
      <c r="K1643" s="29">
        <v>50</v>
      </c>
      <c r="L1643" s="29">
        <v>50</v>
      </c>
      <c r="M1643" s="29">
        <v>50</v>
      </c>
      <c r="N1643" s="29">
        <v>50</v>
      </c>
      <c r="O1643" s="29">
        <v>50</v>
      </c>
      <c r="P1643" s="40">
        <v>69</v>
      </c>
      <c r="Q1643" s="1" t="s">
        <v>35</v>
      </c>
      <c r="R1643" s="2">
        <v>2480</v>
      </c>
      <c r="S1643" s="2">
        <v>1441</v>
      </c>
      <c r="T1643" s="2">
        <v>0</v>
      </c>
      <c r="U1643" s="2">
        <v>0</v>
      </c>
      <c r="V1643" s="2">
        <v>0</v>
      </c>
      <c r="W1643" s="2">
        <v>1999</v>
      </c>
      <c r="X1643" s="43">
        <f>SUM(R1643:W1655)</f>
        <v>95918.269897460938</v>
      </c>
      <c r="Y1643" s="10">
        <v>46204</v>
      </c>
      <c r="Z1643" s="11">
        <v>0.21915174234314722</v>
      </c>
      <c r="AA1643" s="11">
        <v>0.18274192037163289</v>
      </c>
      <c r="AB1643" s="11">
        <v>0.14726787607165501</v>
      </c>
      <c r="AC1643" s="11">
        <v>0.1287497680516306</v>
      </c>
      <c r="AD1643" s="11">
        <v>0.11447820346270936</v>
      </c>
      <c r="AE1643" s="11">
        <v>0.13149780089791482</v>
      </c>
      <c r="AF1643" s="11">
        <v>0.2</v>
      </c>
      <c r="AG1643" s="11">
        <v>0.23899999999999999</v>
      </c>
    </row>
    <row r="1644" spans="2:33">
      <c r="B1644" s="53" t="s">
        <v>2193</v>
      </c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35"/>
      <c r="Q1644" s="36" t="s">
        <v>36</v>
      </c>
      <c r="R1644" s="13">
        <v>2273</v>
      </c>
      <c r="S1644" s="13">
        <v>1278</v>
      </c>
      <c r="T1644" s="13">
        <v>0</v>
      </c>
      <c r="U1644" s="13">
        <v>0</v>
      </c>
      <c r="V1644" s="13">
        <v>0</v>
      </c>
      <c r="W1644" s="37">
        <v>1463</v>
      </c>
      <c r="X1644" s="18"/>
      <c r="Y1644" s="14"/>
      <c r="Z1644" s="14"/>
      <c r="AA1644" s="14"/>
      <c r="AB1644" s="14"/>
      <c r="AC1644" s="14"/>
      <c r="AD1644" s="14"/>
      <c r="AE1644" s="14"/>
      <c r="AF1644" s="14"/>
      <c r="AG1644" s="35"/>
    </row>
    <row r="1645" spans="2:33">
      <c r="B1645" s="19"/>
      <c r="P1645" s="16"/>
      <c r="Q1645" s="36" t="s">
        <v>37</v>
      </c>
      <c r="R1645" s="13">
        <v>0</v>
      </c>
      <c r="S1645" s="13">
        <v>2710</v>
      </c>
      <c r="T1645" s="13">
        <v>1539</v>
      </c>
      <c r="U1645" s="13">
        <v>0</v>
      </c>
      <c r="V1645" s="13">
        <v>0</v>
      </c>
      <c r="W1645" s="37">
        <v>1860</v>
      </c>
      <c r="X1645" s="19"/>
      <c r="AG1645" s="16"/>
    </row>
    <row r="1646" spans="2:33">
      <c r="B1646" s="19"/>
      <c r="P1646" s="16"/>
      <c r="Q1646" s="36" t="s">
        <v>38</v>
      </c>
      <c r="R1646" s="13">
        <v>0</v>
      </c>
      <c r="S1646" s="13">
        <v>0</v>
      </c>
      <c r="T1646" s="13">
        <v>0</v>
      </c>
      <c r="U1646" s="13">
        <v>3313</v>
      </c>
      <c r="V1646" s="13">
        <v>1857.0699462890625</v>
      </c>
      <c r="W1646" s="37">
        <v>2267.199951171875</v>
      </c>
      <c r="X1646" s="19"/>
      <c r="AG1646" s="16"/>
    </row>
    <row r="1647" spans="2:33">
      <c r="B1647" s="19"/>
      <c r="P1647" s="16"/>
      <c r="Q1647" s="36" t="s">
        <v>39</v>
      </c>
      <c r="R1647" s="13">
        <v>0</v>
      </c>
      <c r="S1647" s="13">
        <v>0</v>
      </c>
      <c r="T1647" s="13">
        <v>0</v>
      </c>
      <c r="U1647" s="13">
        <v>3555</v>
      </c>
      <c r="V1647" s="13">
        <v>1952</v>
      </c>
      <c r="W1647" s="37">
        <v>2297</v>
      </c>
      <c r="X1647" s="19"/>
      <c r="AG1647" s="16"/>
    </row>
    <row r="1648" spans="2:33">
      <c r="B1648" s="19"/>
      <c r="P1648" s="16"/>
      <c r="Q1648" s="36" t="s">
        <v>40</v>
      </c>
      <c r="R1648" s="13">
        <v>0</v>
      </c>
      <c r="S1648" s="13">
        <v>0</v>
      </c>
      <c r="T1648" s="13">
        <v>4304</v>
      </c>
      <c r="U1648" s="13">
        <v>2274</v>
      </c>
      <c r="V1648" s="13">
        <v>0</v>
      </c>
      <c r="W1648" s="37">
        <v>3472</v>
      </c>
      <c r="X1648" s="19"/>
      <c r="AG1648" s="16"/>
    </row>
    <row r="1649" spans="2:33">
      <c r="B1649" s="19"/>
      <c r="P1649" s="16"/>
      <c r="Q1649" s="36" t="s">
        <v>41</v>
      </c>
      <c r="R1649" s="13">
        <v>5180</v>
      </c>
      <c r="S1649" s="13">
        <v>2678</v>
      </c>
      <c r="T1649" s="13">
        <v>0</v>
      </c>
      <c r="U1649" s="13">
        <v>0</v>
      </c>
      <c r="V1649" s="13">
        <v>0</v>
      </c>
      <c r="W1649" s="37">
        <v>3224</v>
      </c>
      <c r="X1649" s="19"/>
      <c r="AG1649" s="16"/>
    </row>
    <row r="1650" spans="2:33">
      <c r="B1650" s="19"/>
      <c r="P1650" s="16"/>
      <c r="Q1650" s="36" t="s">
        <v>551</v>
      </c>
      <c r="R1650" s="13">
        <v>0</v>
      </c>
      <c r="S1650" s="13">
        <v>0</v>
      </c>
      <c r="T1650" s="13">
        <v>450</v>
      </c>
      <c r="U1650" s="13">
        <v>206</v>
      </c>
      <c r="V1650" s="13">
        <v>0</v>
      </c>
      <c r="W1650" s="37">
        <v>757</v>
      </c>
      <c r="X1650" s="19"/>
      <c r="AG1650" s="16"/>
    </row>
    <row r="1651" spans="2:33">
      <c r="B1651" s="19"/>
      <c r="P1651" s="16"/>
      <c r="Q1651" s="36" t="s">
        <v>552</v>
      </c>
      <c r="R1651" s="13">
        <v>0</v>
      </c>
      <c r="S1651" s="13">
        <v>0</v>
      </c>
      <c r="T1651" s="13">
        <v>3999</v>
      </c>
      <c r="U1651" s="13">
        <v>2089</v>
      </c>
      <c r="V1651" s="13">
        <v>0</v>
      </c>
      <c r="W1651" s="37">
        <v>3585</v>
      </c>
      <c r="X1651" s="19"/>
      <c r="AG1651" s="16"/>
    </row>
    <row r="1652" spans="2:33">
      <c r="B1652" s="19"/>
      <c r="P1652" s="16"/>
      <c r="Q1652" s="36" t="s">
        <v>43</v>
      </c>
      <c r="R1652" s="13">
        <v>0</v>
      </c>
      <c r="S1652" s="13">
        <v>0</v>
      </c>
      <c r="T1652" s="13">
        <v>4158</v>
      </c>
      <c r="U1652" s="13">
        <v>2134</v>
      </c>
      <c r="V1652" s="13">
        <v>0</v>
      </c>
      <c r="W1652" s="37">
        <v>3211</v>
      </c>
      <c r="X1652" s="19"/>
      <c r="AG1652" s="16"/>
    </row>
    <row r="1653" spans="2:33">
      <c r="B1653" s="19"/>
      <c r="P1653" s="16"/>
      <c r="Q1653" s="36" t="s">
        <v>44</v>
      </c>
      <c r="R1653" s="13">
        <v>0</v>
      </c>
      <c r="S1653" s="13">
        <v>0</v>
      </c>
      <c r="T1653" s="13">
        <v>0</v>
      </c>
      <c r="U1653" s="13">
        <v>3934</v>
      </c>
      <c r="V1653" s="13">
        <v>2055</v>
      </c>
      <c r="W1653" s="37">
        <v>2019</v>
      </c>
      <c r="X1653" s="19"/>
      <c r="AG1653" s="16"/>
    </row>
    <row r="1654" spans="2:33">
      <c r="B1654" s="19"/>
      <c r="P1654" s="16"/>
      <c r="Q1654" s="36" t="s">
        <v>45</v>
      </c>
      <c r="R1654" s="13">
        <v>0</v>
      </c>
      <c r="S1654" s="13">
        <v>3061</v>
      </c>
      <c r="T1654" s="13">
        <v>1645</v>
      </c>
      <c r="U1654" s="13">
        <v>0</v>
      </c>
      <c r="V1654" s="13">
        <v>0</v>
      </c>
      <c r="W1654" s="37">
        <v>2290</v>
      </c>
      <c r="X1654" s="19"/>
      <c r="AG1654" s="16"/>
    </row>
    <row r="1655" spans="2:33" ht="15" thickBot="1">
      <c r="B1655" s="20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7"/>
      <c r="Q1655" s="36" t="s">
        <v>46</v>
      </c>
      <c r="R1655" s="13">
        <v>2729</v>
      </c>
      <c r="S1655" s="13">
        <v>1578</v>
      </c>
      <c r="T1655" s="13">
        <v>0</v>
      </c>
      <c r="U1655" s="13">
        <v>0</v>
      </c>
      <c r="V1655" s="13">
        <v>0</v>
      </c>
      <c r="W1655" s="37">
        <v>2602</v>
      </c>
      <c r="X1655" s="20"/>
      <c r="Y1655" s="15"/>
      <c r="Z1655" s="15"/>
      <c r="AA1655" s="15"/>
      <c r="AB1655" s="15"/>
      <c r="AC1655" s="15"/>
      <c r="AD1655" s="15"/>
      <c r="AE1655" s="15"/>
      <c r="AF1655" s="15"/>
      <c r="AG1655" s="17"/>
    </row>
    <row r="1657" spans="2:33" ht="15" thickBot="1">
      <c r="B1657" s="25" t="s">
        <v>532</v>
      </c>
      <c r="C1657" s="26" t="s">
        <v>533</v>
      </c>
      <c r="D1657" s="26" t="s">
        <v>786</v>
      </c>
      <c r="E1657" s="26" t="s">
        <v>787</v>
      </c>
      <c r="F1657" s="26" t="s">
        <v>788</v>
      </c>
      <c r="G1657" s="26" t="s">
        <v>789</v>
      </c>
      <c r="H1657" s="27" t="s">
        <v>683</v>
      </c>
      <c r="I1657" s="26" t="s">
        <v>790</v>
      </c>
      <c r="J1657" s="27" t="s">
        <v>87</v>
      </c>
      <c r="K1657" s="29">
        <v>15.0100002288818</v>
      </c>
      <c r="L1657" s="29">
        <v>15.0100002288818</v>
      </c>
      <c r="M1657" s="29">
        <v>15.0100002288818</v>
      </c>
      <c r="N1657" s="29">
        <v>15.0100002288818</v>
      </c>
      <c r="O1657" s="29">
        <v>15.0100002288818</v>
      </c>
      <c r="P1657" s="40">
        <v>15.0100002288818</v>
      </c>
      <c r="Q1657" s="1" t="s">
        <v>791</v>
      </c>
      <c r="R1657" s="2">
        <v>1260</v>
      </c>
      <c r="S1657" s="2">
        <v>737</v>
      </c>
      <c r="T1657" s="2">
        <v>0</v>
      </c>
      <c r="U1657" s="2">
        <v>0</v>
      </c>
      <c r="V1657" s="2">
        <v>0</v>
      </c>
      <c r="W1657" s="2">
        <v>565</v>
      </c>
      <c r="X1657" s="43">
        <f>SUM(R1657:W1668)</f>
        <v>49022</v>
      </c>
      <c r="Y1657" s="10">
        <v>46204</v>
      </c>
      <c r="Z1657" s="11">
        <v>0.21915174234314722</v>
      </c>
      <c r="AA1657" s="11">
        <v>0.18274192037163289</v>
      </c>
      <c r="AB1657" s="11">
        <v>0.14726787607165501</v>
      </c>
      <c r="AC1657" s="11">
        <v>0.1287497680516306</v>
      </c>
      <c r="AD1657" s="11">
        <v>0.11447820346270936</v>
      </c>
      <c r="AE1657" s="11">
        <v>0.13149780089791482</v>
      </c>
      <c r="AF1657" s="11">
        <v>0.2</v>
      </c>
      <c r="AG1657" s="11">
        <v>0.23899999999999999</v>
      </c>
    </row>
    <row r="1658" spans="2:33">
      <c r="B1658" s="53" t="s">
        <v>2193</v>
      </c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35"/>
      <c r="Q1658" s="36" t="s">
        <v>792</v>
      </c>
      <c r="R1658" s="13">
        <v>0</v>
      </c>
      <c r="S1658" s="13">
        <v>841</v>
      </c>
      <c r="T1658" s="13">
        <v>517</v>
      </c>
      <c r="U1658" s="13">
        <v>0</v>
      </c>
      <c r="V1658" s="13">
        <v>0</v>
      </c>
      <c r="W1658" s="37">
        <v>1279</v>
      </c>
      <c r="X1658" s="18"/>
      <c r="Y1658" s="14"/>
      <c r="Z1658" s="14"/>
      <c r="AA1658" s="14"/>
      <c r="AB1658" s="14"/>
      <c r="AC1658" s="14"/>
      <c r="AD1658" s="14"/>
      <c r="AE1658" s="14"/>
      <c r="AF1658" s="14"/>
      <c r="AG1658" s="35"/>
    </row>
    <row r="1659" spans="2:33">
      <c r="B1659" s="19"/>
      <c r="P1659" s="16"/>
      <c r="Q1659" s="36" t="s">
        <v>793</v>
      </c>
      <c r="R1659" s="13">
        <v>0</v>
      </c>
      <c r="S1659" s="13">
        <v>1311</v>
      </c>
      <c r="T1659" s="13">
        <v>694</v>
      </c>
      <c r="U1659" s="13">
        <v>0</v>
      </c>
      <c r="V1659" s="13">
        <v>0</v>
      </c>
      <c r="W1659" s="37">
        <v>524</v>
      </c>
      <c r="X1659" s="19"/>
      <c r="AG1659" s="16"/>
    </row>
    <row r="1660" spans="2:33">
      <c r="B1660" s="19"/>
      <c r="P1660" s="16"/>
      <c r="Q1660" s="36" t="s">
        <v>38</v>
      </c>
      <c r="R1660" s="13">
        <v>0</v>
      </c>
      <c r="S1660" s="13">
        <v>0</v>
      </c>
      <c r="T1660" s="13">
        <v>0</v>
      </c>
      <c r="U1660" s="13">
        <v>2098</v>
      </c>
      <c r="V1660" s="13">
        <v>1109</v>
      </c>
      <c r="W1660" s="37">
        <v>2135</v>
      </c>
      <c r="X1660" s="19"/>
      <c r="AG1660" s="16"/>
    </row>
    <row r="1661" spans="2:33">
      <c r="B1661" s="19"/>
      <c r="P1661" s="16"/>
      <c r="Q1661" s="36" t="s">
        <v>39</v>
      </c>
      <c r="R1661" s="13">
        <v>0</v>
      </c>
      <c r="S1661" s="13">
        <v>0</v>
      </c>
      <c r="T1661" s="13">
        <v>0</v>
      </c>
      <c r="U1661" s="13">
        <v>1986</v>
      </c>
      <c r="V1661" s="13">
        <v>1069</v>
      </c>
      <c r="W1661" s="37">
        <v>1091</v>
      </c>
      <c r="X1661" s="19"/>
      <c r="AG1661" s="16"/>
    </row>
    <row r="1662" spans="2:33">
      <c r="B1662" s="19"/>
      <c r="P1662" s="16"/>
      <c r="Q1662" s="36" t="s">
        <v>40</v>
      </c>
      <c r="R1662" s="13">
        <v>0</v>
      </c>
      <c r="S1662" s="13">
        <v>0</v>
      </c>
      <c r="T1662" s="13">
        <v>2242</v>
      </c>
      <c r="U1662" s="13">
        <v>1220</v>
      </c>
      <c r="V1662" s="13">
        <v>0</v>
      </c>
      <c r="W1662" s="37">
        <v>1103</v>
      </c>
      <c r="X1662" s="19"/>
      <c r="AG1662" s="16"/>
    </row>
    <row r="1663" spans="2:33">
      <c r="B1663" s="19"/>
      <c r="P1663" s="16"/>
      <c r="Q1663" s="36" t="s">
        <v>41</v>
      </c>
      <c r="R1663" s="13">
        <v>2688</v>
      </c>
      <c r="S1663" s="13">
        <v>1503</v>
      </c>
      <c r="T1663" s="13">
        <v>0</v>
      </c>
      <c r="U1663" s="13">
        <v>0</v>
      </c>
      <c r="V1663" s="13">
        <v>0</v>
      </c>
      <c r="W1663" s="37">
        <v>1157</v>
      </c>
      <c r="X1663" s="19"/>
      <c r="AG1663" s="16"/>
    </row>
    <row r="1664" spans="2:33">
      <c r="B1664" s="19"/>
      <c r="P1664" s="16"/>
      <c r="Q1664" s="36" t="s">
        <v>42</v>
      </c>
      <c r="R1664" s="13">
        <v>0</v>
      </c>
      <c r="S1664" s="13">
        <v>0</v>
      </c>
      <c r="T1664" s="13">
        <v>2612</v>
      </c>
      <c r="U1664" s="13">
        <v>1464</v>
      </c>
      <c r="V1664" s="13">
        <v>0</v>
      </c>
      <c r="W1664" s="37">
        <v>1120</v>
      </c>
      <c r="X1664" s="19"/>
      <c r="AG1664" s="16"/>
    </row>
    <row r="1665" spans="2:33">
      <c r="B1665" s="19"/>
      <c r="P1665" s="16"/>
      <c r="Q1665" s="36" t="s">
        <v>43</v>
      </c>
      <c r="R1665" s="13">
        <v>0</v>
      </c>
      <c r="S1665" s="13">
        <v>0</v>
      </c>
      <c r="T1665" s="13">
        <v>2545</v>
      </c>
      <c r="U1665" s="13">
        <v>1342</v>
      </c>
      <c r="V1665" s="13">
        <v>0</v>
      </c>
      <c r="W1665" s="37">
        <v>756</v>
      </c>
      <c r="X1665" s="19"/>
      <c r="AG1665" s="16"/>
    </row>
    <row r="1666" spans="2:33">
      <c r="B1666" s="19"/>
      <c r="P1666" s="16"/>
      <c r="Q1666" s="36" t="s">
        <v>44</v>
      </c>
      <c r="R1666" s="13">
        <v>0</v>
      </c>
      <c r="S1666" s="13">
        <v>0</v>
      </c>
      <c r="T1666" s="13">
        <v>0</v>
      </c>
      <c r="U1666" s="13">
        <v>2367</v>
      </c>
      <c r="V1666" s="13">
        <v>1173</v>
      </c>
      <c r="W1666" s="37">
        <v>774</v>
      </c>
      <c r="X1666" s="19"/>
      <c r="AG1666" s="16"/>
    </row>
    <row r="1667" spans="2:33">
      <c r="B1667" s="19"/>
      <c r="P1667" s="16"/>
      <c r="Q1667" s="36" t="s">
        <v>45</v>
      </c>
      <c r="R1667" s="13">
        <v>0</v>
      </c>
      <c r="S1667" s="13">
        <v>2025</v>
      </c>
      <c r="T1667" s="13">
        <v>1060</v>
      </c>
      <c r="U1667" s="13">
        <v>0</v>
      </c>
      <c r="V1667" s="13">
        <v>0</v>
      </c>
      <c r="W1667" s="37">
        <v>697</v>
      </c>
      <c r="X1667" s="19"/>
      <c r="AG1667" s="16"/>
    </row>
    <row r="1668" spans="2:33" ht="15" thickBot="1">
      <c r="B1668" s="20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7"/>
      <c r="Q1668" s="36" t="s">
        <v>46</v>
      </c>
      <c r="R1668" s="13">
        <v>2227</v>
      </c>
      <c r="S1668" s="13">
        <v>1200</v>
      </c>
      <c r="T1668" s="13">
        <v>0</v>
      </c>
      <c r="U1668" s="13">
        <v>0</v>
      </c>
      <c r="V1668" s="13">
        <v>0</v>
      </c>
      <c r="W1668" s="37">
        <v>531</v>
      </c>
      <c r="X1668" s="20"/>
      <c r="Y1668" s="15"/>
      <c r="Z1668" s="15"/>
      <c r="AA1668" s="15"/>
      <c r="AB1668" s="15"/>
      <c r="AC1668" s="15"/>
      <c r="AD1668" s="15"/>
      <c r="AE1668" s="15"/>
      <c r="AF1668" s="15"/>
      <c r="AG1668" s="17"/>
    </row>
    <row r="1670" spans="2:33" ht="15" thickBot="1">
      <c r="B1670" s="25" t="s">
        <v>532</v>
      </c>
      <c r="C1670" s="26" t="s">
        <v>533</v>
      </c>
      <c r="D1670" s="26" t="s">
        <v>794</v>
      </c>
      <c r="E1670" s="26" t="s">
        <v>795</v>
      </c>
      <c r="F1670" s="26" t="s">
        <v>796</v>
      </c>
      <c r="G1670" s="26" t="s">
        <v>797</v>
      </c>
      <c r="H1670" s="27" t="s">
        <v>518</v>
      </c>
      <c r="I1670" s="26" t="s">
        <v>798</v>
      </c>
      <c r="J1670" s="27" t="s">
        <v>87</v>
      </c>
      <c r="K1670" s="29">
        <v>36</v>
      </c>
      <c r="L1670" s="29">
        <v>36</v>
      </c>
      <c r="M1670" s="29">
        <v>36</v>
      </c>
      <c r="N1670" s="29">
        <v>36</v>
      </c>
      <c r="O1670" s="29">
        <v>36</v>
      </c>
      <c r="P1670" s="40">
        <v>36</v>
      </c>
      <c r="Q1670" s="1" t="s">
        <v>35</v>
      </c>
      <c r="R1670" s="2">
        <v>2116</v>
      </c>
      <c r="S1670" s="2">
        <v>1017</v>
      </c>
      <c r="T1670" s="2">
        <v>0</v>
      </c>
      <c r="U1670" s="2">
        <v>0</v>
      </c>
      <c r="V1670" s="2">
        <v>0</v>
      </c>
      <c r="W1670" s="2">
        <v>1364</v>
      </c>
      <c r="X1670" s="43">
        <f>SUM(R1670:W1682)</f>
        <v>81382</v>
      </c>
      <c r="Y1670" s="10">
        <v>46204</v>
      </c>
      <c r="Z1670" s="11">
        <v>0.21915174234314722</v>
      </c>
      <c r="AA1670" s="11">
        <v>0.18274192037163289</v>
      </c>
      <c r="AB1670" s="11">
        <v>0.14726787607165501</v>
      </c>
      <c r="AC1670" s="11">
        <v>0.1287497680516306</v>
      </c>
      <c r="AD1670" s="11">
        <v>0.11447820346270936</v>
      </c>
      <c r="AE1670" s="11">
        <v>0.13149780089791482</v>
      </c>
      <c r="AF1670" s="11">
        <v>0.2</v>
      </c>
      <c r="AG1670" s="11">
        <v>0.23899999999999999</v>
      </c>
    </row>
    <row r="1671" spans="2:33">
      <c r="B1671" s="53" t="s">
        <v>2193</v>
      </c>
      <c r="C1671" s="1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35"/>
      <c r="Q1671" s="36" t="s">
        <v>36</v>
      </c>
      <c r="R1671" s="13">
        <v>2114</v>
      </c>
      <c r="S1671" s="13">
        <v>1057</v>
      </c>
      <c r="T1671" s="13">
        <v>0</v>
      </c>
      <c r="U1671" s="13">
        <v>0</v>
      </c>
      <c r="V1671" s="13">
        <v>0</v>
      </c>
      <c r="W1671" s="37">
        <v>891</v>
      </c>
      <c r="X1671" s="18"/>
      <c r="Y1671" s="14"/>
      <c r="Z1671" s="14"/>
      <c r="AA1671" s="14"/>
      <c r="AB1671" s="14"/>
      <c r="AC1671" s="14"/>
      <c r="AD1671" s="14"/>
      <c r="AE1671" s="14"/>
      <c r="AF1671" s="14"/>
      <c r="AG1671" s="35"/>
    </row>
    <row r="1672" spans="2:33">
      <c r="B1672" s="19"/>
      <c r="P1672" s="16"/>
      <c r="Q1672" s="36" t="s">
        <v>37</v>
      </c>
      <c r="R1672" s="13">
        <v>0</v>
      </c>
      <c r="S1672" s="13">
        <v>2286</v>
      </c>
      <c r="T1672" s="13">
        <v>1156</v>
      </c>
      <c r="U1672" s="13">
        <v>0</v>
      </c>
      <c r="V1672" s="13">
        <v>0</v>
      </c>
      <c r="W1672" s="37">
        <v>1169</v>
      </c>
      <c r="X1672" s="19"/>
      <c r="AG1672" s="16"/>
    </row>
    <row r="1673" spans="2:33">
      <c r="B1673" s="19"/>
      <c r="P1673" s="16"/>
      <c r="Q1673" s="36" t="s">
        <v>38</v>
      </c>
      <c r="R1673" s="13">
        <v>0</v>
      </c>
      <c r="S1673" s="13">
        <v>0</v>
      </c>
      <c r="T1673" s="13">
        <v>0</v>
      </c>
      <c r="U1673" s="13">
        <v>2886</v>
      </c>
      <c r="V1673" s="13">
        <v>1447</v>
      </c>
      <c r="W1673" s="37">
        <v>1351</v>
      </c>
      <c r="X1673" s="19"/>
      <c r="AG1673" s="16"/>
    </row>
    <row r="1674" spans="2:33">
      <c r="B1674" s="19"/>
      <c r="P1674" s="16"/>
      <c r="Q1674" s="36" t="s">
        <v>39</v>
      </c>
      <c r="R1674" s="13">
        <v>0</v>
      </c>
      <c r="S1674" s="13">
        <v>0</v>
      </c>
      <c r="T1674" s="13">
        <v>0</v>
      </c>
      <c r="U1674" s="13">
        <v>3442</v>
      </c>
      <c r="V1674" s="13">
        <v>1821</v>
      </c>
      <c r="W1674" s="37">
        <v>1458</v>
      </c>
      <c r="X1674" s="19"/>
      <c r="AG1674" s="16"/>
    </row>
    <row r="1675" spans="2:33">
      <c r="B1675" s="19"/>
      <c r="P1675" s="16"/>
      <c r="Q1675" s="36" t="s">
        <v>40</v>
      </c>
      <c r="R1675" s="13">
        <v>0</v>
      </c>
      <c r="S1675" s="13">
        <v>0</v>
      </c>
      <c r="T1675" s="13">
        <v>4589</v>
      </c>
      <c r="U1675" s="13">
        <v>2147</v>
      </c>
      <c r="V1675" s="13">
        <v>0</v>
      </c>
      <c r="W1675" s="37">
        <v>1862</v>
      </c>
      <c r="X1675" s="19"/>
      <c r="AG1675" s="16"/>
    </row>
    <row r="1676" spans="2:33">
      <c r="B1676" s="19"/>
      <c r="P1676" s="16"/>
      <c r="Q1676" s="36" t="s">
        <v>41</v>
      </c>
      <c r="R1676" s="13">
        <v>5802</v>
      </c>
      <c r="S1676" s="13">
        <v>2847</v>
      </c>
      <c r="T1676" s="13">
        <v>0</v>
      </c>
      <c r="U1676" s="13">
        <v>0</v>
      </c>
      <c r="V1676" s="13">
        <v>0</v>
      </c>
      <c r="W1676" s="37">
        <v>1755</v>
      </c>
      <c r="X1676" s="19"/>
      <c r="AG1676" s="16"/>
    </row>
    <row r="1677" spans="2:33">
      <c r="B1677" s="19"/>
      <c r="P1677" s="16"/>
      <c r="Q1677" s="36" t="s">
        <v>551</v>
      </c>
      <c r="R1677" s="13">
        <v>0</v>
      </c>
      <c r="S1677" s="13">
        <v>0</v>
      </c>
      <c r="T1677" s="13">
        <v>277</v>
      </c>
      <c r="U1677" s="13">
        <v>133</v>
      </c>
      <c r="V1677" s="13">
        <v>0</v>
      </c>
      <c r="W1677" s="37">
        <v>422</v>
      </c>
      <c r="X1677" s="19"/>
      <c r="AG1677" s="16"/>
    </row>
    <row r="1678" spans="2:33">
      <c r="B1678" s="19"/>
      <c r="P1678" s="16"/>
      <c r="Q1678" s="36" t="s">
        <v>552</v>
      </c>
      <c r="R1678" s="13">
        <v>0</v>
      </c>
      <c r="S1678" s="13">
        <v>0</v>
      </c>
      <c r="T1678" s="13">
        <v>5065</v>
      </c>
      <c r="U1678" s="13">
        <v>2293</v>
      </c>
      <c r="V1678" s="13">
        <v>0</v>
      </c>
      <c r="W1678" s="37">
        <v>1768</v>
      </c>
      <c r="X1678" s="19"/>
      <c r="AG1678" s="16"/>
    </row>
    <row r="1679" spans="2:33">
      <c r="B1679" s="19"/>
      <c r="P1679" s="16"/>
      <c r="Q1679" s="36" t="s">
        <v>43</v>
      </c>
      <c r="R1679" s="13">
        <v>0</v>
      </c>
      <c r="S1679" s="13">
        <v>0</v>
      </c>
      <c r="T1679" s="13">
        <v>4947</v>
      </c>
      <c r="U1679" s="13">
        <v>2231</v>
      </c>
      <c r="V1679" s="13">
        <v>0</v>
      </c>
      <c r="W1679" s="37">
        <v>1595</v>
      </c>
      <c r="X1679" s="19"/>
      <c r="AG1679" s="16"/>
    </row>
    <row r="1680" spans="2:33">
      <c r="B1680" s="19"/>
      <c r="P1680" s="16"/>
      <c r="Q1680" s="36" t="s">
        <v>44</v>
      </c>
      <c r="R1680" s="13">
        <v>0</v>
      </c>
      <c r="S1680" s="13">
        <v>0</v>
      </c>
      <c r="T1680" s="13">
        <v>0</v>
      </c>
      <c r="U1680" s="13">
        <v>4406</v>
      </c>
      <c r="V1680" s="13">
        <v>2116</v>
      </c>
      <c r="W1680" s="37">
        <v>1399</v>
      </c>
      <c r="X1680" s="19"/>
      <c r="AG1680" s="16"/>
    </row>
    <row r="1681" spans="2:33">
      <c r="B1681" s="19"/>
      <c r="P1681" s="16"/>
      <c r="Q1681" s="36" t="s">
        <v>45</v>
      </c>
      <c r="R1681" s="13">
        <v>0</v>
      </c>
      <c r="S1681" s="13">
        <v>2618</v>
      </c>
      <c r="T1681" s="13">
        <v>1417</v>
      </c>
      <c r="U1681" s="13">
        <v>0</v>
      </c>
      <c r="V1681" s="13">
        <v>0</v>
      </c>
      <c r="W1681" s="37">
        <v>1186</v>
      </c>
      <c r="X1681" s="19"/>
      <c r="AG1681" s="16"/>
    </row>
    <row r="1682" spans="2:33" ht="15" thickBot="1">
      <c r="B1682" s="20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7"/>
      <c r="Q1682" s="36" t="s">
        <v>46</v>
      </c>
      <c r="R1682" s="13">
        <v>2252</v>
      </c>
      <c r="S1682" s="13">
        <v>1108</v>
      </c>
      <c r="T1682" s="13">
        <v>0</v>
      </c>
      <c r="U1682" s="13">
        <v>0</v>
      </c>
      <c r="V1682" s="13">
        <v>0</v>
      </c>
      <c r="W1682" s="37">
        <v>1572</v>
      </c>
      <c r="X1682" s="20"/>
      <c r="Y1682" s="15"/>
      <c r="Z1682" s="15"/>
      <c r="AA1682" s="15"/>
      <c r="AB1682" s="15"/>
      <c r="AC1682" s="15"/>
      <c r="AD1682" s="15"/>
      <c r="AE1682" s="15"/>
      <c r="AF1682" s="15"/>
      <c r="AG1682" s="17"/>
    </row>
    <row r="1684" spans="2:33" ht="15" thickBot="1">
      <c r="B1684" s="25" t="s">
        <v>532</v>
      </c>
      <c r="C1684" s="26" t="s">
        <v>533</v>
      </c>
      <c r="D1684" s="26" t="s">
        <v>799</v>
      </c>
      <c r="E1684" s="26" t="s">
        <v>800</v>
      </c>
      <c r="F1684" s="26" t="s">
        <v>687</v>
      </c>
      <c r="G1684" s="26" t="s">
        <v>108</v>
      </c>
      <c r="H1684" s="27" t="s">
        <v>108</v>
      </c>
      <c r="I1684" s="26" t="s">
        <v>801</v>
      </c>
      <c r="J1684" s="27" t="s">
        <v>56</v>
      </c>
      <c r="K1684" s="29">
        <v>2.2000000476837198</v>
      </c>
      <c r="L1684" s="29">
        <v>2.2000000476837198</v>
      </c>
      <c r="M1684" s="29">
        <v>2.2000000476837198</v>
      </c>
      <c r="N1684" s="29">
        <v>2.2000000476837198</v>
      </c>
      <c r="O1684" s="29">
        <v>2.2000000476837198</v>
      </c>
      <c r="P1684" s="40">
        <v>2.2000000476837198</v>
      </c>
      <c r="Q1684" s="1" t="s">
        <v>802</v>
      </c>
      <c r="R1684" s="2">
        <v>5.9999998658895493E-2</v>
      </c>
      <c r="S1684" s="2">
        <v>5.9999998658895493E-2</v>
      </c>
      <c r="T1684" s="2">
        <v>1.9999999552965164E-2</v>
      </c>
      <c r="U1684" s="2">
        <v>0</v>
      </c>
      <c r="V1684" s="2">
        <v>0</v>
      </c>
      <c r="W1684" s="2">
        <v>0</v>
      </c>
      <c r="X1684" s="43">
        <f>SUM(R1684:W1697)</f>
        <v>0.62999998964369297</v>
      </c>
      <c r="Y1684" s="10">
        <v>46204</v>
      </c>
      <c r="Z1684" s="11">
        <v>0.23933187277221363</v>
      </c>
      <c r="AA1684" s="11">
        <v>0.16281742298052029</v>
      </c>
      <c r="AB1684" s="11">
        <v>0.13509180089791481</v>
      </c>
      <c r="AC1684" s="11"/>
      <c r="AD1684" s="11"/>
      <c r="AE1684" s="11"/>
      <c r="AF1684" s="11">
        <v>0.2</v>
      </c>
      <c r="AG1684" s="11">
        <v>0.23899999999999999</v>
      </c>
    </row>
    <row r="1685" spans="2:33">
      <c r="B1685" s="53" t="s">
        <v>2193</v>
      </c>
      <c r="C1685" s="14"/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35"/>
      <c r="Q1685" s="36" t="s">
        <v>803</v>
      </c>
      <c r="R1685" s="13">
        <v>9.9999997764825821E-3</v>
      </c>
      <c r="S1685" s="13">
        <v>1.9999999552965164E-2</v>
      </c>
      <c r="T1685" s="13">
        <v>0</v>
      </c>
      <c r="U1685" s="13">
        <v>0</v>
      </c>
      <c r="V1685" s="13">
        <v>0</v>
      </c>
      <c r="W1685" s="37">
        <v>0</v>
      </c>
      <c r="X1685" s="18"/>
      <c r="Y1685" s="14"/>
      <c r="Z1685" s="14"/>
      <c r="AA1685" s="14"/>
      <c r="AB1685" s="14"/>
      <c r="AC1685" s="14"/>
      <c r="AD1685" s="14"/>
      <c r="AE1685" s="14"/>
      <c r="AF1685" s="14"/>
      <c r="AG1685" s="35"/>
    </row>
    <row r="1686" spans="2:33">
      <c r="B1686" s="19"/>
      <c r="P1686" s="16"/>
      <c r="Q1686" s="36" t="s">
        <v>804</v>
      </c>
      <c r="R1686" s="13">
        <v>5.000000074505806E-2</v>
      </c>
      <c r="S1686" s="13">
        <v>0.10999999940395355</v>
      </c>
      <c r="T1686" s="13">
        <v>0</v>
      </c>
      <c r="U1686" s="13">
        <v>0</v>
      </c>
      <c r="V1686" s="13">
        <v>0</v>
      </c>
      <c r="W1686" s="37">
        <v>0</v>
      </c>
      <c r="X1686" s="19"/>
      <c r="AG1686" s="16"/>
    </row>
    <row r="1687" spans="2:33">
      <c r="B1687" s="19"/>
      <c r="P1687" s="16"/>
      <c r="Q1687" s="36" t="s">
        <v>805</v>
      </c>
      <c r="R1687" s="13">
        <v>3.9999999105930328E-2</v>
      </c>
      <c r="S1687" s="13">
        <v>3.9999999105930328E-2</v>
      </c>
      <c r="T1687" s="13">
        <v>3.9999999105930328E-2</v>
      </c>
      <c r="U1687" s="13">
        <v>0</v>
      </c>
      <c r="V1687" s="13">
        <v>0</v>
      </c>
      <c r="W1687" s="37">
        <v>0</v>
      </c>
      <c r="X1687" s="19"/>
      <c r="AG1687" s="16"/>
    </row>
    <row r="1688" spans="2:33">
      <c r="B1688" s="19"/>
      <c r="P1688" s="16"/>
      <c r="Q1688" s="36" t="s">
        <v>806</v>
      </c>
      <c r="R1688" s="13">
        <v>2.9999999329447746E-2</v>
      </c>
      <c r="S1688" s="13">
        <v>2.9999999329447746E-2</v>
      </c>
      <c r="T1688" s="13">
        <v>0</v>
      </c>
      <c r="U1688" s="13">
        <v>0</v>
      </c>
      <c r="V1688" s="13">
        <v>0</v>
      </c>
      <c r="W1688" s="37">
        <v>0</v>
      </c>
      <c r="X1688" s="19"/>
      <c r="AG1688" s="16"/>
    </row>
    <row r="1689" spans="2:33">
      <c r="B1689" s="19"/>
      <c r="P1689" s="16"/>
      <c r="Q1689" s="36" t="s">
        <v>807</v>
      </c>
      <c r="R1689" s="13">
        <v>1.9999999552965164E-2</v>
      </c>
      <c r="S1689" s="13">
        <v>1.9999999552965164E-2</v>
      </c>
      <c r="T1689" s="13">
        <v>0</v>
      </c>
      <c r="U1689" s="13">
        <v>0</v>
      </c>
      <c r="V1689" s="13">
        <v>0</v>
      </c>
      <c r="W1689" s="37">
        <v>0</v>
      </c>
      <c r="X1689" s="19"/>
      <c r="AG1689" s="16"/>
    </row>
    <row r="1690" spans="2:33">
      <c r="B1690" s="19"/>
      <c r="P1690" s="16"/>
      <c r="Q1690" s="36" t="s">
        <v>340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37">
        <v>0</v>
      </c>
      <c r="X1690" s="19"/>
      <c r="AG1690" s="16"/>
    </row>
    <row r="1691" spans="2:33">
      <c r="B1691" s="19"/>
      <c r="P1691" s="16"/>
      <c r="Q1691" s="36" t="s">
        <v>808</v>
      </c>
      <c r="R1691" s="13">
        <v>1.9999999552965164E-2</v>
      </c>
      <c r="S1691" s="13">
        <v>3.9999999105930328E-2</v>
      </c>
      <c r="T1691" s="13">
        <v>9.9999997764825821E-3</v>
      </c>
      <c r="U1691" s="13">
        <v>0</v>
      </c>
      <c r="V1691" s="13">
        <v>0</v>
      </c>
      <c r="W1691" s="37">
        <v>0</v>
      </c>
      <c r="X1691" s="19"/>
      <c r="AG1691" s="16"/>
    </row>
    <row r="1692" spans="2:33">
      <c r="B1692" s="19"/>
      <c r="P1692" s="16"/>
      <c r="Q1692" s="36" t="s">
        <v>809</v>
      </c>
      <c r="R1692" s="13">
        <v>9.9999997764825821E-3</v>
      </c>
      <c r="S1692" s="13">
        <v>0</v>
      </c>
      <c r="T1692" s="13">
        <v>0</v>
      </c>
      <c r="U1692" s="13">
        <v>0</v>
      </c>
      <c r="V1692" s="13">
        <v>0</v>
      </c>
      <c r="W1692" s="37">
        <v>0</v>
      </c>
      <c r="X1692" s="19"/>
      <c r="AG1692" s="16"/>
    </row>
    <row r="1693" spans="2:33">
      <c r="B1693" s="19"/>
      <c r="P1693" s="16"/>
      <c r="Q1693" s="36" t="s">
        <v>810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37">
        <v>0</v>
      </c>
      <c r="X1693" s="19"/>
      <c r="AG1693" s="16"/>
    </row>
    <row r="1694" spans="2:33">
      <c r="B1694" s="19"/>
      <c r="P1694" s="16"/>
      <c r="Q1694" s="36" t="s">
        <v>811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37">
        <v>0</v>
      </c>
      <c r="X1694" s="19"/>
      <c r="AG1694" s="16"/>
    </row>
    <row r="1695" spans="2:33">
      <c r="B1695" s="19"/>
      <c r="P1695" s="16"/>
      <c r="Q1695" s="36" t="s">
        <v>764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37">
        <v>0</v>
      </c>
      <c r="X1695" s="19"/>
      <c r="AG1695" s="16"/>
    </row>
    <row r="1696" spans="2:33">
      <c r="B1696" s="19"/>
      <c r="P1696" s="16"/>
      <c r="Q1696" s="36" t="s">
        <v>812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37">
        <v>0</v>
      </c>
      <c r="X1696" s="19"/>
      <c r="AG1696" s="16"/>
    </row>
    <row r="1697" spans="2:33" ht="15" thickBot="1">
      <c r="B1697" s="20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7"/>
      <c r="Q1697" s="36" t="s">
        <v>813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37">
        <v>0</v>
      </c>
      <c r="X1697" s="20"/>
      <c r="Y1697" s="15"/>
      <c r="Z1697" s="15"/>
      <c r="AA1697" s="15"/>
      <c r="AB1697" s="15"/>
      <c r="AC1697" s="15"/>
      <c r="AD1697" s="15"/>
      <c r="AE1697" s="15"/>
      <c r="AF1697" s="15"/>
      <c r="AG1697" s="17"/>
    </row>
    <row r="1699" spans="2:33" ht="15" thickBot="1">
      <c r="B1699" s="25" t="s">
        <v>532</v>
      </c>
      <c r="C1699" s="26" t="s">
        <v>533</v>
      </c>
      <c r="D1699" s="26" t="s">
        <v>814</v>
      </c>
      <c r="E1699" s="26" t="s">
        <v>815</v>
      </c>
      <c r="F1699" s="26" t="s">
        <v>64</v>
      </c>
      <c r="G1699" s="26" t="s">
        <v>65</v>
      </c>
      <c r="H1699" s="27" t="s">
        <v>66</v>
      </c>
      <c r="I1699" s="26" t="s">
        <v>816</v>
      </c>
      <c r="J1699" s="27" t="s">
        <v>87</v>
      </c>
      <c r="K1699" s="29">
        <v>32</v>
      </c>
      <c r="L1699" s="29">
        <v>32</v>
      </c>
      <c r="M1699" s="29">
        <v>32</v>
      </c>
      <c r="N1699" s="29">
        <v>32</v>
      </c>
      <c r="O1699" s="29">
        <v>32</v>
      </c>
      <c r="P1699" s="40">
        <v>32</v>
      </c>
      <c r="Q1699" s="1" t="s">
        <v>35</v>
      </c>
      <c r="R1699" s="2">
        <v>3334</v>
      </c>
      <c r="S1699" s="2">
        <v>1586</v>
      </c>
      <c r="T1699" s="2">
        <v>0</v>
      </c>
      <c r="U1699" s="2">
        <v>0</v>
      </c>
      <c r="V1699" s="2">
        <v>0</v>
      </c>
      <c r="W1699" s="2">
        <v>1220</v>
      </c>
      <c r="X1699" s="43">
        <f>SUM(R1699:W1711)</f>
        <v>62420</v>
      </c>
      <c r="Y1699" s="10">
        <v>46204</v>
      </c>
      <c r="Z1699" s="11">
        <v>0.21915174234314722</v>
      </c>
      <c r="AA1699" s="11">
        <v>0.18274192037163289</v>
      </c>
      <c r="AB1699" s="11">
        <v>0.14726787607165501</v>
      </c>
      <c r="AC1699" s="11">
        <v>0.1287497680516306</v>
      </c>
      <c r="AD1699" s="11">
        <v>0.11447820346270936</v>
      </c>
      <c r="AE1699" s="11">
        <v>0.13149780089791482</v>
      </c>
      <c r="AF1699" s="11">
        <v>0.2</v>
      </c>
      <c r="AG1699" s="11">
        <v>0.23899999999999999</v>
      </c>
    </row>
    <row r="1700" spans="2:33">
      <c r="B1700" s="53" t="s">
        <v>2193</v>
      </c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35"/>
      <c r="Q1700" s="36" t="s">
        <v>36</v>
      </c>
      <c r="R1700" s="13">
        <v>2813</v>
      </c>
      <c r="S1700" s="13">
        <v>1198</v>
      </c>
      <c r="T1700" s="13">
        <v>0</v>
      </c>
      <c r="U1700" s="13">
        <v>0</v>
      </c>
      <c r="V1700" s="13">
        <v>0</v>
      </c>
      <c r="W1700" s="37">
        <v>927</v>
      </c>
      <c r="X1700" s="18"/>
      <c r="Y1700" s="14"/>
      <c r="Z1700" s="14"/>
      <c r="AA1700" s="14"/>
      <c r="AB1700" s="14"/>
      <c r="AC1700" s="14"/>
      <c r="AD1700" s="14"/>
      <c r="AE1700" s="14"/>
      <c r="AF1700" s="14"/>
      <c r="AG1700" s="35"/>
    </row>
    <row r="1701" spans="2:33">
      <c r="B1701" s="19"/>
      <c r="P1701" s="16"/>
      <c r="Q1701" s="36" t="s">
        <v>37</v>
      </c>
      <c r="R1701" s="13">
        <v>0</v>
      </c>
      <c r="S1701" s="13">
        <v>2891</v>
      </c>
      <c r="T1701" s="13">
        <v>1275</v>
      </c>
      <c r="U1701" s="13">
        <v>0</v>
      </c>
      <c r="V1701" s="13">
        <v>0</v>
      </c>
      <c r="W1701" s="37">
        <v>1420</v>
      </c>
      <c r="X1701" s="19"/>
      <c r="AG1701" s="16"/>
    </row>
    <row r="1702" spans="2:33">
      <c r="B1702" s="19"/>
      <c r="P1702" s="16"/>
      <c r="Q1702" s="36" t="s">
        <v>38</v>
      </c>
      <c r="R1702" s="13">
        <v>0</v>
      </c>
      <c r="S1702" s="13">
        <v>0</v>
      </c>
      <c r="T1702" s="13">
        <v>0</v>
      </c>
      <c r="U1702" s="13">
        <v>2098</v>
      </c>
      <c r="V1702" s="13">
        <v>911</v>
      </c>
      <c r="W1702" s="37">
        <v>756</v>
      </c>
      <c r="X1702" s="19"/>
      <c r="AG1702" s="16"/>
    </row>
    <row r="1703" spans="2:33">
      <c r="B1703" s="19"/>
      <c r="P1703" s="16"/>
      <c r="Q1703" s="36" t="s">
        <v>39</v>
      </c>
      <c r="R1703" s="13">
        <v>0</v>
      </c>
      <c r="S1703" s="13">
        <v>0</v>
      </c>
      <c r="T1703" s="13">
        <v>0</v>
      </c>
      <c r="U1703" s="13">
        <v>2173</v>
      </c>
      <c r="V1703" s="13">
        <v>1114</v>
      </c>
      <c r="W1703" s="37">
        <v>992</v>
      </c>
      <c r="X1703" s="19"/>
      <c r="AG1703" s="16"/>
    </row>
    <row r="1704" spans="2:33">
      <c r="B1704" s="19"/>
      <c r="P1704" s="16"/>
      <c r="Q1704" s="36" t="s">
        <v>40</v>
      </c>
      <c r="R1704" s="13">
        <v>0</v>
      </c>
      <c r="S1704" s="13">
        <v>0</v>
      </c>
      <c r="T1704" s="13">
        <v>3379</v>
      </c>
      <c r="U1704" s="13">
        <v>1909</v>
      </c>
      <c r="V1704" s="13">
        <v>0</v>
      </c>
      <c r="W1704" s="37">
        <v>1123</v>
      </c>
      <c r="X1704" s="19"/>
      <c r="AG1704" s="16"/>
    </row>
    <row r="1705" spans="2:33">
      <c r="B1705" s="19"/>
      <c r="P1705" s="16"/>
      <c r="Q1705" s="36" t="s">
        <v>41</v>
      </c>
      <c r="R1705" s="13">
        <v>2845</v>
      </c>
      <c r="S1705" s="13">
        <v>1527</v>
      </c>
      <c r="T1705" s="13">
        <v>0</v>
      </c>
      <c r="U1705" s="13">
        <v>0</v>
      </c>
      <c r="V1705" s="13">
        <v>0</v>
      </c>
      <c r="W1705" s="37">
        <v>970</v>
      </c>
      <c r="X1705" s="19"/>
      <c r="AG1705" s="16"/>
    </row>
    <row r="1706" spans="2:33">
      <c r="B1706" s="19"/>
      <c r="P1706" s="16"/>
      <c r="Q1706" s="36" t="s">
        <v>551</v>
      </c>
      <c r="R1706" s="13">
        <v>0</v>
      </c>
      <c r="S1706" s="13">
        <v>0</v>
      </c>
      <c r="T1706" s="13">
        <v>250</v>
      </c>
      <c r="U1706" s="13">
        <v>159</v>
      </c>
      <c r="V1706" s="13">
        <v>0</v>
      </c>
      <c r="W1706" s="37">
        <v>201</v>
      </c>
      <c r="X1706" s="19"/>
      <c r="AG1706" s="16"/>
    </row>
    <row r="1707" spans="2:33">
      <c r="B1707" s="19"/>
      <c r="P1707" s="16"/>
      <c r="Q1707" s="36" t="s">
        <v>552</v>
      </c>
      <c r="R1707" s="13">
        <v>0</v>
      </c>
      <c r="S1707" s="13">
        <v>0</v>
      </c>
      <c r="T1707" s="13">
        <v>2838</v>
      </c>
      <c r="U1707" s="13">
        <v>1657</v>
      </c>
      <c r="V1707" s="13">
        <v>0</v>
      </c>
      <c r="W1707" s="37">
        <v>1171</v>
      </c>
      <c r="X1707" s="19"/>
      <c r="AG1707" s="16"/>
    </row>
    <row r="1708" spans="2:33">
      <c r="B1708" s="19"/>
      <c r="P1708" s="16"/>
      <c r="Q1708" s="36" t="s">
        <v>43</v>
      </c>
      <c r="R1708" s="13">
        <v>0</v>
      </c>
      <c r="S1708" s="13">
        <v>0</v>
      </c>
      <c r="T1708" s="13">
        <v>2393</v>
      </c>
      <c r="U1708" s="13">
        <v>1503</v>
      </c>
      <c r="V1708" s="13">
        <v>0</v>
      </c>
      <c r="W1708" s="37">
        <v>985</v>
      </c>
      <c r="X1708" s="19"/>
      <c r="AG1708" s="16"/>
    </row>
    <row r="1709" spans="2:33">
      <c r="B1709" s="19"/>
      <c r="P1709" s="16"/>
      <c r="Q1709" s="36" t="s">
        <v>44</v>
      </c>
      <c r="R1709" s="13">
        <v>0</v>
      </c>
      <c r="S1709" s="13">
        <v>0</v>
      </c>
      <c r="T1709" s="13">
        <v>0</v>
      </c>
      <c r="U1709" s="13">
        <v>2331</v>
      </c>
      <c r="V1709" s="13">
        <v>1096</v>
      </c>
      <c r="W1709" s="37">
        <v>769</v>
      </c>
      <c r="X1709" s="19"/>
      <c r="AG1709" s="16"/>
    </row>
    <row r="1710" spans="2:33">
      <c r="B1710" s="19"/>
      <c r="P1710" s="16"/>
      <c r="Q1710" s="36" t="s">
        <v>45</v>
      </c>
      <c r="R1710" s="13">
        <v>0</v>
      </c>
      <c r="S1710" s="13">
        <v>2750</v>
      </c>
      <c r="T1710" s="13">
        <v>1241</v>
      </c>
      <c r="U1710" s="13">
        <v>0</v>
      </c>
      <c r="V1710" s="13">
        <v>0</v>
      </c>
      <c r="W1710" s="37">
        <v>964</v>
      </c>
      <c r="X1710" s="19"/>
      <c r="AG1710" s="16"/>
    </row>
    <row r="1711" spans="2:33" ht="15" thickBot="1">
      <c r="B1711" s="20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7"/>
      <c r="Q1711" s="36" t="s">
        <v>46</v>
      </c>
      <c r="R1711" s="13">
        <v>3141</v>
      </c>
      <c r="S1711" s="13">
        <v>1508</v>
      </c>
      <c r="T1711" s="13">
        <v>0</v>
      </c>
      <c r="U1711" s="13">
        <v>0</v>
      </c>
      <c r="V1711" s="13">
        <v>0</v>
      </c>
      <c r="W1711" s="37">
        <v>1002</v>
      </c>
      <c r="X1711" s="20"/>
      <c r="Y1711" s="15"/>
      <c r="Z1711" s="15"/>
      <c r="AA1711" s="15"/>
      <c r="AB1711" s="15"/>
      <c r="AC1711" s="15"/>
      <c r="AD1711" s="15"/>
      <c r="AE1711" s="15"/>
      <c r="AF1711" s="15"/>
      <c r="AG1711" s="17"/>
    </row>
    <row r="1713" spans="2:33" ht="15" thickBot="1">
      <c r="B1713" s="25" t="s">
        <v>532</v>
      </c>
      <c r="C1713" s="26" t="s">
        <v>533</v>
      </c>
      <c r="D1713" s="26" t="s">
        <v>817</v>
      </c>
      <c r="E1713" s="26" t="s">
        <v>818</v>
      </c>
      <c r="F1713" s="26" t="s">
        <v>819</v>
      </c>
      <c r="G1713" s="26" t="s">
        <v>820</v>
      </c>
      <c r="H1713" s="27" t="s">
        <v>821</v>
      </c>
      <c r="I1713" s="26" t="s">
        <v>822</v>
      </c>
      <c r="J1713" s="27" t="s">
        <v>87</v>
      </c>
      <c r="K1713" s="29">
        <v>16</v>
      </c>
      <c r="L1713" s="29">
        <v>16</v>
      </c>
      <c r="M1713" s="29">
        <v>16</v>
      </c>
      <c r="N1713" s="29">
        <v>16</v>
      </c>
      <c r="O1713" s="29">
        <v>16</v>
      </c>
      <c r="P1713" s="40">
        <v>25.569999694824201</v>
      </c>
      <c r="Q1713" s="1" t="s">
        <v>35</v>
      </c>
      <c r="R1713" s="2">
        <v>0</v>
      </c>
      <c r="S1713" s="2">
        <v>2366</v>
      </c>
      <c r="T1713" s="2">
        <v>0</v>
      </c>
      <c r="U1713" s="2">
        <v>1142</v>
      </c>
      <c r="V1713" s="2">
        <v>0</v>
      </c>
      <c r="W1713" s="2">
        <v>990</v>
      </c>
      <c r="X1713" s="43">
        <f>SUM(R1713:W1725)</f>
        <v>47831</v>
      </c>
      <c r="Y1713" s="10">
        <v>46204</v>
      </c>
      <c r="Z1713" s="11">
        <v>0.21915174234314722</v>
      </c>
      <c r="AA1713" s="11">
        <v>0.18274192037163289</v>
      </c>
      <c r="AB1713" s="11">
        <v>0.14726787607165501</v>
      </c>
      <c r="AC1713" s="11">
        <v>0.1287497680516306</v>
      </c>
      <c r="AD1713" s="11">
        <v>0.11447820346270936</v>
      </c>
      <c r="AE1713" s="11">
        <v>0.13149780089791482</v>
      </c>
      <c r="AF1713" s="11">
        <v>0.2</v>
      </c>
      <c r="AG1713" s="11">
        <v>0.23899999999999999</v>
      </c>
    </row>
    <row r="1714" spans="2:33">
      <c r="B1714" s="53" t="s">
        <v>2193</v>
      </c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35"/>
      <c r="Q1714" s="36" t="s">
        <v>36</v>
      </c>
      <c r="R1714" s="13">
        <v>0</v>
      </c>
      <c r="S1714" s="13">
        <v>2199</v>
      </c>
      <c r="T1714" s="13">
        <v>0</v>
      </c>
      <c r="U1714" s="13">
        <v>1082</v>
      </c>
      <c r="V1714" s="13">
        <v>0</v>
      </c>
      <c r="W1714" s="37">
        <v>850</v>
      </c>
      <c r="X1714" s="18"/>
      <c r="Y1714" s="14"/>
      <c r="Z1714" s="14"/>
      <c r="AA1714" s="14"/>
      <c r="AB1714" s="14"/>
      <c r="AC1714" s="14"/>
      <c r="AD1714" s="14"/>
      <c r="AE1714" s="14"/>
      <c r="AF1714" s="14"/>
      <c r="AG1714" s="35"/>
    </row>
    <row r="1715" spans="2:33">
      <c r="B1715" s="19"/>
      <c r="P1715" s="16"/>
      <c r="Q1715" s="36" t="s">
        <v>37</v>
      </c>
      <c r="R1715" s="13">
        <v>0</v>
      </c>
      <c r="S1715" s="13">
        <v>2139</v>
      </c>
      <c r="T1715" s="13">
        <v>0</v>
      </c>
      <c r="U1715" s="13">
        <v>1066</v>
      </c>
      <c r="V1715" s="13">
        <v>0</v>
      </c>
      <c r="W1715" s="37">
        <v>1016</v>
      </c>
      <c r="X1715" s="19"/>
      <c r="AG1715" s="16"/>
    </row>
    <row r="1716" spans="2:33">
      <c r="B1716" s="19"/>
      <c r="P1716" s="16"/>
      <c r="Q1716" s="36" t="s">
        <v>38</v>
      </c>
      <c r="R1716" s="13">
        <v>0</v>
      </c>
      <c r="S1716" s="13">
        <v>0</v>
      </c>
      <c r="T1716" s="13">
        <v>0</v>
      </c>
      <c r="U1716" s="13">
        <v>2275</v>
      </c>
      <c r="V1716" s="13">
        <v>1126</v>
      </c>
      <c r="W1716" s="37">
        <v>890</v>
      </c>
      <c r="X1716" s="19"/>
      <c r="AG1716" s="16"/>
    </row>
    <row r="1717" spans="2:33">
      <c r="B1717" s="19"/>
      <c r="P1717" s="16"/>
      <c r="Q1717" s="36" t="s">
        <v>39</v>
      </c>
      <c r="R1717" s="13">
        <v>0</v>
      </c>
      <c r="S1717" s="13">
        <v>0</v>
      </c>
      <c r="T1717" s="13">
        <v>0</v>
      </c>
      <c r="U1717" s="13">
        <v>2213</v>
      </c>
      <c r="V1717" s="13">
        <v>1071</v>
      </c>
      <c r="W1717" s="37">
        <v>1006</v>
      </c>
      <c r="X1717" s="19"/>
      <c r="AG1717" s="16"/>
    </row>
    <row r="1718" spans="2:33">
      <c r="B1718" s="19"/>
      <c r="P1718" s="16"/>
      <c r="Q1718" s="36" t="s">
        <v>40</v>
      </c>
      <c r="R1718" s="13">
        <v>0</v>
      </c>
      <c r="S1718" s="13">
        <v>0</v>
      </c>
      <c r="T1718" s="13">
        <v>0</v>
      </c>
      <c r="U1718" s="13">
        <v>2067</v>
      </c>
      <c r="V1718" s="13">
        <v>1026</v>
      </c>
      <c r="W1718" s="37">
        <v>853</v>
      </c>
      <c r="X1718" s="19"/>
      <c r="AG1718" s="16"/>
    </row>
    <row r="1719" spans="2:33">
      <c r="B1719" s="19"/>
      <c r="P1719" s="16"/>
      <c r="Q1719" s="36" t="s">
        <v>41</v>
      </c>
      <c r="R1719" s="13">
        <v>2286</v>
      </c>
      <c r="S1719" s="13">
        <v>0</v>
      </c>
      <c r="T1719" s="13">
        <v>1075</v>
      </c>
      <c r="U1719" s="13">
        <v>0</v>
      </c>
      <c r="V1719" s="13">
        <v>0</v>
      </c>
      <c r="W1719" s="37">
        <v>823</v>
      </c>
      <c r="X1719" s="19"/>
      <c r="AG1719" s="16"/>
    </row>
    <row r="1720" spans="2:33">
      <c r="B1720" s="19"/>
      <c r="P1720" s="16"/>
      <c r="Q1720" s="36" t="s">
        <v>551</v>
      </c>
      <c r="R1720" s="13">
        <v>195</v>
      </c>
      <c r="S1720" s="13">
        <v>0</v>
      </c>
      <c r="T1720" s="13">
        <v>80</v>
      </c>
      <c r="U1720" s="13">
        <v>0</v>
      </c>
      <c r="V1720" s="13">
        <v>0</v>
      </c>
      <c r="W1720" s="37">
        <v>245</v>
      </c>
      <c r="X1720" s="19"/>
      <c r="AG1720" s="16"/>
    </row>
    <row r="1721" spans="2:33">
      <c r="B1721" s="19"/>
      <c r="P1721" s="16"/>
      <c r="Q1721" s="36" t="s">
        <v>552</v>
      </c>
      <c r="R1721" s="13">
        <v>1688</v>
      </c>
      <c r="S1721" s="13">
        <v>0</v>
      </c>
      <c r="T1721" s="13">
        <v>806</v>
      </c>
      <c r="U1721" s="13">
        <v>0</v>
      </c>
      <c r="V1721" s="13">
        <v>0</v>
      </c>
      <c r="W1721" s="37">
        <v>685</v>
      </c>
      <c r="X1721" s="19"/>
      <c r="AG1721" s="16"/>
    </row>
    <row r="1722" spans="2:33">
      <c r="B1722" s="19"/>
      <c r="P1722" s="16"/>
      <c r="Q1722" s="36" t="s">
        <v>43</v>
      </c>
      <c r="R1722" s="13">
        <v>1921</v>
      </c>
      <c r="S1722" s="13">
        <v>0</v>
      </c>
      <c r="T1722" s="13">
        <v>931</v>
      </c>
      <c r="U1722" s="13">
        <v>0</v>
      </c>
      <c r="V1722" s="13">
        <v>0</v>
      </c>
      <c r="W1722" s="37">
        <v>718</v>
      </c>
      <c r="X1722" s="19"/>
      <c r="AG1722" s="16"/>
    </row>
    <row r="1723" spans="2:33">
      <c r="B1723" s="19"/>
      <c r="P1723" s="16"/>
      <c r="Q1723" s="36" t="s">
        <v>44</v>
      </c>
      <c r="R1723" s="13">
        <v>2055</v>
      </c>
      <c r="S1723" s="13">
        <v>0</v>
      </c>
      <c r="T1723" s="13">
        <v>980</v>
      </c>
      <c r="U1723" s="13">
        <v>0</v>
      </c>
      <c r="V1723" s="13">
        <v>0</v>
      </c>
      <c r="W1723" s="37">
        <v>757</v>
      </c>
      <c r="X1723" s="19"/>
      <c r="AG1723" s="16"/>
    </row>
    <row r="1724" spans="2:33">
      <c r="B1724" s="19"/>
      <c r="P1724" s="16"/>
      <c r="Q1724" s="36" t="s">
        <v>45</v>
      </c>
      <c r="R1724" s="13">
        <v>0</v>
      </c>
      <c r="S1724" s="13">
        <v>1765</v>
      </c>
      <c r="T1724" s="13">
        <v>822</v>
      </c>
      <c r="U1724" s="13">
        <v>0</v>
      </c>
      <c r="V1724" s="13">
        <v>0</v>
      </c>
      <c r="W1724" s="37">
        <v>945</v>
      </c>
      <c r="X1724" s="19"/>
      <c r="AG1724" s="16"/>
    </row>
    <row r="1725" spans="2:33" ht="15" thickBot="1">
      <c r="B1725" s="20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7"/>
      <c r="Q1725" s="36" t="s">
        <v>46</v>
      </c>
      <c r="R1725" s="13">
        <v>0</v>
      </c>
      <c r="S1725" s="13">
        <v>1686</v>
      </c>
      <c r="T1725" s="13">
        <v>858</v>
      </c>
      <c r="U1725" s="13">
        <v>0</v>
      </c>
      <c r="V1725" s="13">
        <v>0</v>
      </c>
      <c r="W1725" s="37">
        <v>1133</v>
      </c>
      <c r="X1725" s="20"/>
      <c r="Y1725" s="15"/>
      <c r="Z1725" s="15"/>
      <c r="AA1725" s="15"/>
      <c r="AB1725" s="15"/>
      <c r="AC1725" s="15"/>
      <c r="AD1725" s="15"/>
      <c r="AE1725" s="15"/>
      <c r="AF1725" s="15"/>
      <c r="AG1725" s="17"/>
    </row>
    <row r="1727" spans="2:33" ht="15" thickBot="1">
      <c r="B1727" s="25" t="s">
        <v>532</v>
      </c>
      <c r="C1727" s="26" t="s">
        <v>533</v>
      </c>
      <c r="D1727" s="26" t="s">
        <v>823</v>
      </c>
      <c r="E1727" s="26" t="s">
        <v>824</v>
      </c>
      <c r="F1727" s="26" t="s">
        <v>825</v>
      </c>
      <c r="G1727" s="26" t="s">
        <v>826</v>
      </c>
      <c r="H1727" s="27" t="s">
        <v>86</v>
      </c>
      <c r="I1727" s="26" t="s">
        <v>827</v>
      </c>
      <c r="J1727" s="27" t="s">
        <v>87</v>
      </c>
      <c r="K1727" s="29">
        <v>25</v>
      </c>
      <c r="L1727" s="29">
        <v>25</v>
      </c>
      <c r="M1727" s="29">
        <v>25</v>
      </c>
      <c r="N1727" s="29">
        <v>25</v>
      </c>
      <c r="O1727" s="29">
        <v>25</v>
      </c>
      <c r="P1727" s="40">
        <v>34</v>
      </c>
      <c r="Q1727" s="1" t="s">
        <v>35</v>
      </c>
      <c r="R1727" s="2">
        <v>2351</v>
      </c>
      <c r="S1727" s="2">
        <v>387</v>
      </c>
      <c r="T1727" s="2">
        <v>0</v>
      </c>
      <c r="U1727" s="2">
        <v>0</v>
      </c>
      <c r="V1727" s="2">
        <v>0</v>
      </c>
      <c r="W1727" s="2">
        <v>731</v>
      </c>
      <c r="X1727" s="43">
        <f>SUM(R1727:W1741)</f>
        <v>32626</v>
      </c>
      <c r="Y1727" s="10">
        <v>46204</v>
      </c>
      <c r="Z1727" s="11">
        <v>0.21915174234314722</v>
      </c>
      <c r="AA1727" s="11">
        <v>0.18274192037163289</v>
      </c>
      <c r="AB1727" s="11">
        <v>0.14726787607165501</v>
      </c>
      <c r="AC1727" s="11">
        <v>0.1287497680516306</v>
      </c>
      <c r="AD1727" s="11">
        <v>0.11447820346270936</v>
      </c>
      <c r="AE1727" s="11">
        <v>0.13149780089791482</v>
      </c>
      <c r="AF1727" s="11">
        <v>0.2</v>
      </c>
      <c r="AG1727" s="11">
        <v>0.23899999999999999</v>
      </c>
    </row>
    <row r="1728" spans="2:33">
      <c r="B1728" s="53" t="s">
        <v>2193</v>
      </c>
      <c r="C1728" s="14"/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35"/>
      <c r="Q1728" s="36" t="s">
        <v>36</v>
      </c>
      <c r="R1728" s="13">
        <v>2020</v>
      </c>
      <c r="S1728" s="13">
        <v>378</v>
      </c>
      <c r="T1728" s="13">
        <v>0</v>
      </c>
      <c r="U1728" s="13">
        <v>0</v>
      </c>
      <c r="V1728" s="13">
        <v>0</v>
      </c>
      <c r="W1728" s="37">
        <v>654</v>
      </c>
      <c r="X1728" s="18"/>
      <c r="Y1728" s="14"/>
      <c r="Z1728" s="14"/>
      <c r="AA1728" s="14"/>
      <c r="AB1728" s="14"/>
      <c r="AC1728" s="14"/>
      <c r="AD1728" s="14"/>
      <c r="AE1728" s="14"/>
      <c r="AF1728" s="14"/>
      <c r="AG1728" s="35"/>
    </row>
    <row r="1729" spans="2:33">
      <c r="B1729" s="19"/>
      <c r="P1729" s="16"/>
      <c r="Q1729" s="36" t="s">
        <v>37</v>
      </c>
      <c r="R1729" s="13">
        <v>0</v>
      </c>
      <c r="S1729" s="13">
        <v>2009</v>
      </c>
      <c r="T1729" s="13">
        <v>361</v>
      </c>
      <c r="U1729" s="13">
        <v>0</v>
      </c>
      <c r="V1729" s="13">
        <v>0</v>
      </c>
      <c r="W1729" s="37">
        <v>673</v>
      </c>
      <c r="X1729" s="19"/>
      <c r="AG1729" s="16"/>
    </row>
    <row r="1730" spans="2:33">
      <c r="B1730" s="19"/>
      <c r="P1730" s="16"/>
      <c r="Q1730" s="36" t="s">
        <v>38</v>
      </c>
      <c r="R1730" s="13">
        <v>0</v>
      </c>
      <c r="S1730" s="13">
        <v>0</v>
      </c>
      <c r="T1730" s="13">
        <v>0</v>
      </c>
      <c r="U1730" s="13">
        <v>1627</v>
      </c>
      <c r="V1730" s="13">
        <v>335</v>
      </c>
      <c r="W1730" s="37">
        <v>406</v>
      </c>
      <c r="X1730" s="19"/>
      <c r="AG1730" s="16"/>
    </row>
    <row r="1731" spans="2:33">
      <c r="B1731" s="19"/>
      <c r="P1731" s="16"/>
      <c r="Q1731" s="36" t="s">
        <v>39</v>
      </c>
      <c r="R1731" s="13">
        <v>0</v>
      </c>
      <c r="S1731" s="13">
        <v>0</v>
      </c>
      <c r="T1731" s="13">
        <v>0</v>
      </c>
      <c r="U1731" s="13">
        <v>790</v>
      </c>
      <c r="V1731" s="13">
        <v>186</v>
      </c>
      <c r="W1731" s="37">
        <v>349</v>
      </c>
      <c r="X1731" s="19"/>
      <c r="AG1731" s="16"/>
    </row>
    <row r="1732" spans="2:33">
      <c r="B1732" s="19"/>
      <c r="P1732" s="16"/>
      <c r="Q1732" s="36" t="s">
        <v>40</v>
      </c>
      <c r="R1732" s="13">
        <v>0</v>
      </c>
      <c r="S1732" s="13">
        <v>0</v>
      </c>
      <c r="T1732" s="13">
        <v>1846</v>
      </c>
      <c r="U1732" s="13">
        <v>375</v>
      </c>
      <c r="V1732" s="13">
        <v>0</v>
      </c>
      <c r="W1732" s="37">
        <v>569</v>
      </c>
      <c r="X1732" s="19"/>
      <c r="AG1732" s="16"/>
    </row>
    <row r="1733" spans="2:33">
      <c r="B1733" s="19"/>
      <c r="P1733" s="16"/>
      <c r="Q1733" s="36" t="s">
        <v>41</v>
      </c>
      <c r="R1733" s="13">
        <v>2489</v>
      </c>
      <c r="S1733" s="13">
        <v>272</v>
      </c>
      <c r="T1733" s="13">
        <v>0</v>
      </c>
      <c r="U1733" s="13">
        <v>0</v>
      </c>
      <c r="V1733" s="13">
        <v>0</v>
      </c>
      <c r="W1733" s="37">
        <v>578</v>
      </c>
      <c r="X1733" s="19"/>
      <c r="AG1733" s="16"/>
    </row>
    <row r="1734" spans="2:33">
      <c r="B1734" s="19"/>
      <c r="P1734" s="16"/>
      <c r="Q1734" s="36" t="s">
        <v>551</v>
      </c>
      <c r="R1734" s="13">
        <v>0</v>
      </c>
      <c r="S1734" s="13">
        <v>0</v>
      </c>
      <c r="T1734" s="13">
        <v>174</v>
      </c>
      <c r="U1734" s="13">
        <v>23</v>
      </c>
      <c r="V1734" s="13">
        <v>0</v>
      </c>
      <c r="W1734" s="37">
        <v>92</v>
      </c>
      <c r="X1734" s="19"/>
      <c r="AG1734" s="16"/>
    </row>
    <row r="1735" spans="2:33">
      <c r="B1735" s="19"/>
      <c r="P1735" s="16"/>
      <c r="Q1735" s="36" t="s">
        <v>552</v>
      </c>
      <c r="R1735" s="13">
        <v>0</v>
      </c>
      <c r="S1735" s="13">
        <v>0</v>
      </c>
      <c r="T1735" s="13">
        <v>2115</v>
      </c>
      <c r="U1735" s="13">
        <v>232</v>
      </c>
      <c r="V1735" s="13">
        <v>0</v>
      </c>
      <c r="W1735" s="37">
        <v>522</v>
      </c>
      <c r="X1735" s="19"/>
      <c r="AG1735" s="16"/>
    </row>
    <row r="1736" spans="2:33">
      <c r="B1736" s="19"/>
      <c r="P1736" s="16"/>
      <c r="Q1736" s="36" t="s">
        <v>828</v>
      </c>
      <c r="R1736" s="13">
        <v>0</v>
      </c>
      <c r="S1736" s="13">
        <v>0</v>
      </c>
      <c r="T1736" s="13">
        <v>34</v>
      </c>
      <c r="U1736" s="13">
        <v>34</v>
      </c>
      <c r="V1736" s="13">
        <v>0</v>
      </c>
      <c r="W1736" s="37">
        <v>170</v>
      </c>
      <c r="X1736" s="19"/>
      <c r="AG1736" s="16"/>
    </row>
    <row r="1737" spans="2:33">
      <c r="B1737" s="19"/>
      <c r="P1737" s="16"/>
      <c r="Q1737" s="36" t="s">
        <v>829</v>
      </c>
      <c r="R1737" s="13">
        <v>0</v>
      </c>
      <c r="S1737" s="13">
        <v>0</v>
      </c>
      <c r="T1737" s="13">
        <v>697</v>
      </c>
      <c r="U1737" s="13">
        <v>133</v>
      </c>
      <c r="V1737" s="13">
        <v>0</v>
      </c>
      <c r="W1737" s="37">
        <v>191</v>
      </c>
      <c r="X1737" s="19"/>
      <c r="AG1737" s="16"/>
    </row>
    <row r="1738" spans="2:33">
      <c r="B1738" s="19"/>
      <c r="P1738" s="16"/>
      <c r="Q1738" s="36" t="s">
        <v>44</v>
      </c>
      <c r="R1738" s="13">
        <v>0</v>
      </c>
      <c r="S1738" s="13">
        <v>0</v>
      </c>
      <c r="T1738" s="13">
        <v>0</v>
      </c>
      <c r="U1738" s="13">
        <v>834</v>
      </c>
      <c r="V1738" s="13">
        <v>172</v>
      </c>
      <c r="W1738" s="37">
        <v>275</v>
      </c>
      <c r="X1738" s="19"/>
      <c r="AG1738" s="16"/>
    </row>
    <row r="1739" spans="2:33">
      <c r="B1739" s="19"/>
      <c r="P1739" s="16"/>
      <c r="Q1739" s="36" t="s">
        <v>45</v>
      </c>
      <c r="R1739" s="13">
        <v>0</v>
      </c>
      <c r="S1739" s="13">
        <v>1888</v>
      </c>
      <c r="T1739" s="13">
        <v>371</v>
      </c>
      <c r="U1739" s="13">
        <v>0</v>
      </c>
      <c r="V1739" s="13">
        <v>0</v>
      </c>
      <c r="W1739" s="37">
        <v>755</v>
      </c>
      <c r="X1739" s="19"/>
      <c r="AG1739" s="16"/>
    </row>
    <row r="1740" spans="2:33">
      <c r="B1740" s="19"/>
      <c r="P1740" s="16"/>
      <c r="Q1740" s="36" t="s">
        <v>830</v>
      </c>
      <c r="R1740" s="13">
        <v>314</v>
      </c>
      <c r="S1740" s="13">
        <v>145</v>
      </c>
      <c r="T1740" s="13">
        <v>306</v>
      </c>
      <c r="U1740" s="13">
        <v>109</v>
      </c>
      <c r="V1740" s="13">
        <v>0</v>
      </c>
      <c r="W1740" s="37">
        <v>231</v>
      </c>
      <c r="X1740" s="19"/>
      <c r="AG1740" s="16"/>
    </row>
    <row r="1741" spans="2:33" ht="15" thickBot="1">
      <c r="B1741" s="20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7"/>
      <c r="Q1741" s="36" t="s">
        <v>831</v>
      </c>
      <c r="R1741" s="13">
        <v>2070</v>
      </c>
      <c r="S1741" s="13">
        <v>399</v>
      </c>
      <c r="T1741" s="13">
        <v>0</v>
      </c>
      <c r="U1741" s="13">
        <v>0</v>
      </c>
      <c r="V1741" s="13">
        <v>0</v>
      </c>
      <c r="W1741" s="37">
        <v>954</v>
      </c>
      <c r="X1741" s="20"/>
      <c r="Y1741" s="15"/>
      <c r="Z1741" s="15"/>
      <c r="AA1741" s="15"/>
      <c r="AB1741" s="15"/>
      <c r="AC1741" s="15"/>
      <c r="AD1741" s="15"/>
      <c r="AE1741" s="15"/>
      <c r="AF1741" s="15"/>
      <c r="AG1741" s="17"/>
    </row>
    <row r="1743" spans="2:33" ht="15" thickBot="1">
      <c r="B1743" s="25" t="s">
        <v>532</v>
      </c>
      <c r="C1743" s="26" t="s">
        <v>533</v>
      </c>
      <c r="D1743" s="26" t="s">
        <v>832</v>
      </c>
      <c r="E1743" s="26" t="s">
        <v>833</v>
      </c>
      <c r="F1743" s="26" t="s">
        <v>834</v>
      </c>
      <c r="G1743" s="26" t="s">
        <v>835</v>
      </c>
      <c r="H1743" s="27" t="s">
        <v>693</v>
      </c>
      <c r="I1743" s="26" t="s">
        <v>836</v>
      </c>
      <c r="J1743" s="27" t="s">
        <v>87</v>
      </c>
      <c r="K1743" s="29">
        <v>34</v>
      </c>
      <c r="L1743" s="29">
        <v>34</v>
      </c>
      <c r="M1743" s="29">
        <v>34</v>
      </c>
      <c r="N1743" s="29">
        <v>34</v>
      </c>
      <c r="O1743" s="29">
        <v>34</v>
      </c>
      <c r="P1743" s="40">
        <v>34</v>
      </c>
      <c r="Q1743" s="1" t="s">
        <v>35</v>
      </c>
      <c r="R1743" s="2">
        <v>0</v>
      </c>
      <c r="S1743" s="2">
        <v>2126</v>
      </c>
      <c r="T1743" s="2">
        <v>0</v>
      </c>
      <c r="U1743" s="2">
        <v>875</v>
      </c>
      <c r="V1743" s="2">
        <v>0</v>
      </c>
      <c r="W1743" s="2">
        <v>1185</v>
      </c>
      <c r="X1743" s="43">
        <f>SUM(R1743:W1754)</f>
        <v>47533</v>
      </c>
      <c r="Y1743" s="10">
        <v>46204</v>
      </c>
      <c r="Z1743" s="11">
        <v>0.21915174234314722</v>
      </c>
      <c r="AA1743" s="11">
        <v>0.18274192037163289</v>
      </c>
      <c r="AB1743" s="11">
        <v>0.14726787607165501</v>
      </c>
      <c r="AC1743" s="11">
        <v>0.1287497680516306</v>
      </c>
      <c r="AD1743" s="11">
        <v>0.11447820346270936</v>
      </c>
      <c r="AE1743" s="11">
        <v>0.13149780089791482</v>
      </c>
      <c r="AF1743" s="11">
        <v>0.2</v>
      </c>
      <c r="AG1743" s="11">
        <v>0.23899999999999999</v>
      </c>
    </row>
    <row r="1744" spans="2:33">
      <c r="B1744" s="53" t="s">
        <v>2193</v>
      </c>
      <c r="C1744" s="14"/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35"/>
      <c r="Q1744" s="36" t="s">
        <v>837</v>
      </c>
      <c r="R1744" s="13">
        <v>6</v>
      </c>
      <c r="S1744" s="13">
        <v>1317</v>
      </c>
      <c r="T1744" s="13">
        <v>15</v>
      </c>
      <c r="U1744" s="13">
        <v>689</v>
      </c>
      <c r="V1744" s="13">
        <v>5</v>
      </c>
      <c r="W1744" s="37">
        <v>850</v>
      </c>
      <c r="X1744" s="18"/>
      <c r="Y1744" s="14"/>
      <c r="Z1744" s="14"/>
      <c r="AA1744" s="14"/>
      <c r="AB1744" s="14"/>
      <c r="AC1744" s="14"/>
      <c r="AD1744" s="14"/>
      <c r="AE1744" s="14"/>
      <c r="AF1744" s="14"/>
      <c r="AG1744" s="35"/>
    </row>
    <row r="1745" spans="2:33">
      <c r="B1745" s="19"/>
      <c r="P1745" s="16"/>
      <c r="Q1745" s="36" t="s">
        <v>838</v>
      </c>
      <c r="R1745" s="13">
        <v>0</v>
      </c>
      <c r="S1745" s="13">
        <v>2008</v>
      </c>
      <c r="T1745" s="13">
        <v>0</v>
      </c>
      <c r="U1745" s="13">
        <v>1016</v>
      </c>
      <c r="V1745" s="13">
        <v>0</v>
      </c>
      <c r="W1745" s="37">
        <v>992</v>
      </c>
      <c r="X1745" s="19"/>
      <c r="AG1745" s="16"/>
    </row>
    <row r="1746" spans="2:33">
      <c r="B1746" s="19"/>
      <c r="P1746" s="16"/>
      <c r="Q1746" s="36" t="s">
        <v>839</v>
      </c>
      <c r="R1746" s="13">
        <v>0</v>
      </c>
      <c r="S1746" s="13">
        <v>77</v>
      </c>
      <c r="T1746" s="13">
        <v>0</v>
      </c>
      <c r="U1746" s="13">
        <v>1584</v>
      </c>
      <c r="V1746" s="13">
        <v>818</v>
      </c>
      <c r="W1746" s="37">
        <v>919</v>
      </c>
      <c r="X1746" s="19"/>
      <c r="AG1746" s="16"/>
    </row>
    <row r="1747" spans="2:33">
      <c r="B1747" s="19"/>
      <c r="P1747" s="16"/>
      <c r="Q1747" s="36" t="s">
        <v>39</v>
      </c>
      <c r="R1747" s="13">
        <v>0</v>
      </c>
      <c r="S1747" s="13">
        <v>0</v>
      </c>
      <c r="T1747" s="13">
        <v>0</v>
      </c>
      <c r="U1747" s="13">
        <v>1368</v>
      </c>
      <c r="V1747" s="13">
        <v>708</v>
      </c>
      <c r="W1747" s="37">
        <v>966</v>
      </c>
      <c r="X1747" s="19"/>
      <c r="AG1747" s="16"/>
    </row>
    <row r="1748" spans="2:33">
      <c r="B1748" s="19"/>
      <c r="P1748" s="16"/>
      <c r="Q1748" s="36" t="s">
        <v>40</v>
      </c>
      <c r="R1748" s="13">
        <v>0</v>
      </c>
      <c r="S1748" s="13">
        <v>0</v>
      </c>
      <c r="T1748" s="13">
        <v>0</v>
      </c>
      <c r="U1748" s="13">
        <v>2049</v>
      </c>
      <c r="V1748" s="13">
        <v>981</v>
      </c>
      <c r="W1748" s="37">
        <v>1004</v>
      </c>
      <c r="X1748" s="19"/>
      <c r="AG1748" s="16"/>
    </row>
    <row r="1749" spans="2:33">
      <c r="B1749" s="19"/>
      <c r="P1749" s="16"/>
      <c r="Q1749" s="36" t="s">
        <v>41</v>
      </c>
      <c r="R1749" s="13">
        <v>2573</v>
      </c>
      <c r="S1749" s="13">
        <v>0</v>
      </c>
      <c r="T1749" s="13">
        <v>1192</v>
      </c>
      <c r="U1749" s="13">
        <v>0</v>
      </c>
      <c r="V1749" s="13">
        <v>0</v>
      </c>
      <c r="W1749" s="37">
        <v>1110</v>
      </c>
      <c r="X1749" s="19"/>
      <c r="AG1749" s="16"/>
    </row>
    <row r="1750" spans="2:33">
      <c r="B1750" s="19"/>
      <c r="P1750" s="16"/>
      <c r="Q1750" s="36" t="s">
        <v>42</v>
      </c>
      <c r="R1750" s="13">
        <v>2116</v>
      </c>
      <c r="S1750" s="13">
        <v>0</v>
      </c>
      <c r="T1750" s="13">
        <v>960</v>
      </c>
      <c r="U1750" s="13">
        <v>0</v>
      </c>
      <c r="V1750" s="13">
        <v>0</v>
      </c>
      <c r="W1750" s="37">
        <v>1253</v>
      </c>
      <c r="X1750" s="19"/>
      <c r="AG1750" s="16"/>
    </row>
    <row r="1751" spans="2:33">
      <c r="B1751" s="19"/>
      <c r="P1751" s="16"/>
      <c r="Q1751" s="36" t="s">
        <v>43</v>
      </c>
      <c r="R1751" s="13">
        <v>2289</v>
      </c>
      <c r="S1751" s="13">
        <v>0</v>
      </c>
      <c r="T1751" s="13">
        <v>1101</v>
      </c>
      <c r="U1751" s="13">
        <v>0</v>
      </c>
      <c r="V1751" s="13">
        <v>0</v>
      </c>
      <c r="W1751" s="37">
        <v>1024</v>
      </c>
      <c r="X1751" s="19"/>
      <c r="AG1751" s="16"/>
    </row>
    <row r="1752" spans="2:33">
      <c r="B1752" s="19"/>
      <c r="P1752" s="16"/>
      <c r="Q1752" s="36" t="s">
        <v>44</v>
      </c>
      <c r="R1752" s="13">
        <v>2436</v>
      </c>
      <c r="S1752" s="13">
        <v>0</v>
      </c>
      <c r="T1752" s="13">
        <v>1167</v>
      </c>
      <c r="U1752" s="13">
        <v>0</v>
      </c>
      <c r="V1752" s="13">
        <v>0</v>
      </c>
      <c r="W1752" s="37">
        <v>1056</v>
      </c>
      <c r="X1752" s="19"/>
      <c r="AG1752" s="16"/>
    </row>
    <row r="1753" spans="2:33">
      <c r="B1753" s="19"/>
      <c r="P1753" s="16"/>
      <c r="Q1753" s="36" t="s">
        <v>45</v>
      </c>
      <c r="R1753" s="13">
        <v>0</v>
      </c>
      <c r="S1753" s="13">
        <v>2023</v>
      </c>
      <c r="T1753" s="13">
        <v>991</v>
      </c>
      <c r="U1753" s="13">
        <v>0</v>
      </c>
      <c r="V1753" s="13">
        <v>0</v>
      </c>
      <c r="W1753" s="37">
        <v>1248</v>
      </c>
      <c r="X1753" s="19"/>
      <c r="AG1753" s="16"/>
    </row>
    <row r="1754" spans="2:33" ht="15" thickBot="1">
      <c r="B1754" s="20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7"/>
      <c r="Q1754" s="36" t="s">
        <v>46</v>
      </c>
      <c r="R1754" s="13">
        <v>0</v>
      </c>
      <c r="S1754" s="13">
        <v>1475</v>
      </c>
      <c r="T1754" s="13">
        <v>760</v>
      </c>
      <c r="U1754" s="13">
        <v>0</v>
      </c>
      <c r="V1754" s="13">
        <v>0</v>
      </c>
      <c r="W1754" s="37">
        <v>1201</v>
      </c>
      <c r="X1754" s="20"/>
      <c r="Y1754" s="15"/>
      <c r="Z1754" s="15"/>
      <c r="AA1754" s="15"/>
      <c r="AB1754" s="15"/>
      <c r="AC1754" s="15"/>
      <c r="AD1754" s="15"/>
      <c r="AE1754" s="15"/>
      <c r="AF1754" s="15"/>
      <c r="AG1754" s="17"/>
    </row>
    <row r="1756" spans="2:33" ht="15" thickBot="1">
      <c r="B1756" s="25" t="s">
        <v>532</v>
      </c>
      <c r="C1756" s="26" t="s">
        <v>533</v>
      </c>
      <c r="D1756" s="26" t="s">
        <v>840</v>
      </c>
      <c r="E1756" s="26" t="s">
        <v>841</v>
      </c>
      <c r="F1756" s="26" t="s">
        <v>842</v>
      </c>
      <c r="G1756" s="26" t="s">
        <v>843</v>
      </c>
      <c r="H1756" s="27" t="s">
        <v>677</v>
      </c>
      <c r="I1756" s="26" t="s">
        <v>844</v>
      </c>
      <c r="J1756" s="27" t="s">
        <v>87</v>
      </c>
      <c r="K1756" s="29">
        <v>18</v>
      </c>
      <c r="L1756" s="29">
        <v>18</v>
      </c>
      <c r="M1756" s="29">
        <v>18</v>
      </c>
      <c r="N1756" s="29">
        <v>18</v>
      </c>
      <c r="O1756" s="29">
        <v>18</v>
      </c>
      <c r="P1756" s="40">
        <v>18</v>
      </c>
      <c r="Q1756" s="1" t="s">
        <v>35</v>
      </c>
      <c r="R1756" s="2">
        <v>1024</v>
      </c>
      <c r="S1756" s="2">
        <v>482</v>
      </c>
      <c r="T1756" s="2">
        <v>0</v>
      </c>
      <c r="U1756" s="2">
        <v>0</v>
      </c>
      <c r="V1756" s="2">
        <v>0</v>
      </c>
      <c r="W1756" s="2">
        <v>405</v>
      </c>
      <c r="X1756" s="43">
        <f>SUM(R1756:W1768)</f>
        <v>24246</v>
      </c>
      <c r="Y1756" s="10">
        <v>46204</v>
      </c>
      <c r="Z1756" s="11">
        <v>0.21915174234314722</v>
      </c>
      <c r="AA1756" s="11">
        <v>0.18274192037163289</v>
      </c>
      <c r="AB1756" s="11">
        <v>0.14726787607165501</v>
      </c>
      <c r="AC1756" s="11">
        <v>0.1287497680516306</v>
      </c>
      <c r="AD1756" s="11">
        <v>0.11447820346270936</v>
      </c>
      <c r="AE1756" s="11">
        <v>0.13149780089791482</v>
      </c>
      <c r="AF1756" s="11">
        <v>0.2</v>
      </c>
      <c r="AG1756" s="11">
        <v>0.23899999999999999</v>
      </c>
    </row>
    <row r="1757" spans="2:33">
      <c r="B1757" s="53" t="s">
        <v>2193</v>
      </c>
      <c r="C1757" s="14"/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35"/>
      <c r="Q1757" s="36" t="s">
        <v>36</v>
      </c>
      <c r="R1757" s="13">
        <v>863</v>
      </c>
      <c r="S1757" s="13">
        <v>388</v>
      </c>
      <c r="T1757" s="13">
        <v>0</v>
      </c>
      <c r="U1757" s="13">
        <v>0</v>
      </c>
      <c r="V1757" s="13">
        <v>0</v>
      </c>
      <c r="W1757" s="37">
        <v>323</v>
      </c>
      <c r="X1757" s="18"/>
      <c r="Y1757" s="14"/>
      <c r="Z1757" s="14"/>
      <c r="AA1757" s="14"/>
      <c r="AB1757" s="14"/>
      <c r="AC1757" s="14"/>
      <c r="AD1757" s="14"/>
      <c r="AE1757" s="14"/>
      <c r="AF1757" s="14"/>
      <c r="AG1757" s="35"/>
    </row>
    <row r="1758" spans="2:33">
      <c r="B1758" s="19"/>
      <c r="P1758" s="16"/>
      <c r="Q1758" s="36" t="s">
        <v>37</v>
      </c>
      <c r="R1758" s="13">
        <v>0</v>
      </c>
      <c r="S1758" s="13">
        <v>764</v>
      </c>
      <c r="T1758" s="13">
        <v>390</v>
      </c>
      <c r="U1758" s="13">
        <v>0</v>
      </c>
      <c r="V1758" s="13">
        <v>0</v>
      </c>
      <c r="W1758" s="37">
        <v>427</v>
      </c>
      <c r="X1758" s="19"/>
      <c r="AG1758" s="16"/>
    </row>
    <row r="1759" spans="2:33">
      <c r="B1759" s="19"/>
      <c r="P1759" s="16"/>
      <c r="Q1759" s="36" t="s">
        <v>38</v>
      </c>
      <c r="R1759" s="13">
        <v>0</v>
      </c>
      <c r="S1759" s="13">
        <v>0</v>
      </c>
      <c r="T1759" s="13">
        <v>0</v>
      </c>
      <c r="U1759" s="13">
        <v>659</v>
      </c>
      <c r="V1759" s="13">
        <v>388</v>
      </c>
      <c r="W1759" s="37">
        <v>305</v>
      </c>
      <c r="X1759" s="19"/>
      <c r="AG1759" s="16"/>
    </row>
    <row r="1760" spans="2:33">
      <c r="B1760" s="19"/>
      <c r="P1760" s="16"/>
      <c r="Q1760" s="36" t="s">
        <v>39</v>
      </c>
      <c r="R1760" s="13">
        <v>0</v>
      </c>
      <c r="S1760" s="13">
        <v>0</v>
      </c>
      <c r="T1760" s="13">
        <v>0</v>
      </c>
      <c r="U1760" s="13">
        <v>793</v>
      </c>
      <c r="V1760" s="13">
        <v>493</v>
      </c>
      <c r="W1760" s="37">
        <v>466</v>
      </c>
      <c r="X1760" s="19"/>
      <c r="AG1760" s="16"/>
    </row>
    <row r="1761" spans="2:33">
      <c r="B1761" s="19"/>
      <c r="P1761" s="16"/>
      <c r="Q1761" s="36" t="s">
        <v>40</v>
      </c>
      <c r="R1761" s="13">
        <v>0</v>
      </c>
      <c r="S1761" s="13">
        <v>0</v>
      </c>
      <c r="T1761" s="13">
        <v>1461</v>
      </c>
      <c r="U1761" s="13">
        <v>895</v>
      </c>
      <c r="V1761" s="13">
        <v>0</v>
      </c>
      <c r="W1761" s="37">
        <v>539</v>
      </c>
      <c r="X1761" s="19"/>
      <c r="AG1761" s="16"/>
    </row>
    <row r="1762" spans="2:33">
      <c r="B1762" s="19"/>
      <c r="P1762" s="16"/>
      <c r="Q1762" s="36" t="s">
        <v>41</v>
      </c>
      <c r="R1762" s="13">
        <v>1688</v>
      </c>
      <c r="S1762" s="13">
        <v>970</v>
      </c>
      <c r="T1762" s="13">
        <v>0</v>
      </c>
      <c r="U1762" s="13">
        <v>0</v>
      </c>
      <c r="V1762" s="13">
        <v>0</v>
      </c>
      <c r="W1762" s="37">
        <v>594</v>
      </c>
      <c r="X1762" s="19"/>
      <c r="AG1762" s="16"/>
    </row>
    <row r="1763" spans="2:33">
      <c r="B1763" s="19"/>
      <c r="P1763" s="16"/>
      <c r="Q1763" s="36" t="s">
        <v>551</v>
      </c>
      <c r="R1763" s="13">
        <v>0</v>
      </c>
      <c r="S1763" s="13">
        <v>0</v>
      </c>
      <c r="T1763" s="13">
        <v>161</v>
      </c>
      <c r="U1763" s="13">
        <v>87</v>
      </c>
      <c r="V1763" s="13">
        <v>0</v>
      </c>
      <c r="W1763" s="37">
        <v>130</v>
      </c>
      <c r="X1763" s="19"/>
      <c r="AG1763" s="16"/>
    </row>
    <row r="1764" spans="2:33">
      <c r="B1764" s="19"/>
      <c r="P1764" s="16"/>
      <c r="Q1764" s="36" t="s">
        <v>552</v>
      </c>
      <c r="R1764" s="13">
        <v>0</v>
      </c>
      <c r="S1764" s="13">
        <v>0</v>
      </c>
      <c r="T1764" s="13">
        <v>1361</v>
      </c>
      <c r="U1764" s="13">
        <v>813</v>
      </c>
      <c r="V1764" s="13">
        <v>0</v>
      </c>
      <c r="W1764" s="37">
        <v>579</v>
      </c>
      <c r="X1764" s="19"/>
      <c r="AG1764" s="16"/>
    </row>
    <row r="1765" spans="2:33">
      <c r="B1765" s="19"/>
      <c r="P1765" s="16"/>
      <c r="Q1765" s="36" t="s">
        <v>43</v>
      </c>
      <c r="R1765" s="13">
        <v>0</v>
      </c>
      <c r="S1765" s="13">
        <v>0</v>
      </c>
      <c r="T1765" s="13">
        <v>982</v>
      </c>
      <c r="U1765" s="13">
        <v>650</v>
      </c>
      <c r="V1765" s="13">
        <v>0</v>
      </c>
      <c r="W1765" s="37">
        <v>463</v>
      </c>
      <c r="X1765" s="19"/>
      <c r="AG1765" s="16"/>
    </row>
    <row r="1766" spans="2:33">
      <c r="B1766" s="19"/>
      <c r="P1766" s="16"/>
      <c r="Q1766" s="36" t="s">
        <v>44</v>
      </c>
      <c r="R1766" s="13">
        <v>0</v>
      </c>
      <c r="S1766" s="13">
        <v>0</v>
      </c>
      <c r="T1766" s="13">
        <v>0</v>
      </c>
      <c r="U1766" s="13">
        <v>833</v>
      </c>
      <c r="V1766" s="13">
        <v>519</v>
      </c>
      <c r="W1766" s="37">
        <v>306</v>
      </c>
      <c r="X1766" s="19"/>
      <c r="AG1766" s="16"/>
    </row>
    <row r="1767" spans="2:33">
      <c r="B1767" s="19"/>
      <c r="P1767" s="16"/>
      <c r="Q1767" s="36" t="s">
        <v>45</v>
      </c>
      <c r="R1767" s="13">
        <v>0</v>
      </c>
      <c r="S1767" s="13">
        <v>709</v>
      </c>
      <c r="T1767" s="13">
        <v>422</v>
      </c>
      <c r="U1767" s="13">
        <v>0</v>
      </c>
      <c r="V1767" s="13">
        <v>0</v>
      </c>
      <c r="W1767" s="37">
        <v>329</v>
      </c>
      <c r="X1767" s="19"/>
      <c r="AG1767" s="16"/>
    </row>
    <row r="1768" spans="2:33" ht="15" thickBot="1">
      <c r="B1768" s="20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7"/>
      <c r="Q1768" s="36" t="s">
        <v>46</v>
      </c>
      <c r="R1768" s="13">
        <v>854</v>
      </c>
      <c r="S1768" s="13">
        <v>435</v>
      </c>
      <c r="T1768" s="13">
        <v>0</v>
      </c>
      <c r="U1768" s="13">
        <v>0</v>
      </c>
      <c r="V1768" s="13">
        <v>0</v>
      </c>
      <c r="W1768" s="37">
        <v>296</v>
      </c>
      <c r="X1768" s="20"/>
      <c r="Y1768" s="15"/>
      <c r="Z1768" s="15"/>
      <c r="AA1768" s="15"/>
      <c r="AB1768" s="15"/>
      <c r="AC1768" s="15"/>
      <c r="AD1768" s="15"/>
      <c r="AE1768" s="15"/>
      <c r="AF1768" s="15"/>
      <c r="AG1768" s="17"/>
    </row>
    <row r="1770" spans="2:33" ht="15" thickBot="1">
      <c r="B1770" s="25" t="s">
        <v>532</v>
      </c>
      <c r="C1770" s="26" t="s">
        <v>533</v>
      </c>
      <c r="D1770" s="26" t="s">
        <v>845</v>
      </c>
      <c r="E1770" s="26" t="s">
        <v>846</v>
      </c>
      <c r="F1770" s="26" t="s">
        <v>847</v>
      </c>
      <c r="G1770" s="26" t="s">
        <v>848</v>
      </c>
      <c r="H1770" s="27" t="s">
        <v>683</v>
      </c>
      <c r="I1770" s="26" t="s">
        <v>849</v>
      </c>
      <c r="J1770" s="27" t="s">
        <v>87</v>
      </c>
      <c r="K1770" s="29">
        <v>24</v>
      </c>
      <c r="L1770" s="29">
        <v>26</v>
      </c>
      <c r="M1770" s="29">
        <v>26</v>
      </c>
      <c r="N1770" s="29">
        <v>26</v>
      </c>
      <c r="O1770" s="29">
        <v>26</v>
      </c>
      <c r="P1770" s="40">
        <v>26</v>
      </c>
      <c r="Q1770" s="1" t="s">
        <v>35</v>
      </c>
      <c r="R1770" s="2">
        <v>1840</v>
      </c>
      <c r="S1770" s="2">
        <v>1006</v>
      </c>
      <c r="T1770" s="2">
        <v>0</v>
      </c>
      <c r="U1770" s="2">
        <v>0</v>
      </c>
      <c r="V1770" s="2">
        <v>0</v>
      </c>
      <c r="W1770" s="2">
        <v>727</v>
      </c>
      <c r="X1770" s="43">
        <f>SUM(R1770:W1782)</f>
        <v>41978</v>
      </c>
      <c r="Y1770" s="10">
        <v>46204</v>
      </c>
      <c r="Z1770" s="11">
        <v>0.21915174234314722</v>
      </c>
      <c r="AA1770" s="11">
        <v>0.18274192037163289</v>
      </c>
      <c r="AB1770" s="11">
        <v>0.14726787607165501</v>
      </c>
      <c r="AC1770" s="11">
        <v>0.1287497680516306</v>
      </c>
      <c r="AD1770" s="11">
        <v>0.11447820346270936</v>
      </c>
      <c r="AE1770" s="11">
        <v>0.13149780089791482</v>
      </c>
      <c r="AF1770" s="11">
        <v>0.2</v>
      </c>
      <c r="AG1770" s="11">
        <v>0.23899999999999999</v>
      </c>
    </row>
    <row r="1771" spans="2:33">
      <c r="B1771" s="53" t="s">
        <v>2193</v>
      </c>
      <c r="C1771" s="14"/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35"/>
      <c r="Q1771" s="36" t="s">
        <v>36</v>
      </c>
      <c r="R1771" s="13">
        <v>1671</v>
      </c>
      <c r="S1771" s="13">
        <v>883</v>
      </c>
      <c r="T1771" s="13">
        <v>0</v>
      </c>
      <c r="U1771" s="13">
        <v>0</v>
      </c>
      <c r="V1771" s="13">
        <v>0</v>
      </c>
      <c r="W1771" s="37">
        <v>680</v>
      </c>
      <c r="X1771" s="18"/>
      <c r="Y1771" s="14"/>
      <c r="Z1771" s="14"/>
      <c r="AA1771" s="14"/>
      <c r="AB1771" s="14"/>
      <c r="AC1771" s="14"/>
      <c r="AD1771" s="14"/>
      <c r="AE1771" s="14"/>
      <c r="AF1771" s="14"/>
      <c r="AG1771" s="35"/>
    </row>
    <row r="1772" spans="2:33">
      <c r="B1772" s="19"/>
      <c r="P1772" s="16"/>
      <c r="Q1772" s="36" t="s">
        <v>37</v>
      </c>
      <c r="R1772" s="13">
        <v>0</v>
      </c>
      <c r="S1772" s="13">
        <v>1742</v>
      </c>
      <c r="T1772" s="13">
        <v>994</v>
      </c>
      <c r="U1772" s="13">
        <v>0</v>
      </c>
      <c r="V1772" s="13">
        <v>0</v>
      </c>
      <c r="W1772" s="37">
        <v>935</v>
      </c>
      <c r="X1772" s="19"/>
      <c r="AG1772" s="16"/>
    </row>
    <row r="1773" spans="2:33">
      <c r="B1773" s="19"/>
      <c r="P1773" s="16"/>
      <c r="Q1773" s="36" t="s">
        <v>38</v>
      </c>
      <c r="R1773" s="13">
        <v>0</v>
      </c>
      <c r="S1773" s="13">
        <v>0</v>
      </c>
      <c r="T1773" s="13">
        <v>0</v>
      </c>
      <c r="U1773" s="13">
        <v>1328</v>
      </c>
      <c r="V1773" s="13">
        <v>756</v>
      </c>
      <c r="W1773" s="37">
        <v>609</v>
      </c>
      <c r="X1773" s="19"/>
      <c r="AG1773" s="16"/>
    </row>
    <row r="1774" spans="2:33">
      <c r="B1774" s="19"/>
      <c r="P1774" s="16"/>
      <c r="Q1774" s="36" t="s">
        <v>39</v>
      </c>
      <c r="R1774" s="13">
        <v>0</v>
      </c>
      <c r="S1774" s="13">
        <v>0</v>
      </c>
      <c r="T1774" s="13">
        <v>0</v>
      </c>
      <c r="U1774" s="13">
        <v>1423</v>
      </c>
      <c r="V1774" s="13">
        <v>810</v>
      </c>
      <c r="W1774" s="37">
        <v>728</v>
      </c>
      <c r="X1774" s="19"/>
      <c r="AG1774" s="16"/>
    </row>
    <row r="1775" spans="2:33">
      <c r="B1775" s="19"/>
      <c r="P1775" s="16"/>
      <c r="Q1775" s="36" t="s">
        <v>40</v>
      </c>
      <c r="R1775" s="13">
        <v>0</v>
      </c>
      <c r="S1775" s="13">
        <v>0</v>
      </c>
      <c r="T1775" s="13">
        <v>1801</v>
      </c>
      <c r="U1775" s="13">
        <v>1108</v>
      </c>
      <c r="V1775" s="13">
        <v>0</v>
      </c>
      <c r="W1775" s="37">
        <v>900</v>
      </c>
      <c r="X1775" s="19"/>
      <c r="AG1775" s="16"/>
    </row>
    <row r="1776" spans="2:33">
      <c r="B1776" s="19"/>
      <c r="P1776" s="16"/>
      <c r="Q1776" s="36" t="s">
        <v>41</v>
      </c>
      <c r="R1776" s="13">
        <v>1930</v>
      </c>
      <c r="S1776" s="13">
        <v>1405</v>
      </c>
      <c r="T1776" s="13">
        <v>0</v>
      </c>
      <c r="U1776" s="13">
        <v>0</v>
      </c>
      <c r="V1776" s="13">
        <v>0</v>
      </c>
      <c r="W1776" s="37">
        <v>885</v>
      </c>
      <c r="X1776" s="19"/>
      <c r="AG1776" s="16"/>
    </row>
    <row r="1777" spans="2:33">
      <c r="B1777" s="19"/>
      <c r="P1777" s="16"/>
      <c r="Q1777" s="36" t="s">
        <v>551</v>
      </c>
      <c r="R1777" s="13">
        <v>0</v>
      </c>
      <c r="S1777" s="13">
        <v>0</v>
      </c>
      <c r="T1777" s="13">
        <v>248</v>
      </c>
      <c r="U1777" s="13">
        <v>142</v>
      </c>
      <c r="V1777" s="13">
        <v>0</v>
      </c>
      <c r="W1777" s="37">
        <v>224</v>
      </c>
      <c r="X1777" s="19"/>
      <c r="AG1777" s="16"/>
    </row>
    <row r="1778" spans="2:33">
      <c r="B1778" s="19"/>
      <c r="P1778" s="16"/>
      <c r="Q1778" s="36" t="s">
        <v>552</v>
      </c>
      <c r="R1778" s="13">
        <v>0</v>
      </c>
      <c r="S1778" s="13">
        <v>0</v>
      </c>
      <c r="T1778" s="13">
        <v>1902</v>
      </c>
      <c r="U1778" s="13">
        <v>1200</v>
      </c>
      <c r="V1778" s="13">
        <v>0</v>
      </c>
      <c r="W1778" s="37">
        <v>966</v>
      </c>
      <c r="X1778" s="19"/>
      <c r="AG1778" s="16"/>
    </row>
    <row r="1779" spans="2:33">
      <c r="B1779" s="19"/>
      <c r="P1779" s="16"/>
      <c r="Q1779" s="36" t="s">
        <v>43</v>
      </c>
      <c r="R1779" s="13">
        <v>0</v>
      </c>
      <c r="S1779" s="13">
        <v>0</v>
      </c>
      <c r="T1779" s="13">
        <v>1587</v>
      </c>
      <c r="U1779" s="13">
        <v>1072</v>
      </c>
      <c r="V1779" s="13">
        <v>0</v>
      </c>
      <c r="W1779" s="37">
        <v>812</v>
      </c>
      <c r="X1779" s="19"/>
      <c r="AG1779" s="16"/>
    </row>
    <row r="1780" spans="2:33">
      <c r="B1780" s="19"/>
      <c r="P1780" s="16"/>
      <c r="Q1780" s="36" t="s">
        <v>44</v>
      </c>
      <c r="R1780" s="13">
        <v>0</v>
      </c>
      <c r="S1780" s="13">
        <v>0</v>
      </c>
      <c r="T1780" s="13">
        <v>0</v>
      </c>
      <c r="U1780" s="13">
        <v>1561</v>
      </c>
      <c r="V1780" s="13">
        <v>949</v>
      </c>
      <c r="W1780" s="37">
        <v>618</v>
      </c>
      <c r="X1780" s="19"/>
      <c r="AG1780" s="16"/>
    </row>
    <row r="1781" spans="2:33">
      <c r="B1781" s="19"/>
      <c r="P1781" s="16"/>
      <c r="Q1781" s="36" t="s">
        <v>45</v>
      </c>
      <c r="R1781" s="13">
        <v>0</v>
      </c>
      <c r="S1781" s="13">
        <v>1533</v>
      </c>
      <c r="T1781" s="13">
        <v>857</v>
      </c>
      <c r="U1781" s="13">
        <v>0</v>
      </c>
      <c r="V1781" s="13">
        <v>0</v>
      </c>
      <c r="W1781" s="37">
        <v>678</v>
      </c>
      <c r="X1781" s="19"/>
      <c r="AG1781" s="16"/>
    </row>
    <row r="1782" spans="2:33" ht="15" thickBot="1">
      <c r="B1782" s="20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7"/>
      <c r="Q1782" s="36" t="s">
        <v>46</v>
      </c>
      <c r="R1782" s="13">
        <v>1801</v>
      </c>
      <c r="S1782" s="13">
        <v>1006</v>
      </c>
      <c r="T1782" s="13">
        <v>0</v>
      </c>
      <c r="U1782" s="13">
        <v>0</v>
      </c>
      <c r="V1782" s="13">
        <v>0</v>
      </c>
      <c r="W1782" s="37">
        <v>661</v>
      </c>
      <c r="X1782" s="20"/>
      <c r="Y1782" s="15"/>
      <c r="Z1782" s="15"/>
      <c r="AA1782" s="15"/>
      <c r="AB1782" s="15"/>
      <c r="AC1782" s="15"/>
      <c r="AD1782" s="15"/>
      <c r="AE1782" s="15"/>
      <c r="AF1782" s="15"/>
      <c r="AG1782" s="17"/>
    </row>
    <row r="1784" spans="2:33" ht="15" thickBot="1">
      <c r="B1784" s="25" t="s">
        <v>532</v>
      </c>
      <c r="C1784" s="26" t="s">
        <v>533</v>
      </c>
      <c r="D1784" s="26" t="s">
        <v>850</v>
      </c>
      <c r="E1784" s="26" t="s">
        <v>851</v>
      </c>
      <c r="F1784" s="26" t="s">
        <v>852</v>
      </c>
      <c r="G1784" s="26" t="s">
        <v>853</v>
      </c>
      <c r="H1784" s="27" t="s">
        <v>677</v>
      </c>
      <c r="I1784" s="26" t="s">
        <v>854</v>
      </c>
      <c r="J1784" s="27" t="s">
        <v>87</v>
      </c>
      <c r="K1784" s="29">
        <v>17</v>
      </c>
      <c r="L1784" s="29">
        <v>17</v>
      </c>
      <c r="M1784" s="29">
        <v>17</v>
      </c>
      <c r="N1784" s="29">
        <v>17</v>
      </c>
      <c r="O1784" s="29">
        <v>17</v>
      </c>
      <c r="P1784" s="40">
        <v>17</v>
      </c>
      <c r="Q1784" s="1" t="s">
        <v>35</v>
      </c>
      <c r="R1784" s="2">
        <v>944</v>
      </c>
      <c r="S1784" s="2">
        <v>481</v>
      </c>
      <c r="T1784" s="2">
        <v>0</v>
      </c>
      <c r="U1784" s="2">
        <v>0</v>
      </c>
      <c r="V1784" s="2">
        <v>0</v>
      </c>
      <c r="W1784" s="2">
        <v>416</v>
      </c>
      <c r="X1784" s="43">
        <f>SUM(R1784:W1796)</f>
        <v>22171</v>
      </c>
      <c r="Y1784" s="10">
        <v>46204</v>
      </c>
      <c r="Z1784" s="11">
        <v>0.21915174234314722</v>
      </c>
      <c r="AA1784" s="11">
        <v>0.18274192037163289</v>
      </c>
      <c r="AB1784" s="11">
        <v>0.14726787607165501</v>
      </c>
      <c r="AC1784" s="11">
        <v>0.1287497680516306</v>
      </c>
      <c r="AD1784" s="11">
        <v>0.11447820346270936</v>
      </c>
      <c r="AE1784" s="11">
        <v>0.13149780089791482</v>
      </c>
      <c r="AF1784" s="11">
        <v>0.2</v>
      </c>
      <c r="AG1784" s="11">
        <v>0.23899999999999999</v>
      </c>
    </row>
    <row r="1785" spans="2:33">
      <c r="B1785" s="53" t="s">
        <v>2193</v>
      </c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35"/>
      <c r="Q1785" s="36" t="s">
        <v>36</v>
      </c>
      <c r="R1785" s="13">
        <v>812</v>
      </c>
      <c r="S1785" s="13">
        <v>369</v>
      </c>
      <c r="T1785" s="13">
        <v>0</v>
      </c>
      <c r="U1785" s="13">
        <v>0</v>
      </c>
      <c r="V1785" s="13">
        <v>0</v>
      </c>
      <c r="W1785" s="37">
        <v>389</v>
      </c>
      <c r="X1785" s="18"/>
      <c r="Y1785" s="14"/>
      <c r="Z1785" s="14"/>
      <c r="AA1785" s="14"/>
      <c r="AB1785" s="14"/>
      <c r="AC1785" s="14"/>
      <c r="AD1785" s="14"/>
      <c r="AE1785" s="14"/>
      <c r="AF1785" s="14"/>
      <c r="AG1785" s="35"/>
    </row>
    <row r="1786" spans="2:33">
      <c r="B1786" s="19"/>
      <c r="P1786" s="16"/>
      <c r="Q1786" s="36" t="s">
        <v>37</v>
      </c>
      <c r="R1786" s="13">
        <v>0</v>
      </c>
      <c r="S1786" s="13">
        <v>805</v>
      </c>
      <c r="T1786" s="13">
        <v>385</v>
      </c>
      <c r="U1786" s="13">
        <v>0</v>
      </c>
      <c r="V1786" s="13">
        <v>0</v>
      </c>
      <c r="W1786" s="37">
        <v>496</v>
      </c>
      <c r="X1786" s="19"/>
      <c r="AG1786" s="16"/>
    </row>
    <row r="1787" spans="2:33">
      <c r="B1787" s="19"/>
      <c r="P1787" s="16"/>
      <c r="Q1787" s="36" t="s">
        <v>38</v>
      </c>
      <c r="R1787" s="13">
        <v>0</v>
      </c>
      <c r="S1787" s="13">
        <v>0</v>
      </c>
      <c r="T1787" s="13">
        <v>0</v>
      </c>
      <c r="U1787" s="13">
        <v>553</v>
      </c>
      <c r="V1787" s="13">
        <v>308</v>
      </c>
      <c r="W1787" s="37">
        <v>356</v>
      </c>
      <c r="X1787" s="19"/>
      <c r="AG1787" s="16"/>
    </row>
    <row r="1788" spans="2:33">
      <c r="B1788" s="19"/>
      <c r="P1788" s="16"/>
      <c r="Q1788" s="36" t="s">
        <v>39</v>
      </c>
      <c r="R1788" s="13">
        <v>0</v>
      </c>
      <c r="S1788" s="13">
        <v>0</v>
      </c>
      <c r="T1788" s="13">
        <v>0</v>
      </c>
      <c r="U1788" s="13">
        <v>610</v>
      </c>
      <c r="V1788" s="13">
        <v>370</v>
      </c>
      <c r="W1788" s="37">
        <v>427</v>
      </c>
      <c r="X1788" s="19"/>
      <c r="AG1788" s="16"/>
    </row>
    <row r="1789" spans="2:33">
      <c r="B1789" s="19"/>
      <c r="P1789" s="16"/>
      <c r="Q1789" s="36" t="s">
        <v>40</v>
      </c>
      <c r="R1789" s="13">
        <v>0</v>
      </c>
      <c r="S1789" s="13">
        <v>0</v>
      </c>
      <c r="T1789" s="13">
        <v>1095</v>
      </c>
      <c r="U1789" s="13">
        <v>715</v>
      </c>
      <c r="V1789" s="13">
        <v>0</v>
      </c>
      <c r="W1789" s="37">
        <v>498</v>
      </c>
      <c r="X1789" s="19"/>
      <c r="AG1789" s="16"/>
    </row>
    <row r="1790" spans="2:33">
      <c r="B1790" s="19"/>
      <c r="P1790" s="16"/>
      <c r="Q1790" s="36" t="s">
        <v>41</v>
      </c>
      <c r="R1790" s="13">
        <v>1210</v>
      </c>
      <c r="S1790" s="13">
        <v>761</v>
      </c>
      <c r="T1790" s="13">
        <v>0</v>
      </c>
      <c r="U1790" s="13">
        <v>0</v>
      </c>
      <c r="V1790" s="13">
        <v>0</v>
      </c>
      <c r="W1790" s="37">
        <v>575</v>
      </c>
      <c r="X1790" s="19"/>
      <c r="AG1790" s="16"/>
    </row>
    <row r="1791" spans="2:33">
      <c r="B1791" s="19"/>
      <c r="P1791" s="16"/>
      <c r="Q1791" s="36" t="s">
        <v>551</v>
      </c>
      <c r="R1791" s="13">
        <v>0</v>
      </c>
      <c r="S1791" s="13">
        <v>0</v>
      </c>
      <c r="T1791" s="13">
        <v>130</v>
      </c>
      <c r="U1791" s="13">
        <v>72</v>
      </c>
      <c r="V1791" s="13">
        <v>0</v>
      </c>
      <c r="W1791" s="37">
        <v>130</v>
      </c>
      <c r="X1791" s="19"/>
      <c r="AG1791" s="16"/>
    </row>
    <row r="1792" spans="2:33">
      <c r="B1792" s="19"/>
      <c r="P1792" s="16"/>
      <c r="Q1792" s="36" t="s">
        <v>552</v>
      </c>
      <c r="R1792" s="13">
        <v>0</v>
      </c>
      <c r="S1792" s="13">
        <v>0</v>
      </c>
      <c r="T1792" s="13">
        <v>1064</v>
      </c>
      <c r="U1792" s="13">
        <v>677</v>
      </c>
      <c r="V1792" s="13">
        <v>0</v>
      </c>
      <c r="W1792" s="37">
        <v>581</v>
      </c>
      <c r="X1792" s="19"/>
      <c r="AG1792" s="16"/>
    </row>
    <row r="1793" spans="2:33">
      <c r="B1793" s="19"/>
      <c r="P1793" s="16"/>
      <c r="Q1793" s="36" t="s">
        <v>43</v>
      </c>
      <c r="R1793" s="13">
        <v>0</v>
      </c>
      <c r="S1793" s="13">
        <v>0</v>
      </c>
      <c r="T1793" s="13">
        <v>858</v>
      </c>
      <c r="U1793" s="13">
        <v>581</v>
      </c>
      <c r="V1793" s="13">
        <v>0</v>
      </c>
      <c r="W1793" s="37">
        <v>513</v>
      </c>
      <c r="X1793" s="19"/>
      <c r="AG1793" s="16"/>
    </row>
    <row r="1794" spans="2:33">
      <c r="B1794" s="19"/>
      <c r="P1794" s="16"/>
      <c r="Q1794" s="36" t="s">
        <v>44</v>
      </c>
      <c r="R1794" s="13">
        <v>0</v>
      </c>
      <c r="S1794" s="13">
        <v>0</v>
      </c>
      <c r="T1794" s="13">
        <v>0</v>
      </c>
      <c r="U1794" s="13">
        <v>747</v>
      </c>
      <c r="V1794" s="13">
        <v>504</v>
      </c>
      <c r="W1794" s="37">
        <v>418</v>
      </c>
      <c r="X1794" s="19"/>
      <c r="AG1794" s="16"/>
    </row>
    <row r="1795" spans="2:33">
      <c r="B1795" s="19"/>
      <c r="P1795" s="16"/>
      <c r="Q1795" s="36" t="s">
        <v>45</v>
      </c>
      <c r="R1795" s="13">
        <v>0</v>
      </c>
      <c r="S1795" s="13">
        <v>711</v>
      </c>
      <c r="T1795" s="13">
        <v>390</v>
      </c>
      <c r="U1795" s="13">
        <v>0</v>
      </c>
      <c r="V1795" s="13">
        <v>0</v>
      </c>
      <c r="W1795" s="37">
        <v>443</v>
      </c>
      <c r="X1795" s="19"/>
      <c r="AG1795" s="16"/>
    </row>
    <row r="1796" spans="2:33" ht="15" thickBot="1">
      <c r="B1796" s="20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7"/>
      <c r="Q1796" s="36" t="s">
        <v>46</v>
      </c>
      <c r="R1796" s="13">
        <v>904</v>
      </c>
      <c r="S1796" s="13">
        <v>474</v>
      </c>
      <c r="T1796" s="13">
        <v>0</v>
      </c>
      <c r="U1796" s="13">
        <v>0</v>
      </c>
      <c r="V1796" s="13">
        <v>0</v>
      </c>
      <c r="W1796" s="37">
        <v>399</v>
      </c>
      <c r="X1796" s="20"/>
      <c r="Y1796" s="15"/>
      <c r="Z1796" s="15"/>
      <c r="AA1796" s="15"/>
      <c r="AB1796" s="15"/>
      <c r="AC1796" s="15"/>
      <c r="AD1796" s="15"/>
      <c r="AE1796" s="15"/>
      <c r="AF1796" s="15"/>
      <c r="AG1796" s="17"/>
    </row>
    <row r="1798" spans="2:33" ht="15" thickBot="1">
      <c r="B1798" s="25" t="s">
        <v>532</v>
      </c>
      <c r="C1798" s="26" t="s">
        <v>533</v>
      </c>
      <c r="D1798" s="26" t="s">
        <v>855</v>
      </c>
      <c r="E1798" s="26" t="s">
        <v>856</v>
      </c>
      <c r="F1798" s="26" t="s">
        <v>857</v>
      </c>
      <c r="G1798" s="26" t="s">
        <v>858</v>
      </c>
      <c r="H1798" s="27" t="s">
        <v>858</v>
      </c>
      <c r="I1798" s="26" t="s">
        <v>859</v>
      </c>
      <c r="J1798" s="27" t="s">
        <v>87</v>
      </c>
      <c r="K1798" s="29">
        <v>50</v>
      </c>
      <c r="L1798" s="29">
        <v>50</v>
      </c>
      <c r="M1798" s="29">
        <v>50</v>
      </c>
      <c r="N1798" s="29">
        <v>50</v>
      </c>
      <c r="O1798" s="29">
        <v>50</v>
      </c>
      <c r="P1798" s="40">
        <v>55</v>
      </c>
      <c r="Q1798" s="1" t="s">
        <v>35</v>
      </c>
      <c r="R1798" s="2">
        <v>5332</v>
      </c>
      <c r="S1798" s="2">
        <v>3474</v>
      </c>
      <c r="T1798" s="2">
        <v>0</v>
      </c>
      <c r="U1798" s="2">
        <v>0</v>
      </c>
      <c r="V1798" s="2">
        <v>0</v>
      </c>
      <c r="W1798" s="2">
        <v>6868</v>
      </c>
      <c r="X1798" s="43">
        <f>SUM(R1798:W1810)</f>
        <v>135138</v>
      </c>
      <c r="Y1798" s="10">
        <v>46204</v>
      </c>
      <c r="Z1798" s="11">
        <v>0.21915174234314722</v>
      </c>
      <c r="AA1798" s="11">
        <v>0.18274192037163289</v>
      </c>
      <c r="AB1798" s="11">
        <v>0.14726787607165501</v>
      </c>
      <c r="AC1798" s="11">
        <v>0.1287497680516306</v>
      </c>
      <c r="AD1798" s="11">
        <v>0.11447820346270936</v>
      </c>
      <c r="AE1798" s="11">
        <v>0.13149780089791482</v>
      </c>
      <c r="AF1798" s="11">
        <v>0.2</v>
      </c>
      <c r="AG1798" s="11">
        <v>0.23899999999999999</v>
      </c>
    </row>
    <row r="1799" spans="2:33">
      <c r="B1799" s="53" t="s">
        <v>2193</v>
      </c>
      <c r="C1799" s="14"/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35"/>
      <c r="Q1799" s="36" t="s">
        <v>36</v>
      </c>
      <c r="R1799" s="13">
        <v>5301</v>
      </c>
      <c r="S1799" s="13">
        <v>3393</v>
      </c>
      <c r="T1799" s="13">
        <v>0</v>
      </c>
      <c r="U1799" s="13">
        <v>0</v>
      </c>
      <c r="V1799" s="13">
        <v>0</v>
      </c>
      <c r="W1799" s="37">
        <v>6894</v>
      </c>
      <c r="X1799" s="18"/>
      <c r="Y1799" s="14"/>
      <c r="Z1799" s="14"/>
      <c r="AA1799" s="14"/>
      <c r="AB1799" s="14"/>
      <c r="AC1799" s="14"/>
      <c r="AD1799" s="14"/>
      <c r="AE1799" s="14"/>
      <c r="AF1799" s="14"/>
      <c r="AG1799" s="35"/>
    </row>
    <row r="1800" spans="2:33">
      <c r="B1800" s="19"/>
      <c r="P1800" s="16"/>
      <c r="Q1800" s="36" t="s">
        <v>37</v>
      </c>
      <c r="R1800" s="13">
        <v>0</v>
      </c>
      <c r="S1800" s="13">
        <v>5530</v>
      </c>
      <c r="T1800" s="13">
        <v>3681</v>
      </c>
      <c r="U1800" s="13">
        <v>0</v>
      </c>
      <c r="V1800" s="13">
        <v>0</v>
      </c>
      <c r="W1800" s="37">
        <v>8530</v>
      </c>
      <c r="X1800" s="19"/>
      <c r="AG1800" s="16"/>
    </row>
    <row r="1801" spans="2:33">
      <c r="B1801" s="19"/>
      <c r="P1801" s="16"/>
      <c r="Q1801" s="36" t="s">
        <v>38</v>
      </c>
      <c r="R1801" s="13">
        <v>0</v>
      </c>
      <c r="S1801" s="13">
        <v>0</v>
      </c>
      <c r="T1801" s="13">
        <v>0</v>
      </c>
      <c r="U1801" s="13">
        <v>3736</v>
      </c>
      <c r="V1801" s="13">
        <v>2341</v>
      </c>
      <c r="W1801" s="37">
        <v>5136</v>
      </c>
      <c r="X1801" s="19"/>
      <c r="AG1801" s="16"/>
    </row>
    <row r="1802" spans="2:33">
      <c r="B1802" s="19"/>
      <c r="P1802" s="16"/>
      <c r="Q1802" s="36" t="s">
        <v>39</v>
      </c>
      <c r="R1802" s="13">
        <v>0</v>
      </c>
      <c r="S1802" s="13">
        <v>0</v>
      </c>
      <c r="T1802" s="13">
        <v>0</v>
      </c>
      <c r="U1802" s="13">
        <v>2800</v>
      </c>
      <c r="V1802" s="13">
        <v>1675</v>
      </c>
      <c r="W1802" s="37">
        <v>3205</v>
      </c>
      <c r="X1802" s="19"/>
      <c r="AG1802" s="16"/>
    </row>
    <row r="1803" spans="2:33">
      <c r="B1803" s="19"/>
      <c r="P1803" s="16"/>
      <c r="Q1803" s="36" t="s">
        <v>40</v>
      </c>
      <c r="R1803" s="13">
        <v>0</v>
      </c>
      <c r="S1803" s="13">
        <v>0</v>
      </c>
      <c r="T1803" s="13">
        <v>2484</v>
      </c>
      <c r="U1803" s="13">
        <v>1604</v>
      </c>
      <c r="V1803" s="13">
        <v>0</v>
      </c>
      <c r="W1803" s="37">
        <v>2159</v>
      </c>
      <c r="X1803" s="19"/>
      <c r="AG1803" s="16"/>
    </row>
    <row r="1804" spans="2:33">
      <c r="B1804" s="19"/>
      <c r="P1804" s="16"/>
      <c r="Q1804" s="36" t="s">
        <v>41</v>
      </c>
      <c r="R1804" s="13">
        <v>3420</v>
      </c>
      <c r="S1804" s="13">
        <v>2154</v>
      </c>
      <c r="T1804" s="13">
        <v>0</v>
      </c>
      <c r="U1804" s="13">
        <v>0</v>
      </c>
      <c r="V1804" s="13">
        <v>0</v>
      </c>
      <c r="W1804" s="37">
        <v>2352</v>
      </c>
      <c r="X1804" s="19"/>
      <c r="AG1804" s="16"/>
    </row>
    <row r="1805" spans="2:33">
      <c r="B1805" s="19"/>
      <c r="P1805" s="16"/>
      <c r="Q1805" s="36" t="s">
        <v>552</v>
      </c>
      <c r="R1805" s="13">
        <v>0</v>
      </c>
      <c r="S1805" s="13">
        <v>0</v>
      </c>
      <c r="T1805" s="13">
        <v>2794</v>
      </c>
      <c r="U1805" s="13">
        <v>1765</v>
      </c>
      <c r="V1805" s="13">
        <v>0</v>
      </c>
      <c r="W1805" s="37">
        <v>2402</v>
      </c>
      <c r="X1805" s="19"/>
      <c r="AG1805" s="16"/>
    </row>
    <row r="1806" spans="2:33">
      <c r="B1806" s="19"/>
      <c r="P1806" s="16"/>
      <c r="Q1806" s="36" t="s">
        <v>43</v>
      </c>
      <c r="R1806" s="13">
        <v>0</v>
      </c>
      <c r="S1806" s="13">
        <v>0</v>
      </c>
      <c r="T1806" s="13">
        <v>2481</v>
      </c>
      <c r="U1806" s="13">
        <v>1602</v>
      </c>
      <c r="V1806" s="13">
        <v>0</v>
      </c>
      <c r="W1806" s="37">
        <v>2266</v>
      </c>
      <c r="X1806" s="19"/>
      <c r="AG1806" s="16"/>
    </row>
    <row r="1807" spans="2:33">
      <c r="B1807" s="19"/>
      <c r="P1807" s="16"/>
      <c r="Q1807" s="36" t="s">
        <v>44</v>
      </c>
      <c r="R1807" s="13">
        <v>0</v>
      </c>
      <c r="S1807" s="13">
        <v>0</v>
      </c>
      <c r="T1807" s="13">
        <v>0</v>
      </c>
      <c r="U1807" s="13">
        <v>2898</v>
      </c>
      <c r="V1807" s="13">
        <v>1698</v>
      </c>
      <c r="W1807" s="37">
        <v>2739</v>
      </c>
      <c r="X1807" s="19"/>
      <c r="AG1807" s="16"/>
    </row>
    <row r="1808" spans="2:33">
      <c r="B1808" s="19"/>
      <c r="P1808" s="16"/>
      <c r="Q1808" s="36" t="s">
        <v>539</v>
      </c>
      <c r="R1808" s="13">
        <v>0</v>
      </c>
      <c r="S1808" s="13">
        <v>4150</v>
      </c>
      <c r="T1808" s="13">
        <v>2564</v>
      </c>
      <c r="U1808" s="13">
        <v>0</v>
      </c>
      <c r="V1808" s="13">
        <v>0</v>
      </c>
      <c r="W1808" s="37">
        <v>5284</v>
      </c>
      <c r="X1808" s="19"/>
      <c r="AG1808" s="16"/>
    </row>
    <row r="1809" spans="2:33">
      <c r="B1809" s="19"/>
      <c r="P1809" s="16"/>
      <c r="Q1809" s="36" t="s">
        <v>540</v>
      </c>
      <c r="R1809" s="13">
        <v>0</v>
      </c>
      <c r="S1809" s="13">
        <v>732</v>
      </c>
      <c r="T1809" s="13">
        <v>452</v>
      </c>
      <c r="U1809" s="13">
        <v>0</v>
      </c>
      <c r="V1809" s="13">
        <v>0</v>
      </c>
      <c r="W1809" s="37">
        <v>1160</v>
      </c>
      <c r="X1809" s="19"/>
      <c r="AG1809" s="16"/>
    </row>
    <row r="1810" spans="2:33" ht="15" thickBot="1">
      <c r="B1810" s="20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7"/>
      <c r="Q1810" s="36" t="s">
        <v>46</v>
      </c>
      <c r="R1810" s="13">
        <v>5895</v>
      </c>
      <c r="S1810" s="13">
        <v>3846</v>
      </c>
      <c r="T1810" s="13">
        <v>0</v>
      </c>
      <c r="U1810" s="13">
        <v>0</v>
      </c>
      <c r="V1810" s="13">
        <v>0</v>
      </c>
      <c r="W1810" s="37">
        <v>8341</v>
      </c>
      <c r="X1810" s="20"/>
      <c r="Y1810" s="15"/>
      <c r="Z1810" s="15"/>
      <c r="AA1810" s="15"/>
      <c r="AB1810" s="15"/>
      <c r="AC1810" s="15"/>
      <c r="AD1810" s="15"/>
      <c r="AE1810" s="15"/>
      <c r="AF1810" s="15"/>
      <c r="AG1810" s="17"/>
    </row>
    <row r="1812" spans="2:33" ht="15" thickBot="1">
      <c r="B1812" s="25" t="s">
        <v>532</v>
      </c>
      <c r="C1812" s="26" t="s">
        <v>533</v>
      </c>
      <c r="D1812" s="26" t="s">
        <v>860</v>
      </c>
      <c r="E1812" s="26" t="s">
        <v>861</v>
      </c>
      <c r="F1812" s="26" t="s">
        <v>862</v>
      </c>
      <c r="G1812" s="26" t="s">
        <v>863</v>
      </c>
      <c r="H1812" s="27" t="s">
        <v>683</v>
      </c>
      <c r="I1812" s="26" t="s">
        <v>864</v>
      </c>
      <c r="J1812" s="27" t="s">
        <v>87</v>
      </c>
      <c r="K1812" s="29">
        <v>15.0100002288818</v>
      </c>
      <c r="L1812" s="29">
        <v>15.0100002288818</v>
      </c>
      <c r="M1812" s="29">
        <v>15.0100002288818</v>
      </c>
      <c r="N1812" s="29">
        <v>15.0100002288818</v>
      </c>
      <c r="O1812" s="29">
        <v>15.0100002288818</v>
      </c>
      <c r="P1812" s="40">
        <v>15.0100002288818</v>
      </c>
      <c r="Q1812" s="1" t="s">
        <v>35</v>
      </c>
      <c r="R1812" s="2">
        <v>1384</v>
      </c>
      <c r="S1812" s="2">
        <v>363</v>
      </c>
      <c r="T1812" s="2">
        <v>0</v>
      </c>
      <c r="U1812" s="2">
        <v>0</v>
      </c>
      <c r="V1812" s="2">
        <v>0</v>
      </c>
      <c r="W1812" s="2">
        <v>605</v>
      </c>
      <c r="X1812" s="43">
        <f>SUM(R1812:W1824)</f>
        <v>23905</v>
      </c>
      <c r="Y1812" s="10">
        <v>46204</v>
      </c>
      <c r="Z1812" s="11">
        <v>0.21915174234314722</v>
      </c>
      <c r="AA1812" s="11">
        <v>0.18274192037163289</v>
      </c>
      <c r="AB1812" s="11">
        <v>0.14726787607165501</v>
      </c>
      <c r="AC1812" s="11">
        <v>0.1287497680516306</v>
      </c>
      <c r="AD1812" s="11">
        <v>0.11447820346270936</v>
      </c>
      <c r="AE1812" s="11">
        <v>0.13149780089791482</v>
      </c>
      <c r="AF1812" s="11">
        <v>0.2</v>
      </c>
      <c r="AG1812" s="11">
        <v>0.23899999999999999</v>
      </c>
    </row>
    <row r="1813" spans="2:33">
      <c r="B1813" s="53" t="s">
        <v>2193</v>
      </c>
      <c r="C1813" s="1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35"/>
      <c r="Q1813" s="36" t="s">
        <v>36</v>
      </c>
      <c r="R1813" s="13">
        <v>1048</v>
      </c>
      <c r="S1813" s="13">
        <v>261</v>
      </c>
      <c r="T1813" s="13">
        <v>0</v>
      </c>
      <c r="U1813" s="13">
        <v>0</v>
      </c>
      <c r="V1813" s="13">
        <v>0</v>
      </c>
      <c r="W1813" s="37">
        <v>559</v>
      </c>
      <c r="X1813" s="18"/>
      <c r="Y1813" s="14"/>
      <c r="Z1813" s="14"/>
      <c r="AA1813" s="14"/>
      <c r="AB1813" s="14"/>
      <c r="AC1813" s="14"/>
      <c r="AD1813" s="14"/>
      <c r="AE1813" s="14"/>
      <c r="AF1813" s="14"/>
      <c r="AG1813" s="35"/>
    </row>
    <row r="1814" spans="2:33">
      <c r="B1814" s="19"/>
      <c r="P1814" s="16"/>
      <c r="Q1814" s="36" t="s">
        <v>37</v>
      </c>
      <c r="R1814" s="13">
        <v>0</v>
      </c>
      <c r="S1814" s="13">
        <v>1125</v>
      </c>
      <c r="T1814" s="13">
        <v>331</v>
      </c>
      <c r="U1814" s="13">
        <v>0</v>
      </c>
      <c r="V1814" s="13">
        <v>0</v>
      </c>
      <c r="W1814" s="37">
        <v>631</v>
      </c>
      <c r="X1814" s="19"/>
      <c r="AG1814" s="16"/>
    </row>
    <row r="1815" spans="2:33">
      <c r="B1815" s="19"/>
      <c r="P1815" s="16"/>
      <c r="Q1815" s="36" t="s">
        <v>38</v>
      </c>
      <c r="R1815" s="13">
        <v>0</v>
      </c>
      <c r="S1815" s="13">
        <v>0</v>
      </c>
      <c r="T1815" s="13">
        <v>0</v>
      </c>
      <c r="U1815" s="13">
        <v>793</v>
      </c>
      <c r="V1815" s="13">
        <v>273</v>
      </c>
      <c r="W1815" s="37">
        <v>482</v>
      </c>
      <c r="X1815" s="19"/>
      <c r="AG1815" s="16"/>
    </row>
    <row r="1816" spans="2:33">
      <c r="B1816" s="19"/>
      <c r="P1816" s="16"/>
      <c r="Q1816" s="36" t="s">
        <v>39</v>
      </c>
      <c r="R1816" s="13">
        <v>0</v>
      </c>
      <c r="S1816" s="13">
        <v>0</v>
      </c>
      <c r="T1816" s="13">
        <v>0</v>
      </c>
      <c r="U1816" s="13">
        <v>776</v>
      </c>
      <c r="V1816" s="13">
        <v>252</v>
      </c>
      <c r="W1816" s="37">
        <v>552</v>
      </c>
      <c r="X1816" s="19"/>
      <c r="AG1816" s="16"/>
    </row>
    <row r="1817" spans="2:33">
      <c r="B1817" s="19"/>
      <c r="P1817" s="16"/>
      <c r="Q1817" s="36" t="s">
        <v>40</v>
      </c>
      <c r="R1817" s="13">
        <v>0</v>
      </c>
      <c r="S1817" s="13">
        <v>0</v>
      </c>
      <c r="T1817" s="13">
        <v>1429</v>
      </c>
      <c r="U1817" s="13">
        <v>388</v>
      </c>
      <c r="V1817" s="13">
        <v>0</v>
      </c>
      <c r="W1817" s="37">
        <v>635</v>
      </c>
      <c r="X1817" s="19"/>
      <c r="AG1817" s="16"/>
    </row>
    <row r="1818" spans="2:33">
      <c r="B1818" s="19"/>
      <c r="P1818" s="16"/>
      <c r="Q1818" s="36" t="s">
        <v>41</v>
      </c>
      <c r="R1818" s="13">
        <v>1334</v>
      </c>
      <c r="S1818" s="13">
        <v>393</v>
      </c>
      <c r="T1818" s="13">
        <v>0</v>
      </c>
      <c r="U1818" s="13">
        <v>0</v>
      </c>
      <c r="V1818" s="13">
        <v>0</v>
      </c>
      <c r="W1818" s="37">
        <v>610</v>
      </c>
      <c r="X1818" s="19"/>
      <c r="AG1818" s="16"/>
    </row>
    <row r="1819" spans="2:33">
      <c r="B1819" s="19"/>
      <c r="P1819" s="16"/>
      <c r="Q1819" s="36" t="s">
        <v>551</v>
      </c>
      <c r="R1819" s="13">
        <v>0</v>
      </c>
      <c r="S1819" s="13">
        <v>0</v>
      </c>
      <c r="T1819" s="13">
        <v>90</v>
      </c>
      <c r="U1819" s="13">
        <v>28</v>
      </c>
      <c r="V1819" s="13">
        <v>0</v>
      </c>
      <c r="W1819" s="37">
        <v>80</v>
      </c>
      <c r="X1819" s="19"/>
      <c r="AG1819" s="16"/>
    </row>
    <row r="1820" spans="2:33">
      <c r="B1820" s="19"/>
      <c r="P1820" s="16"/>
      <c r="Q1820" s="36" t="s">
        <v>552</v>
      </c>
      <c r="R1820" s="13">
        <v>0</v>
      </c>
      <c r="S1820" s="13">
        <v>0</v>
      </c>
      <c r="T1820" s="13">
        <v>1064</v>
      </c>
      <c r="U1820" s="13">
        <v>316</v>
      </c>
      <c r="V1820" s="13">
        <v>0</v>
      </c>
      <c r="W1820" s="37">
        <v>442</v>
      </c>
      <c r="X1820" s="19"/>
      <c r="AG1820" s="16"/>
    </row>
    <row r="1821" spans="2:33">
      <c r="B1821" s="19"/>
      <c r="P1821" s="16"/>
      <c r="Q1821" s="36" t="s">
        <v>43</v>
      </c>
      <c r="R1821" s="13">
        <v>0</v>
      </c>
      <c r="S1821" s="13">
        <v>0</v>
      </c>
      <c r="T1821" s="13">
        <v>1054</v>
      </c>
      <c r="U1821" s="13">
        <v>331</v>
      </c>
      <c r="V1821" s="13">
        <v>0</v>
      </c>
      <c r="W1821" s="37">
        <v>549</v>
      </c>
      <c r="X1821" s="19"/>
      <c r="AG1821" s="16"/>
    </row>
    <row r="1822" spans="2:33">
      <c r="B1822" s="19"/>
      <c r="P1822" s="16"/>
      <c r="Q1822" s="36" t="s">
        <v>44</v>
      </c>
      <c r="R1822" s="13">
        <v>0</v>
      </c>
      <c r="S1822" s="13">
        <v>0</v>
      </c>
      <c r="T1822" s="13">
        <v>0</v>
      </c>
      <c r="U1822" s="13">
        <v>933</v>
      </c>
      <c r="V1822" s="13">
        <v>294</v>
      </c>
      <c r="W1822" s="37">
        <v>485</v>
      </c>
      <c r="X1822" s="19"/>
      <c r="AG1822" s="16"/>
    </row>
    <row r="1823" spans="2:33">
      <c r="B1823" s="19"/>
      <c r="P1823" s="16"/>
      <c r="Q1823" s="36" t="s">
        <v>45</v>
      </c>
      <c r="R1823" s="13">
        <v>0</v>
      </c>
      <c r="S1823" s="13">
        <v>990</v>
      </c>
      <c r="T1823" s="13">
        <v>311</v>
      </c>
      <c r="U1823" s="13">
        <v>0</v>
      </c>
      <c r="V1823" s="13">
        <v>0</v>
      </c>
      <c r="W1823" s="37">
        <v>577</v>
      </c>
      <c r="X1823" s="19"/>
      <c r="AG1823" s="16"/>
    </row>
    <row r="1824" spans="2:33" ht="15" thickBot="1">
      <c r="B1824" s="20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7"/>
      <c r="Q1824" s="36" t="s">
        <v>46</v>
      </c>
      <c r="R1824" s="13">
        <v>1193</v>
      </c>
      <c r="S1824" s="13">
        <v>458</v>
      </c>
      <c r="T1824" s="13">
        <v>0</v>
      </c>
      <c r="U1824" s="13">
        <v>0</v>
      </c>
      <c r="V1824" s="13">
        <v>0</v>
      </c>
      <c r="W1824" s="37">
        <v>486</v>
      </c>
      <c r="X1824" s="20"/>
      <c r="Y1824" s="15"/>
      <c r="Z1824" s="15"/>
      <c r="AA1824" s="15"/>
      <c r="AB1824" s="15"/>
      <c r="AC1824" s="15"/>
      <c r="AD1824" s="15"/>
      <c r="AE1824" s="15"/>
      <c r="AF1824" s="15"/>
      <c r="AG1824" s="17"/>
    </row>
    <row r="1826" spans="2:33" ht="15" thickBot="1">
      <c r="B1826" s="25" t="s">
        <v>532</v>
      </c>
      <c r="C1826" s="26" t="s">
        <v>533</v>
      </c>
      <c r="D1826" s="26" t="s">
        <v>865</v>
      </c>
      <c r="E1826" s="26" t="s">
        <v>866</v>
      </c>
      <c r="F1826" s="26" t="s">
        <v>867</v>
      </c>
      <c r="G1826" s="26" t="s">
        <v>868</v>
      </c>
      <c r="H1826" s="27" t="s">
        <v>683</v>
      </c>
      <c r="I1826" s="26" t="s">
        <v>869</v>
      </c>
      <c r="J1826" s="27" t="s">
        <v>87</v>
      </c>
      <c r="K1826" s="29">
        <v>17.320999145507798</v>
      </c>
      <c r="L1826" s="29">
        <v>17.320999145507798</v>
      </c>
      <c r="M1826" s="29">
        <v>17.320999145507798</v>
      </c>
      <c r="N1826" s="29">
        <v>17.320999145507798</v>
      </c>
      <c r="O1826" s="29">
        <v>17.320999145507798</v>
      </c>
      <c r="P1826" s="40">
        <v>17.320999145507798</v>
      </c>
      <c r="Q1826" s="1" t="s">
        <v>35</v>
      </c>
      <c r="R1826" s="2">
        <v>2149</v>
      </c>
      <c r="S1826" s="2">
        <v>1209</v>
      </c>
      <c r="T1826" s="2">
        <v>0</v>
      </c>
      <c r="U1826" s="2">
        <v>0</v>
      </c>
      <c r="V1826" s="2">
        <v>0</v>
      </c>
      <c r="W1826" s="2">
        <v>619</v>
      </c>
      <c r="X1826" s="43">
        <f>SUM(R1826:W1837)</f>
        <v>31718</v>
      </c>
      <c r="Y1826" s="10">
        <v>46204</v>
      </c>
      <c r="Z1826" s="11">
        <v>0.21915174234314722</v>
      </c>
      <c r="AA1826" s="11">
        <v>0.18274192037163289</v>
      </c>
      <c r="AB1826" s="11">
        <v>0.14726787607165501</v>
      </c>
      <c r="AC1826" s="11">
        <v>0.1287497680516306</v>
      </c>
      <c r="AD1826" s="11">
        <v>0.11447820346270936</v>
      </c>
      <c r="AE1826" s="11">
        <v>0.13149780089791482</v>
      </c>
      <c r="AF1826" s="11">
        <v>0.2</v>
      </c>
      <c r="AG1826" s="11">
        <v>0.23899999999999999</v>
      </c>
    </row>
    <row r="1827" spans="2:33">
      <c r="B1827" s="53" t="s">
        <v>2193</v>
      </c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35"/>
      <c r="Q1827" s="36" t="s">
        <v>36</v>
      </c>
      <c r="R1827" s="13">
        <v>1760</v>
      </c>
      <c r="S1827" s="13">
        <v>862</v>
      </c>
      <c r="T1827" s="13">
        <v>0</v>
      </c>
      <c r="U1827" s="13">
        <v>0</v>
      </c>
      <c r="V1827" s="13">
        <v>0</v>
      </c>
      <c r="W1827" s="37">
        <v>621</v>
      </c>
      <c r="X1827" s="18"/>
      <c r="Y1827" s="14"/>
      <c r="Z1827" s="14"/>
      <c r="AA1827" s="14"/>
      <c r="AB1827" s="14"/>
      <c r="AC1827" s="14"/>
      <c r="AD1827" s="14"/>
      <c r="AE1827" s="14"/>
      <c r="AF1827" s="14"/>
      <c r="AG1827" s="35"/>
    </row>
    <row r="1828" spans="2:33">
      <c r="B1828" s="19"/>
      <c r="P1828" s="16"/>
      <c r="Q1828" s="36" t="s">
        <v>37</v>
      </c>
      <c r="R1828" s="13">
        <v>0</v>
      </c>
      <c r="S1828" s="13">
        <v>1335</v>
      </c>
      <c r="T1828" s="13">
        <v>650</v>
      </c>
      <c r="U1828" s="13">
        <v>0</v>
      </c>
      <c r="V1828" s="13">
        <v>0</v>
      </c>
      <c r="W1828" s="37">
        <v>708</v>
      </c>
      <c r="X1828" s="19"/>
      <c r="AG1828" s="16"/>
    </row>
    <row r="1829" spans="2:33">
      <c r="B1829" s="19"/>
      <c r="P1829" s="16"/>
      <c r="Q1829" s="36" t="s">
        <v>38</v>
      </c>
      <c r="R1829" s="13">
        <v>0</v>
      </c>
      <c r="S1829" s="13">
        <v>0</v>
      </c>
      <c r="T1829" s="13">
        <v>0</v>
      </c>
      <c r="U1829" s="13">
        <v>830</v>
      </c>
      <c r="V1829" s="13">
        <v>405</v>
      </c>
      <c r="W1829" s="37">
        <v>469</v>
      </c>
      <c r="X1829" s="19"/>
      <c r="AG1829" s="16"/>
    </row>
    <row r="1830" spans="2:33">
      <c r="B1830" s="19"/>
      <c r="P1830" s="16"/>
      <c r="Q1830" s="36" t="s">
        <v>39</v>
      </c>
      <c r="R1830" s="13">
        <v>0</v>
      </c>
      <c r="S1830" s="13">
        <v>0</v>
      </c>
      <c r="T1830" s="13">
        <v>0</v>
      </c>
      <c r="U1830" s="13">
        <v>794</v>
      </c>
      <c r="V1830" s="13">
        <v>501</v>
      </c>
      <c r="W1830" s="37">
        <v>413</v>
      </c>
      <c r="X1830" s="19"/>
      <c r="AG1830" s="16"/>
    </row>
    <row r="1831" spans="2:33">
      <c r="B1831" s="19"/>
      <c r="P1831" s="16"/>
      <c r="Q1831" s="36" t="s">
        <v>40</v>
      </c>
      <c r="R1831" s="13">
        <v>0</v>
      </c>
      <c r="S1831" s="13">
        <v>0</v>
      </c>
      <c r="T1831" s="13">
        <v>1231</v>
      </c>
      <c r="U1831" s="13">
        <v>813</v>
      </c>
      <c r="V1831" s="13">
        <v>0</v>
      </c>
      <c r="W1831" s="37">
        <v>493</v>
      </c>
      <c r="X1831" s="19"/>
      <c r="AG1831" s="16"/>
    </row>
    <row r="1832" spans="2:33">
      <c r="B1832" s="19"/>
      <c r="P1832" s="16"/>
      <c r="Q1832" s="36" t="s">
        <v>41</v>
      </c>
      <c r="R1832" s="13">
        <v>1322</v>
      </c>
      <c r="S1832" s="13">
        <v>858</v>
      </c>
      <c r="T1832" s="13">
        <v>0</v>
      </c>
      <c r="U1832" s="13">
        <v>0</v>
      </c>
      <c r="V1832" s="13">
        <v>0</v>
      </c>
      <c r="W1832" s="37">
        <v>488</v>
      </c>
      <c r="X1832" s="19"/>
      <c r="AG1832" s="16"/>
    </row>
    <row r="1833" spans="2:33">
      <c r="B1833" s="19"/>
      <c r="P1833" s="16"/>
      <c r="Q1833" s="36" t="s">
        <v>221</v>
      </c>
      <c r="R1833" s="13">
        <v>0</v>
      </c>
      <c r="S1833" s="13">
        <v>0</v>
      </c>
      <c r="T1833" s="13">
        <v>1202</v>
      </c>
      <c r="U1833" s="13">
        <v>772</v>
      </c>
      <c r="V1833" s="13">
        <v>0</v>
      </c>
      <c r="W1833" s="37">
        <v>592</v>
      </c>
      <c r="X1833" s="19"/>
      <c r="AG1833" s="16"/>
    </row>
    <row r="1834" spans="2:33">
      <c r="B1834" s="19"/>
      <c r="P1834" s="16"/>
      <c r="Q1834" s="36" t="s">
        <v>742</v>
      </c>
      <c r="R1834" s="13">
        <v>0</v>
      </c>
      <c r="S1834" s="13">
        <v>0</v>
      </c>
      <c r="T1834" s="13">
        <v>924</v>
      </c>
      <c r="U1834" s="13">
        <v>660</v>
      </c>
      <c r="V1834" s="13">
        <v>0</v>
      </c>
      <c r="W1834" s="37">
        <v>444</v>
      </c>
      <c r="X1834" s="19"/>
      <c r="AG1834" s="16"/>
    </row>
    <row r="1835" spans="2:33">
      <c r="B1835" s="19"/>
      <c r="P1835" s="16"/>
      <c r="Q1835" s="36" t="s">
        <v>743</v>
      </c>
      <c r="R1835" s="13">
        <v>0</v>
      </c>
      <c r="S1835" s="13">
        <v>0</v>
      </c>
      <c r="T1835" s="13">
        <v>0</v>
      </c>
      <c r="U1835" s="13">
        <v>866</v>
      </c>
      <c r="V1835" s="13">
        <v>530</v>
      </c>
      <c r="W1835" s="37">
        <v>378</v>
      </c>
      <c r="X1835" s="19"/>
      <c r="AG1835" s="16"/>
    </row>
    <row r="1836" spans="2:33">
      <c r="B1836" s="19"/>
      <c r="P1836" s="16"/>
      <c r="Q1836" s="36" t="s">
        <v>744</v>
      </c>
      <c r="R1836" s="13">
        <v>0</v>
      </c>
      <c r="S1836" s="13">
        <v>1386</v>
      </c>
      <c r="T1836" s="13">
        <v>717</v>
      </c>
      <c r="U1836" s="13">
        <v>0</v>
      </c>
      <c r="V1836" s="13">
        <v>0</v>
      </c>
      <c r="W1836" s="37">
        <v>589</v>
      </c>
      <c r="X1836" s="19"/>
      <c r="AG1836" s="16"/>
    </row>
    <row r="1837" spans="2:33" ht="15" thickBot="1">
      <c r="B1837" s="20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7"/>
      <c r="Q1837" s="36" t="s">
        <v>745</v>
      </c>
      <c r="R1837" s="13">
        <v>2329</v>
      </c>
      <c r="S1837" s="13">
        <v>1165</v>
      </c>
      <c r="T1837" s="13">
        <v>0</v>
      </c>
      <c r="U1837" s="13">
        <v>0</v>
      </c>
      <c r="V1837" s="13">
        <v>0</v>
      </c>
      <c r="W1837" s="37">
        <v>634</v>
      </c>
      <c r="X1837" s="20"/>
      <c r="Y1837" s="15"/>
      <c r="Z1837" s="15"/>
      <c r="AA1837" s="15"/>
      <c r="AB1837" s="15"/>
      <c r="AC1837" s="15"/>
      <c r="AD1837" s="15"/>
      <c r="AE1837" s="15"/>
      <c r="AF1837" s="15"/>
      <c r="AG1837" s="17"/>
    </row>
    <row r="1839" spans="2:33" ht="15" thickBot="1">
      <c r="B1839" s="25" t="s">
        <v>532</v>
      </c>
      <c r="C1839" s="26" t="s">
        <v>533</v>
      </c>
      <c r="D1839" s="26" t="s">
        <v>870</v>
      </c>
      <c r="E1839" s="26" t="s">
        <v>871</v>
      </c>
      <c r="F1839" s="26" t="s">
        <v>872</v>
      </c>
      <c r="G1839" s="26" t="s">
        <v>873</v>
      </c>
      <c r="H1839" s="27" t="s">
        <v>683</v>
      </c>
      <c r="I1839" s="26" t="s">
        <v>874</v>
      </c>
      <c r="J1839" s="27" t="s">
        <v>87</v>
      </c>
      <c r="K1839" s="29">
        <v>33</v>
      </c>
      <c r="L1839" s="29">
        <v>33</v>
      </c>
      <c r="M1839" s="29">
        <v>33</v>
      </c>
      <c r="N1839" s="29">
        <v>33</v>
      </c>
      <c r="O1839" s="29">
        <v>33</v>
      </c>
      <c r="P1839" s="40">
        <v>33</v>
      </c>
      <c r="Q1839" s="1" t="s">
        <v>35</v>
      </c>
      <c r="R1839" s="2">
        <v>3452</v>
      </c>
      <c r="S1839" s="2">
        <v>1528</v>
      </c>
      <c r="T1839" s="2">
        <v>0</v>
      </c>
      <c r="U1839" s="2">
        <v>0</v>
      </c>
      <c r="V1839" s="2">
        <v>0</v>
      </c>
      <c r="W1839" s="2">
        <v>873</v>
      </c>
      <c r="X1839" s="43">
        <f>SUM(R1839:W1851)</f>
        <v>50901</v>
      </c>
      <c r="Y1839" s="10">
        <v>46204</v>
      </c>
      <c r="Z1839" s="11">
        <v>0.21915174234314722</v>
      </c>
      <c r="AA1839" s="11">
        <v>0.18274192037163289</v>
      </c>
      <c r="AB1839" s="11">
        <v>0.14726787607165501</v>
      </c>
      <c r="AC1839" s="11">
        <v>0.1287497680516306</v>
      </c>
      <c r="AD1839" s="11">
        <v>0.11447820346270936</v>
      </c>
      <c r="AE1839" s="11">
        <v>0.13149780089791482</v>
      </c>
      <c r="AF1839" s="11">
        <v>0.2</v>
      </c>
      <c r="AG1839" s="11">
        <v>0.23899999999999999</v>
      </c>
    </row>
    <row r="1840" spans="2:33">
      <c r="B1840" s="53" t="s">
        <v>2193</v>
      </c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35"/>
      <c r="Q1840" s="36" t="s">
        <v>36</v>
      </c>
      <c r="R1840" s="13">
        <v>3208</v>
      </c>
      <c r="S1840" s="13">
        <v>1274</v>
      </c>
      <c r="T1840" s="13">
        <v>0</v>
      </c>
      <c r="U1840" s="13">
        <v>0</v>
      </c>
      <c r="V1840" s="13">
        <v>0</v>
      </c>
      <c r="W1840" s="37">
        <v>1150</v>
      </c>
      <c r="X1840" s="18"/>
      <c r="Y1840" s="14"/>
      <c r="Z1840" s="14"/>
      <c r="AA1840" s="14"/>
      <c r="AB1840" s="14"/>
      <c r="AC1840" s="14"/>
      <c r="AD1840" s="14"/>
      <c r="AE1840" s="14"/>
      <c r="AF1840" s="14"/>
      <c r="AG1840" s="35"/>
    </row>
    <row r="1841" spans="2:33">
      <c r="B1841" s="19"/>
      <c r="P1841" s="16"/>
      <c r="Q1841" s="36" t="s">
        <v>37</v>
      </c>
      <c r="R1841" s="13">
        <v>0</v>
      </c>
      <c r="S1841" s="13">
        <v>2862</v>
      </c>
      <c r="T1841" s="13">
        <v>1110</v>
      </c>
      <c r="U1841" s="13">
        <v>0</v>
      </c>
      <c r="V1841" s="13">
        <v>0</v>
      </c>
      <c r="W1841" s="37">
        <v>1188</v>
      </c>
      <c r="X1841" s="19"/>
      <c r="AG1841" s="16"/>
    </row>
    <row r="1842" spans="2:33">
      <c r="B1842" s="19"/>
      <c r="P1842" s="16"/>
      <c r="Q1842" s="36" t="s">
        <v>38</v>
      </c>
      <c r="R1842" s="13">
        <v>0</v>
      </c>
      <c r="S1842" s="13">
        <v>0</v>
      </c>
      <c r="T1842" s="13">
        <v>0</v>
      </c>
      <c r="U1842" s="13">
        <v>1255</v>
      </c>
      <c r="V1842" s="13">
        <v>596</v>
      </c>
      <c r="W1842" s="37">
        <v>535</v>
      </c>
      <c r="X1842" s="19"/>
      <c r="AG1842" s="16"/>
    </row>
    <row r="1843" spans="2:33">
      <c r="B1843" s="19"/>
      <c r="P1843" s="16"/>
      <c r="Q1843" s="36" t="s">
        <v>39</v>
      </c>
      <c r="R1843" s="13">
        <v>0</v>
      </c>
      <c r="S1843" s="13">
        <v>0</v>
      </c>
      <c r="T1843" s="13">
        <v>0</v>
      </c>
      <c r="U1843" s="13">
        <v>1638</v>
      </c>
      <c r="V1843" s="13">
        <v>655</v>
      </c>
      <c r="W1843" s="37">
        <v>606</v>
      </c>
      <c r="X1843" s="19"/>
      <c r="AG1843" s="16"/>
    </row>
    <row r="1844" spans="2:33">
      <c r="B1844" s="19"/>
      <c r="P1844" s="16"/>
      <c r="Q1844" s="36" t="s">
        <v>40</v>
      </c>
      <c r="R1844" s="13">
        <v>0</v>
      </c>
      <c r="S1844" s="13">
        <v>0</v>
      </c>
      <c r="T1844" s="13">
        <v>2105</v>
      </c>
      <c r="U1844" s="13">
        <v>1154</v>
      </c>
      <c r="V1844" s="13">
        <v>0</v>
      </c>
      <c r="W1844" s="37">
        <v>737</v>
      </c>
      <c r="X1844" s="19"/>
      <c r="AG1844" s="16"/>
    </row>
    <row r="1845" spans="2:33">
      <c r="B1845" s="19"/>
      <c r="P1845" s="16"/>
      <c r="Q1845" s="36" t="s">
        <v>41</v>
      </c>
      <c r="R1845" s="13">
        <v>2265</v>
      </c>
      <c r="S1845" s="13">
        <v>1177</v>
      </c>
      <c r="T1845" s="13">
        <v>0</v>
      </c>
      <c r="U1845" s="13">
        <v>0</v>
      </c>
      <c r="V1845" s="13">
        <v>0</v>
      </c>
      <c r="W1845" s="37">
        <v>786</v>
      </c>
      <c r="X1845" s="19"/>
      <c r="AG1845" s="16"/>
    </row>
    <row r="1846" spans="2:33">
      <c r="B1846" s="19"/>
      <c r="P1846" s="16"/>
      <c r="Q1846" s="36" t="s">
        <v>551</v>
      </c>
      <c r="R1846" s="13">
        <v>0</v>
      </c>
      <c r="S1846" s="13">
        <v>0</v>
      </c>
      <c r="T1846" s="13">
        <v>213</v>
      </c>
      <c r="U1846" s="13">
        <v>89</v>
      </c>
      <c r="V1846" s="13">
        <v>0</v>
      </c>
      <c r="W1846" s="37">
        <v>164</v>
      </c>
      <c r="X1846" s="19"/>
      <c r="AG1846" s="16"/>
    </row>
    <row r="1847" spans="2:33">
      <c r="B1847" s="19"/>
      <c r="P1847" s="16"/>
      <c r="Q1847" s="36" t="s">
        <v>552</v>
      </c>
      <c r="R1847" s="13">
        <v>0</v>
      </c>
      <c r="S1847" s="13">
        <v>0</v>
      </c>
      <c r="T1847" s="13">
        <v>2369</v>
      </c>
      <c r="U1847" s="13">
        <v>1283</v>
      </c>
      <c r="V1847" s="13">
        <v>0</v>
      </c>
      <c r="W1847" s="37">
        <v>1005</v>
      </c>
      <c r="X1847" s="19"/>
      <c r="AG1847" s="16"/>
    </row>
    <row r="1848" spans="2:33">
      <c r="B1848" s="19"/>
      <c r="P1848" s="16"/>
      <c r="Q1848" s="36" t="s">
        <v>43</v>
      </c>
      <c r="R1848" s="13">
        <v>0</v>
      </c>
      <c r="S1848" s="13">
        <v>0</v>
      </c>
      <c r="T1848" s="13">
        <v>1810</v>
      </c>
      <c r="U1848" s="13">
        <v>1118</v>
      </c>
      <c r="V1848" s="13">
        <v>0</v>
      </c>
      <c r="W1848" s="37">
        <v>851</v>
      </c>
      <c r="X1848" s="19"/>
      <c r="AG1848" s="16"/>
    </row>
    <row r="1849" spans="2:33">
      <c r="B1849" s="19"/>
      <c r="P1849" s="16"/>
      <c r="Q1849" s="36" t="s">
        <v>44</v>
      </c>
      <c r="R1849" s="13">
        <v>0</v>
      </c>
      <c r="S1849" s="13">
        <v>0</v>
      </c>
      <c r="T1849" s="13">
        <v>0</v>
      </c>
      <c r="U1849" s="13">
        <v>1852</v>
      </c>
      <c r="V1849" s="13">
        <v>850</v>
      </c>
      <c r="W1849" s="37">
        <v>559</v>
      </c>
      <c r="X1849" s="19"/>
      <c r="AG1849" s="16"/>
    </row>
    <row r="1850" spans="2:33">
      <c r="B1850" s="19"/>
      <c r="P1850" s="16"/>
      <c r="Q1850" s="36" t="s">
        <v>45</v>
      </c>
      <c r="R1850" s="13">
        <v>0</v>
      </c>
      <c r="S1850" s="13">
        <v>2441</v>
      </c>
      <c r="T1850" s="13">
        <v>1056</v>
      </c>
      <c r="U1850" s="13">
        <v>0</v>
      </c>
      <c r="V1850" s="13">
        <v>0</v>
      </c>
      <c r="W1850" s="37">
        <v>895</v>
      </c>
      <c r="X1850" s="19"/>
      <c r="AG1850" s="16"/>
    </row>
    <row r="1851" spans="2:33" ht="15" thickBot="1">
      <c r="B1851" s="20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7"/>
      <c r="Q1851" s="36" t="s">
        <v>46</v>
      </c>
      <c r="R1851" s="13">
        <v>2432</v>
      </c>
      <c r="S1851" s="13">
        <v>1138</v>
      </c>
      <c r="T1851" s="13">
        <v>0</v>
      </c>
      <c r="U1851" s="13">
        <v>0</v>
      </c>
      <c r="V1851" s="13">
        <v>0</v>
      </c>
      <c r="W1851" s="37">
        <v>622</v>
      </c>
      <c r="X1851" s="20"/>
      <c r="Y1851" s="15"/>
      <c r="Z1851" s="15"/>
      <c r="AA1851" s="15"/>
      <c r="AB1851" s="15"/>
      <c r="AC1851" s="15"/>
      <c r="AD1851" s="15"/>
      <c r="AE1851" s="15"/>
      <c r="AF1851" s="15"/>
      <c r="AG1851" s="17"/>
    </row>
    <row r="1853" spans="2:33" ht="15" thickBot="1">
      <c r="B1853" s="25" t="s">
        <v>532</v>
      </c>
      <c r="C1853" s="26" t="s">
        <v>533</v>
      </c>
      <c r="D1853" s="26" t="s">
        <v>875</v>
      </c>
      <c r="E1853" s="26" t="s">
        <v>876</v>
      </c>
      <c r="F1853" s="26" t="s">
        <v>877</v>
      </c>
      <c r="G1853" s="26" t="s">
        <v>878</v>
      </c>
      <c r="H1853" s="27" t="s">
        <v>607</v>
      </c>
      <c r="I1853" s="26" t="s">
        <v>879</v>
      </c>
      <c r="J1853" s="27" t="s">
        <v>87</v>
      </c>
      <c r="K1853" s="29">
        <v>33</v>
      </c>
      <c r="L1853" s="29">
        <v>33</v>
      </c>
      <c r="M1853" s="29">
        <v>33</v>
      </c>
      <c r="N1853" s="29">
        <v>33</v>
      </c>
      <c r="O1853" s="29">
        <v>33</v>
      </c>
      <c r="P1853" s="40">
        <v>33</v>
      </c>
      <c r="Q1853" s="1" t="s">
        <v>35</v>
      </c>
      <c r="R1853" s="2">
        <v>2562</v>
      </c>
      <c r="S1853" s="2">
        <v>1187</v>
      </c>
      <c r="T1853" s="2">
        <v>0</v>
      </c>
      <c r="U1853" s="2">
        <v>0</v>
      </c>
      <c r="V1853" s="2">
        <v>0</v>
      </c>
      <c r="W1853" s="2">
        <v>1021</v>
      </c>
      <c r="X1853" s="43">
        <f>SUM(R1853:W1864)</f>
        <v>45102</v>
      </c>
      <c r="Y1853" s="10">
        <v>46204</v>
      </c>
      <c r="Z1853" s="11">
        <v>0.21915174234314722</v>
      </c>
      <c r="AA1853" s="11">
        <v>0.18274192037163289</v>
      </c>
      <c r="AB1853" s="11">
        <v>0.14726787607165501</v>
      </c>
      <c r="AC1853" s="11">
        <v>0.1287497680516306</v>
      </c>
      <c r="AD1853" s="11">
        <v>0.11447820346270936</v>
      </c>
      <c r="AE1853" s="11">
        <v>0.13149780089791482</v>
      </c>
      <c r="AF1853" s="11">
        <v>0.2</v>
      </c>
      <c r="AG1853" s="11">
        <v>0.23899999999999999</v>
      </c>
    </row>
    <row r="1854" spans="2:33">
      <c r="B1854" s="53" t="s">
        <v>2193</v>
      </c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35"/>
      <c r="Q1854" s="36" t="s">
        <v>36</v>
      </c>
      <c r="R1854" s="13">
        <v>2095</v>
      </c>
      <c r="S1854" s="13">
        <v>935</v>
      </c>
      <c r="T1854" s="13">
        <v>0</v>
      </c>
      <c r="U1854" s="13">
        <v>0</v>
      </c>
      <c r="V1854" s="13">
        <v>0</v>
      </c>
      <c r="W1854" s="37">
        <v>695</v>
      </c>
      <c r="X1854" s="18"/>
      <c r="Y1854" s="14"/>
      <c r="Z1854" s="14"/>
      <c r="AA1854" s="14"/>
      <c r="AB1854" s="14"/>
      <c r="AC1854" s="14"/>
      <c r="AD1854" s="14"/>
      <c r="AE1854" s="14"/>
      <c r="AF1854" s="14"/>
      <c r="AG1854" s="35"/>
    </row>
    <row r="1855" spans="2:33">
      <c r="B1855" s="19"/>
      <c r="P1855" s="16"/>
      <c r="Q1855" s="36" t="s">
        <v>37</v>
      </c>
      <c r="R1855" s="13">
        <v>0</v>
      </c>
      <c r="S1855" s="13">
        <v>2134</v>
      </c>
      <c r="T1855" s="13">
        <v>988</v>
      </c>
      <c r="U1855" s="13">
        <v>0</v>
      </c>
      <c r="V1855" s="13">
        <v>0</v>
      </c>
      <c r="W1855" s="37">
        <v>908</v>
      </c>
      <c r="X1855" s="19"/>
      <c r="AG1855" s="16"/>
    </row>
    <row r="1856" spans="2:33">
      <c r="B1856" s="19"/>
      <c r="P1856" s="16"/>
      <c r="Q1856" s="36" t="s">
        <v>38</v>
      </c>
      <c r="R1856" s="13">
        <v>0</v>
      </c>
      <c r="S1856" s="13">
        <v>0</v>
      </c>
      <c r="T1856" s="13">
        <v>0</v>
      </c>
      <c r="U1856" s="13">
        <v>979</v>
      </c>
      <c r="V1856" s="13">
        <v>555</v>
      </c>
      <c r="W1856" s="37">
        <v>318</v>
      </c>
      <c r="X1856" s="19"/>
      <c r="AG1856" s="16"/>
    </row>
    <row r="1857" spans="2:33">
      <c r="B1857" s="19"/>
      <c r="P1857" s="16"/>
      <c r="Q1857" s="36" t="s">
        <v>39</v>
      </c>
      <c r="R1857" s="13">
        <v>0</v>
      </c>
      <c r="S1857" s="13">
        <v>0</v>
      </c>
      <c r="T1857" s="13">
        <v>0</v>
      </c>
      <c r="U1857" s="13">
        <v>0</v>
      </c>
      <c r="V1857" s="13">
        <v>0</v>
      </c>
      <c r="W1857" s="37">
        <v>0</v>
      </c>
      <c r="X1857" s="19"/>
      <c r="AG1857" s="16"/>
    </row>
    <row r="1858" spans="2:33">
      <c r="B1858" s="19"/>
      <c r="P1858" s="16"/>
      <c r="Q1858" s="36" t="s">
        <v>40</v>
      </c>
      <c r="R1858" s="13">
        <v>0</v>
      </c>
      <c r="S1858" s="13">
        <v>0</v>
      </c>
      <c r="T1858" s="13">
        <v>0</v>
      </c>
      <c r="U1858" s="13">
        <v>0</v>
      </c>
      <c r="V1858" s="13">
        <v>0</v>
      </c>
      <c r="W1858" s="37">
        <v>0</v>
      </c>
      <c r="X1858" s="19"/>
      <c r="AG1858" s="16"/>
    </row>
    <row r="1859" spans="2:33">
      <c r="B1859" s="19"/>
      <c r="P1859" s="16"/>
      <c r="Q1859" s="36" t="s">
        <v>41</v>
      </c>
      <c r="R1859" s="13">
        <v>2793</v>
      </c>
      <c r="S1859" s="13">
        <v>1525</v>
      </c>
      <c r="T1859" s="13">
        <v>2404</v>
      </c>
      <c r="U1859" s="13">
        <v>3507</v>
      </c>
      <c r="V1859" s="13">
        <v>1222</v>
      </c>
      <c r="W1859" s="37">
        <v>3169</v>
      </c>
      <c r="X1859" s="19"/>
      <c r="AG1859" s="16"/>
    </row>
    <row r="1860" spans="2:33">
      <c r="B1860" s="19"/>
      <c r="P1860" s="16"/>
      <c r="Q1860" s="36" t="s">
        <v>552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37">
        <v>0</v>
      </c>
      <c r="X1860" s="19"/>
      <c r="AG1860" s="16"/>
    </row>
    <row r="1861" spans="2:33">
      <c r="B1861" s="19"/>
      <c r="P1861" s="16"/>
      <c r="Q1861" s="36" t="s">
        <v>43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37">
        <v>0</v>
      </c>
      <c r="X1861" s="19"/>
      <c r="AG1861" s="16"/>
    </row>
    <row r="1862" spans="2:33">
      <c r="B1862" s="19"/>
      <c r="P1862" s="16"/>
      <c r="Q1862" s="36" t="s">
        <v>44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37">
        <v>0</v>
      </c>
      <c r="X1862" s="19"/>
      <c r="AG1862" s="16"/>
    </row>
    <row r="1863" spans="2:33">
      <c r="B1863" s="19"/>
      <c r="P1863" s="16"/>
      <c r="Q1863" s="36" t="s">
        <v>45</v>
      </c>
      <c r="R1863" s="13">
        <v>0</v>
      </c>
      <c r="S1863" s="13">
        <v>1988</v>
      </c>
      <c r="T1863" s="13">
        <v>5297</v>
      </c>
      <c r="U1863" s="13">
        <v>4191</v>
      </c>
      <c r="V1863" s="13">
        <v>1043</v>
      </c>
      <c r="W1863" s="37">
        <v>3586</v>
      </c>
      <c r="X1863" s="19"/>
      <c r="AG1863" s="16"/>
    </row>
    <row r="1864" spans="2:33" ht="15" thickBot="1">
      <c r="B1864" s="20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7"/>
      <c r="Q1864" s="36" t="s">
        <v>46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37">
        <v>0</v>
      </c>
      <c r="X1864" s="20"/>
      <c r="Y1864" s="15"/>
      <c r="Z1864" s="15"/>
      <c r="AA1864" s="15"/>
      <c r="AB1864" s="15"/>
      <c r="AC1864" s="15"/>
      <c r="AD1864" s="15"/>
      <c r="AE1864" s="15"/>
      <c r="AF1864" s="15"/>
      <c r="AG1864" s="17"/>
    </row>
    <row r="1866" spans="2:33" ht="15" thickBot="1">
      <c r="B1866" s="25" t="s">
        <v>532</v>
      </c>
      <c r="C1866" s="26" t="s">
        <v>533</v>
      </c>
      <c r="D1866" s="26" t="s">
        <v>880</v>
      </c>
      <c r="E1866" s="26" t="s">
        <v>881</v>
      </c>
      <c r="F1866" s="26" t="s">
        <v>882</v>
      </c>
      <c r="G1866" s="26" t="s">
        <v>883</v>
      </c>
      <c r="H1866" s="27" t="s">
        <v>677</v>
      </c>
      <c r="I1866" s="26" t="s">
        <v>884</v>
      </c>
      <c r="J1866" s="27" t="s">
        <v>87</v>
      </c>
      <c r="K1866" s="29">
        <v>23</v>
      </c>
      <c r="L1866" s="29">
        <v>23</v>
      </c>
      <c r="M1866" s="29">
        <v>23</v>
      </c>
      <c r="N1866" s="29">
        <v>23</v>
      </c>
      <c r="O1866" s="29">
        <v>23</v>
      </c>
      <c r="P1866" s="40">
        <v>23</v>
      </c>
      <c r="Q1866" s="1" t="s">
        <v>35</v>
      </c>
      <c r="R1866" s="2">
        <v>2765</v>
      </c>
      <c r="S1866" s="2">
        <v>1718</v>
      </c>
      <c r="T1866" s="2">
        <v>0</v>
      </c>
      <c r="U1866" s="2">
        <v>0</v>
      </c>
      <c r="V1866" s="2">
        <v>0</v>
      </c>
      <c r="W1866" s="2">
        <v>1428</v>
      </c>
      <c r="X1866" s="43">
        <f>SUM(R1866:W1878)</f>
        <v>60952</v>
      </c>
      <c r="Y1866" s="10">
        <v>46204</v>
      </c>
      <c r="Z1866" s="11">
        <v>0.21915174234314722</v>
      </c>
      <c r="AA1866" s="11">
        <v>0.18274192037163289</v>
      </c>
      <c r="AB1866" s="11">
        <v>0.14726787607165501</v>
      </c>
      <c r="AC1866" s="11">
        <v>0.1287497680516306</v>
      </c>
      <c r="AD1866" s="11">
        <v>0.11447820346270936</v>
      </c>
      <c r="AE1866" s="11">
        <v>0.13149780089791482</v>
      </c>
      <c r="AF1866" s="11">
        <v>0.2</v>
      </c>
      <c r="AG1866" s="11">
        <v>0.23899999999999999</v>
      </c>
    </row>
    <row r="1867" spans="2:33">
      <c r="B1867" s="53" t="s">
        <v>2193</v>
      </c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35"/>
      <c r="Q1867" s="36" t="s">
        <v>36</v>
      </c>
      <c r="R1867" s="13">
        <v>2375</v>
      </c>
      <c r="S1867" s="13">
        <v>1345</v>
      </c>
      <c r="T1867" s="13">
        <v>0</v>
      </c>
      <c r="U1867" s="13">
        <v>0</v>
      </c>
      <c r="V1867" s="13">
        <v>0</v>
      </c>
      <c r="W1867" s="37">
        <v>1292</v>
      </c>
      <c r="X1867" s="18"/>
      <c r="Y1867" s="14"/>
      <c r="Z1867" s="14"/>
      <c r="AA1867" s="14"/>
      <c r="AB1867" s="14"/>
      <c r="AC1867" s="14"/>
      <c r="AD1867" s="14"/>
      <c r="AE1867" s="14"/>
      <c r="AF1867" s="14"/>
      <c r="AG1867" s="35"/>
    </row>
    <row r="1868" spans="2:33">
      <c r="B1868" s="19"/>
      <c r="P1868" s="16"/>
      <c r="Q1868" s="36" t="s">
        <v>37</v>
      </c>
      <c r="R1868" s="13">
        <v>0</v>
      </c>
      <c r="S1868" s="13">
        <v>2128</v>
      </c>
      <c r="T1868" s="13">
        <v>1216</v>
      </c>
      <c r="U1868" s="13">
        <v>0</v>
      </c>
      <c r="V1868" s="13">
        <v>0</v>
      </c>
      <c r="W1868" s="37">
        <v>1470</v>
      </c>
      <c r="X1868" s="19"/>
      <c r="AG1868" s="16"/>
    </row>
    <row r="1869" spans="2:33">
      <c r="B1869" s="19"/>
      <c r="P1869" s="16"/>
      <c r="Q1869" s="36" t="s">
        <v>38</v>
      </c>
      <c r="R1869" s="13">
        <v>0</v>
      </c>
      <c r="S1869" s="13">
        <v>0</v>
      </c>
      <c r="T1869" s="13">
        <v>0</v>
      </c>
      <c r="U1869" s="13">
        <v>1573</v>
      </c>
      <c r="V1869" s="13">
        <v>1006</v>
      </c>
      <c r="W1869" s="37">
        <v>1072</v>
      </c>
      <c r="X1869" s="19"/>
      <c r="AG1869" s="16"/>
    </row>
    <row r="1870" spans="2:33">
      <c r="B1870" s="19"/>
      <c r="P1870" s="16"/>
      <c r="Q1870" s="36" t="s">
        <v>39</v>
      </c>
      <c r="R1870" s="13">
        <v>0</v>
      </c>
      <c r="S1870" s="13">
        <v>0</v>
      </c>
      <c r="T1870" s="13">
        <v>0</v>
      </c>
      <c r="U1870" s="13">
        <v>1725</v>
      </c>
      <c r="V1870" s="13">
        <v>1073</v>
      </c>
      <c r="W1870" s="37">
        <v>1275</v>
      </c>
      <c r="X1870" s="19"/>
      <c r="AG1870" s="16"/>
    </row>
    <row r="1871" spans="2:33">
      <c r="B1871" s="19"/>
      <c r="P1871" s="16"/>
      <c r="Q1871" s="36" t="s">
        <v>40</v>
      </c>
      <c r="R1871" s="13">
        <v>0</v>
      </c>
      <c r="S1871" s="13">
        <v>0</v>
      </c>
      <c r="T1871" s="13">
        <v>2364</v>
      </c>
      <c r="U1871" s="13">
        <v>1580</v>
      </c>
      <c r="V1871" s="13">
        <v>0</v>
      </c>
      <c r="W1871" s="37">
        <v>1325</v>
      </c>
      <c r="X1871" s="19"/>
      <c r="AG1871" s="16"/>
    </row>
    <row r="1872" spans="2:33">
      <c r="B1872" s="19"/>
      <c r="P1872" s="16"/>
      <c r="Q1872" s="36" t="s">
        <v>41</v>
      </c>
      <c r="R1872" s="13">
        <v>2722</v>
      </c>
      <c r="S1872" s="13">
        <v>1792</v>
      </c>
      <c r="T1872" s="13">
        <v>0</v>
      </c>
      <c r="U1872" s="13">
        <v>0</v>
      </c>
      <c r="V1872" s="13">
        <v>0</v>
      </c>
      <c r="W1872" s="37">
        <v>1518</v>
      </c>
      <c r="X1872" s="19"/>
      <c r="AG1872" s="16"/>
    </row>
    <row r="1873" spans="2:33">
      <c r="B1873" s="19"/>
      <c r="P1873" s="16"/>
      <c r="Q1873" s="36" t="s">
        <v>551</v>
      </c>
      <c r="R1873" s="13">
        <v>0</v>
      </c>
      <c r="S1873" s="13">
        <v>0</v>
      </c>
      <c r="T1873" s="13">
        <v>273</v>
      </c>
      <c r="U1873" s="13">
        <v>171</v>
      </c>
      <c r="V1873" s="13">
        <v>0</v>
      </c>
      <c r="W1873" s="37">
        <v>295</v>
      </c>
      <c r="X1873" s="19"/>
      <c r="AG1873" s="16"/>
    </row>
    <row r="1874" spans="2:33">
      <c r="B1874" s="19"/>
      <c r="P1874" s="16"/>
      <c r="Q1874" s="36" t="s">
        <v>552</v>
      </c>
      <c r="R1874" s="13">
        <v>0</v>
      </c>
      <c r="S1874" s="13">
        <v>0</v>
      </c>
      <c r="T1874" s="13">
        <v>2271</v>
      </c>
      <c r="U1874" s="13">
        <v>1505</v>
      </c>
      <c r="V1874" s="13">
        <v>0</v>
      </c>
      <c r="W1874" s="37">
        <v>1560</v>
      </c>
      <c r="X1874" s="19"/>
      <c r="AG1874" s="16"/>
    </row>
    <row r="1875" spans="2:33">
      <c r="B1875" s="19"/>
      <c r="P1875" s="16"/>
      <c r="Q1875" s="36" t="s">
        <v>43</v>
      </c>
      <c r="R1875" s="13">
        <v>0</v>
      </c>
      <c r="S1875" s="13">
        <v>0</v>
      </c>
      <c r="T1875" s="13">
        <v>2410</v>
      </c>
      <c r="U1875" s="13">
        <v>1555</v>
      </c>
      <c r="V1875" s="13">
        <v>0</v>
      </c>
      <c r="W1875" s="37">
        <v>1490</v>
      </c>
      <c r="X1875" s="19"/>
      <c r="AG1875" s="16"/>
    </row>
    <row r="1876" spans="2:33">
      <c r="B1876" s="19"/>
      <c r="P1876" s="16"/>
      <c r="Q1876" s="36" t="s">
        <v>44</v>
      </c>
      <c r="R1876" s="13">
        <v>0</v>
      </c>
      <c r="S1876" s="13">
        <v>0</v>
      </c>
      <c r="T1876" s="13">
        <v>0</v>
      </c>
      <c r="U1876" s="13">
        <v>2100</v>
      </c>
      <c r="V1876" s="13">
        <v>1344</v>
      </c>
      <c r="W1876" s="37">
        <v>1340</v>
      </c>
      <c r="X1876" s="19"/>
      <c r="AG1876" s="16"/>
    </row>
    <row r="1877" spans="2:33">
      <c r="B1877" s="19"/>
      <c r="P1877" s="16"/>
      <c r="Q1877" s="36" t="s">
        <v>45</v>
      </c>
      <c r="R1877" s="13">
        <v>0</v>
      </c>
      <c r="S1877" s="13">
        <v>2074</v>
      </c>
      <c r="T1877" s="13">
        <v>1294</v>
      </c>
      <c r="U1877" s="13">
        <v>0</v>
      </c>
      <c r="V1877" s="13">
        <v>0</v>
      </c>
      <c r="W1877" s="37">
        <v>1433</v>
      </c>
      <c r="X1877" s="19"/>
      <c r="AG1877" s="16"/>
    </row>
    <row r="1878" spans="2:33" ht="15" thickBot="1">
      <c r="B1878" s="20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7"/>
      <c r="Q1878" s="36" t="s">
        <v>46</v>
      </c>
      <c r="R1878" s="13">
        <v>2288</v>
      </c>
      <c r="S1878" s="13">
        <v>1435</v>
      </c>
      <c r="T1878" s="13">
        <v>0</v>
      </c>
      <c r="U1878" s="13">
        <v>0</v>
      </c>
      <c r="V1878" s="13">
        <v>0</v>
      </c>
      <c r="W1878" s="37">
        <v>1352</v>
      </c>
      <c r="X1878" s="20"/>
      <c r="Y1878" s="15"/>
      <c r="Z1878" s="15"/>
      <c r="AA1878" s="15"/>
      <c r="AB1878" s="15"/>
      <c r="AC1878" s="15"/>
      <c r="AD1878" s="15"/>
      <c r="AE1878" s="15"/>
      <c r="AF1878" s="15"/>
      <c r="AG1878" s="17"/>
    </row>
    <row r="1880" spans="2:33" ht="15" thickBot="1">
      <c r="B1880" s="25" t="s">
        <v>532</v>
      </c>
      <c r="C1880" s="26" t="s">
        <v>533</v>
      </c>
      <c r="D1880" s="26" t="s">
        <v>885</v>
      </c>
      <c r="E1880" s="26" t="s">
        <v>886</v>
      </c>
      <c r="F1880" s="26" t="s">
        <v>887</v>
      </c>
      <c r="G1880" s="26" t="s">
        <v>779</v>
      </c>
      <c r="H1880" s="27" t="s">
        <v>683</v>
      </c>
      <c r="I1880" s="26" t="s">
        <v>888</v>
      </c>
      <c r="J1880" s="27" t="s">
        <v>87</v>
      </c>
      <c r="K1880" s="29">
        <v>32</v>
      </c>
      <c r="L1880" s="29">
        <v>32</v>
      </c>
      <c r="M1880" s="29">
        <v>32</v>
      </c>
      <c r="N1880" s="29">
        <v>32</v>
      </c>
      <c r="O1880" s="29">
        <v>32</v>
      </c>
      <c r="P1880" s="40">
        <v>32</v>
      </c>
      <c r="Q1880" s="1" t="s">
        <v>35</v>
      </c>
      <c r="R1880" s="2">
        <v>1585</v>
      </c>
      <c r="S1880" s="2">
        <v>820</v>
      </c>
      <c r="T1880" s="2">
        <v>0</v>
      </c>
      <c r="U1880" s="2">
        <v>0</v>
      </c>
      <c r="V1880" s="2">
        <v>0</v>
      </c>
      <c r="W1880" s="2">
        <v>614</v>
      </c>
      <c r="X1880" s="43">
        <f>SUM(R1880:W1892)</f>
        <v>38811</v>
      </c>
      <c r="Y1880" s="10">
        <v>46204</v>
      </c>
      <c r="Z1880" s="11">
        <v>0.21915174234314722</v>
      </c>
      <c r="AA1880" s="11">
        <v>0.18274192037163289</v>
      </c>
      <c r="AB1880" s="11">
        <v>0.14726787607165501</v>
      </c>
      <c r="AC1880" s="11">
        <v>0.1287497680516306</v>
      </c>
      <c r="AD1880" s="11">
        <v>0.11447820346270936</v>
      </c>
      <c r="AE1880" s="11">
        <v>0.13149780089791482</v>
      </c>
      <c r="AF1880" s="11">
        <v>0.2</v>
      </c>
      <c r="AG1880" s="11">
        <v>0.23899999999999999</v>
      </c>
    </row>
    <row r="1881" spans="2:33">
      <c r="B1881" s="53" t="s">
        <v>2193</v>
      </c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35"/>
      <c r="Q1881" s="36" t="s">
        <v>36</v>
      </c>
      <c r="R1881" s="13">
        <v>1437</v>
      </c>
      <c r="S1881" s="13">
        <v>726</v>
      </c>
      <c r="T1881" s="13">
        <v>0</v>
      </c>
      <c r="U1881" s="13">
        <v>0</v>
      </c>
      <c r="V1881" s="13">
        <v>0</v>
      </c>
      <c r="W1881" s="37">
        <v>562</v>
      </c>
      <c r="X1881" s="18"/>
      <c r="Y1881" s="14"/>
      <c r="Z1881" s="14"/>
      <c r="AA1881" s="14"/>
      <c r="AB1881" s="14"/>
      <c r="AC1881" s="14"/>
      <c r="AD1881" s="14"/>
      <c r="AE1881" s="14"/>
      <c r="AF1881" s="14"/>
      <c r="AG1881" s="35"/>
    </row>
    <row r="1882" spans="2:33">
      <c r="B1882" s="19"/>
      <c r="P1882" s="16"/>
      <c r="Q1882" s="36" t="s">
        <v>37</v>
      </c>
      <c r="R1882" s="13">
        <v>0</v>
      </c>
      <c r="S1882" s="13">
        <v>1388</v>
      </c>
      <c r="T1882" s="13">
        <v>758</v>
      </c>
      <c r="U1882" s="13">
        <v>0</v>
      </c>
      <c r="V1882" s="13">
        <v>0</v>
      </c>
      <c r="W1882" s="37">
        <v>649</v>
      </c>
      <c r="X1882" s="19"/>
      <c r="AG1882" s="16"/>
    </row>
    <row r="1883" spans="2:33">
      <c r="B1883" s="19"/>
      <c r="P1883" s="16"/>
      <c r="Q1883" s="36" t="s">
        <v>38</v>
      </c>
      <c r="R1883" s="13">
        <v>0</v>
      </c>
      <c r="S1883" s="13">
        <v>0</v>
      </c>
      <c r="T1883" s="13">
        <v>0</v>
      </c>
      <c r="U1883" s="13">
        <v>1238</v>
      </c>
      <c r="V1883" s="13">
        <v>685</v>
      </c>
      <c r="W1883" s="37">
        <v>550</v>
      </c>
      <c r="X1883" s="19"/>
      <c r="AG1883" s="16"/>
    </row>
    <row r="1884" spans="2:33">
      <c r="B1884" s="19"/>
      <c r="P1884" s="16"/>
      <c r="Q1884" s="36" t="s">
        <v>39</v>
      </c>
      <c r="R1884" s="13">
        <v>0</v>
      </c>
      <c r="S1884" s="13">
        <v>0</v>
      </c>
      <c r="T1884" s="13">
        <v>0</v>
      </c>
      <c r="U1884" s="13">
        <v>1374</v>
      </c>
      <c r="V1884" s="13">
        <v>761</v>
      </c>
      <c r="W1884" s="37">
        <v>652</v>
      </c>
      <c r="X1884" s="19"/>
      <c r="AG1884" s="16"/>
    </row>
    <row r="1885" spans="2:33">
      <c r="B1885" s="19"/>
      <c r="P1885" s="16"/>
      <c r="Q1885" s="36" t="s">
        <v>40</v>
      </c>
      <c r="R1885" s="13">
        <v>0</v>
      </c>
      <c r="S1885" s="13">
        <v>0</v>
      </c>
      <c r="T1885" s="13">
        <v>1863</v>
      </c>
      <c r="U1885" s="13">
        <v>1123</v>
      </c>
      <c r="V1885" s="13">
        <v>0</v>
      </c>
      <c r="W1885" s="37">
        <v>720</v>
      </c>
      <c r="X1885" s="19"/>
      <c r="AG1885" s="16"/>
    </row>
    <row r="1886" spans="2:33">
      <c r="B1886" s="19"/>
      <c r="P1886" s="16"/>
      <c r="Q1886" s="36" t="s">
        <v>41</v>
      </c>
      <c r="R1886" s="13">
        <v>1965</v>
      </c>
      <c r="S1886" s="13">
        <v>1206</v>
      </c>
      <c r="T1886" s="13">
        <v>0</v>
      </c>
      <c r="U1886" s="13">
        <v>0</v>
      </c>
      <c r="V1886" s="13">
        <v>0</v>
      </c>
      <c r="W1886" s="37">
        <v>789</v>
      </c>
      <c r="X1886" s="19"/>
      <c r="AG1886" s="16"/>
    </row>
    <row r="1887" spans="2:33">
      <c r="B1887" s="19"/>
      <c r="P1887" s="16"/>
      <c r="Q1887" s="36" t="s">
        <v>551</v>
      </c>
      <c r="R1887" s="13">
        <v>0</v>
      </c>
      <c r="S1887" s="13">
        <v>0</v>
      </c>
      <c r="T1887" s="13">
        <v>170</v>
      </c>
      <c r="U1887" s="13">
        <v>109</v>
      </c>
      <c r="V1887" s="13">
        <v>0</v>
      </c>
      <c r="W1887" s="37">
        <v>217</v>
      </c>
      <c r="X1887" s="19"/>
      <c r="AG1887" s="16"/>
    </row>
    <row r="1888" spans="2:33">
      <c r="B1888" s="19"/>
      <c r="P1888" s="16"/>
      <c r="Q1888" s="36" t="s">
        <v>552</v>
      </c>
      <c r="R1888" s="13">
        <v>0</v>
      </c>
      <c r="S1888" s="13">
        <v>0</v>
      </c>
      <c r="T1888" s="13">
        <v>1834</v>
      </c>
      <c r="U1888" s="13">
        <v>1027</v>
      </c>
      <c r="V1888" s="13">
        <v>0</v>
      </c>
      <c r="W1888" s="37">
        <v>742</v>
      </c>
      <c r="X1888" s="19"/>
      <c r="AG1888" s="16"/>
    </row>
    <row r="1889" spans="2:33">
      <c r="B1889" s="19"/>
      <c r="P1889" s="16"/>
      <c r="Q1889" s="36" t="s">
        <v>43</v>
      </c>
      <c r="R1889" s="13">
        <v>0</v>
      </c>
      <c r="S1889" s="13">
        <v>0</v>
      </c>
      <c r="T1889" s="13">
        <v>1707</v>
      </c>
      <c r="U1889" s="13">
        <v>1039</v>
      </c>
      <c r="V1889" s="13">
        <v>0</v>
      </c>
      <c r="W1889" s="37">
        <v>693</v>
      </c>
      <c r="X1889" s="19"/>
      <c r="AG1889" s="16"/>
    </row>
    <row r="1890" spans="2:33">
      <c r="B1890" s="19"/>
      <c r="P1890" s="16"/>
      <c r="Q1890" s="36" t="s">
        <v>44</v>
      </c>
      <c r="R1890" s="13">
        <v>0</v>
      </c>
      <c r="S1890" s="13">
        <v>0</v>
      </c>
      <c r="T1890" s="13">
        <v>0</v>
      </c>
      <c r="U1890" s="13">
        <v>1661</v>
      </c>
      <c r="V1890" s="13">
        <v>989</v>
      </c>
      <c r="W1890" s="37">
        <v>601</v>
      </c>
      <c r="X1890" s="19"/>
      <c r="AG1890" s="16"/>
    </row>
    <row r="1891" spans="2:33">
      <c r="B1891" s="19"/>
      <c r="P1891" s="16"/>
      <c r="Q1891" s="36" t="s">
        <v>45</v>
      </c>
      <c r="R1891" s="13">
        <v>0</v>
      </c>
      <c r="S1891" s="13">
        <v>1642</v>
      </c>
      <c r="T1891" s="13">
        <v>925</v>
      </c>
      <c r="U1891" s="13">
        <v>0</v>
      </c>
      <c r="V1891" s="13">
        <v>0</v>
      </c>
      <c r="W1891" s="37">
        <v>680</v>
      </c>
      <c r="X1891" s="19"/>
      <c r="AG1891" s="16"/>
    </row>
    <row r="1892" spans="2:33" ht="15" thickBot="1">
      <c r="B1892" s="20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7"/>
      <c r="Q1892" s="36" t="s">
        <v>46</v>
      </c>
      <c r="R1892" s="13">
        <v>1772</v>
      </c>
      <c r="S1892" s="13">
        <v>986</v>
      </c>
      <c r="T1892" s="13">
        <v>0</v>
      </c>
      <c r="U1892" s="13">
        <v>0</v>
      </c>
      <c r="V1892" s="13">
        <v>0</v>
      </c>
      <c r="W1892" s="37">
        <v>552</v>
      </c>
      <c r="X1892" s="20"/>
      <c r="Y1892" s="15"/>
      <c r="Z1892" s="15"/>
      <c r="AA1892" s="15"/>
      <c r="AB1892" s="15"/>
      <c r="AC1892" s="15"/>
      <c r="AD1892" s="15"/>
      <c r="AE1892" s="15"/>
      <c r="AF1892" s="15"/>
      <c r="AG1892" s="17"/>
    </row>
    <row r="1894" spans="2:33" ht="15" thickBot="1">
      <c r="B1894" s="25" t="s">
        <v>532</v>
      </c>
      <c r="C1894" s="26" t="s">
        <v>533</v>
      </c>
      <c r="D1894" s="26" t="s">
        <v>889</v>
      </c>
      <c r="E1894" s="26" t="s">
        <v>890</v>
      </c>
      <c r="F1894" s="26" t="s">
        <v>891</v>
      </c>
      <c r="G1894" s="26" t="s">
        <v>892</v>
      </c>
      <c r="H1894" s="27" t="s">
        <v>892</v>
      </c>
      <c r="I1894" s="26" t="s">
        <v>893</v>
      </c>
      <c r="J1894" s="27" t="s">
        <v>87</v>
      </c>
      <c r="K1894" s="29">
        <v>20</v>
      </c>
      <c r="L1894" s="29">
        <v>20</v>
      </c>
      <c r="M1894" s="29">
        <v>20</v>
      </c>
      <c r="N1894" s="29">
        <v>20</v>
      </c>
      <c r="O1894" s="29">
        <v>20</v>
      </c>
      <c r="P1894" s="40">
        <v>28</v>
      </c>
      <c r="Q1894" s="1" t="s">
        <v>35</v>
      </c>
      <c r="R1894" s="2">
        <v>1983</v>
      </c>
      <c r="S1894" s="2">
        <v>1075</v>
      </c>
      <c r="T1894" s="2">
        <v>0</v>
      </c>
      <c r="U1894" s="2">
        <v>0</v>
      </c>
      <c r="V1894" s="2">
        <v>0</v>
      </c>
      <c r="W1894" s="2">
        <v>657</v>
      </c>
      <c r="X1894" s="43">
        <f>SUM(R1894:W1907)</f>
        <v>30642</v>
      </c>
      <c r="Y1894" s="10">
        <v>46204</v>
      </c>
      <c r="Z1894" s="11">
        <v>0.21915174234314722</v>
      </c>
      <c r="AA1894" s="11">
        <v>0.18274192037163289</v>
      </c>
      <c r="AB1894" s="11">
        <v>0.14726787607165501</v>
      </c>
      <c r="AC1894" s="11">
        <v>0.1287497680516306</v>
      </c>
      <c r="AD1894" s="11">
        <v>0.11447820346270936</v>
      </c>
      <c r="AE1894" s="11">
        <v>0.13149780089791482</v>
      </c>
      <c r="AF1894" s="11">
        <v>0.2</v>
      </c>
      <c r="AG1894" s="11">
        <v>0.23899999999999999</v>
      </c>
    </row>
    <row r="1895" spans="2:33">
      <c r="B1895" s="53" t="s">
        <v>2193</v>
      </c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35"/>
      <c r="Q1895" s="36" t="s">
        <v>36</v>
      </c>
      <c r="R1895" s="13">
        <v>1622</v>
      </c>
      <c r="S1895" s="13">
        <v>821</v>
      </c>
      <c r="T1895" s="13">
        <v>0</v>
      </c>
      <c r="U1895" s="13">
        <v>0</v>
      </c>
      <c r="V1895" s="13">
        <v>0</v>
      </c>
      <c r="W1895" s="37">
        <v>676</v>
      </c>
      <c r="X1895" s="18"/>
      <c r="Y1895" s="14"/>
      <c r="Z1895" s="14"/>
      <c r="AA1895" s="14"/>
      <c r="AB1895" s="14"/>
      <c r="AC1895" s="14"/>
      <c r="AD1895" s="14"/>
      <c r="AE1895" s="14"/>
      <c r="AF1895" s="14"/>
      <c r="AG1895" s="35"/>
    </row>
    <row r="1896" spans="2:33">
      <c r="B1896" s="19"/>
      <c r="P1896" s="16"/>
      <c r="Q1896" s="36" t="s">
        <v>37</v>
      </c>
      <c r="R1896" s="13">
        <v>0</v>
      </c>
      <c r="S1896" s="13">
        <v>1626</v>
      </c>
      <c r="T1896" s="13">
        <v>781</v>
      </c>
      <c r="U1896" s="13">
        <v>0</v>
      </c>
      <c r="V1896" s="13">
        <v>0</v>
      </c>
      <c r="W1896" s="37">
        <v>764</v>
      </c>
      <c r="X1896" s="19"/>
      <c r="AG1896" s="16"/>
    </row>
    <row r="1897" spans="2:33">
      <c r="B1897" s="19"/>
      <c r="P1897" s="16"/>
      <c r="Q1897" s="36" t="s">
        <v>38</v>
      </c>
      <c r="R1897" s="13">
        <v>0</v>
      </c>
      <c r="S1897" s="13">
        <v>0</v>
      </c>
      <c r="T1897" s="13">
        <v>0</v>
      </c>
      <c r="U1897" s="13">
        <v>1014</v>
      </c>
      <c r="V1897" s="13">
        <v>574</v>
      </c>
      <c r="W1897" s="37">
        <v>507</v>
      </c>
      <c r="X1897" s="19"/>
      <c r="AG1897" s="16"/>
    </row>
    <row r="1898" spans="2:33">
      <c r="B1898" s="19"/>
      <c r="P1898" s="16"/>
      <c r="Q1898" s="36" t="s">
        <v>39</v>
      </c>
      <c r="R1898" s="13">
        <v>0</v>
      </c>
      <c r="S1898" s="13">
        <v>0</v>
      </c>
      <c r="T1898" s="13">
        <v>0</v>
      </c>
      <c r="U1898" s="13">
        <v>1163</v>
      </c>
      <c r="V1898" s="13">
        <v>621</v>
      </c>
      <c r="W1898" s="37">
        <v>571</v>
      </c>
      <c r="X1898" s="19"/>
      <c r="AG1898" s="16"/>
    </row>
    <row r="1899" spans="2:33">
      <c r="B1899" s="19"/>
      <c r="P1899" s="16"/>
      <c r="Q1899" s="36" t="s">
        <v>40</v>
      </c>
      <c r="R1899" s="13">
        <v>0</v>
      </c>
      <c r="S1899" s="13">
        <v>0</v>
      </c>
      <c r="T1899" s="13">
        <v>1540</v>
      </c>
      <c r="U1899" s="13">
        <v>952</v>
      </c>
      <c r="V1899" s="13">
        <v>0</v>
      </c>
      <c r="W1899" s="37">
        <v>626</v>
      </c>
      <c r="X1899" s="19"/>
      <c r="AG1899" s="16"/>
    </row>
    <row r="1900" spans="2:33">
      <c r="B1900" s="19"/>
      <c r="P1900" s="16"/>
      <c r="Q1900" s="36" t="s">
        <v>41</v>
      </c>
      <c r="R1900" s="13">
        <v>1627</v>
      </c>
      <c r="S1900" s="13">
        <v>1071</v>
      </c>
      <c r="T1900" s="13">
        <v>0</v>
      </c>
      <c r="U1900" s="13">
        <v>0</v>
      </c>
      <c r="V1900" s="13">
        <v>0</v>
      </c>
      <c r="W1900" s="37">
        <v>646</v>
      </c>
      <c r="X1900" s="19"/>
      <c r="AG1900" s="16"/>
    </row>
    <row r="1901" spans="2:33">
      <c r="B1901" s="19"/>
      <c r="P1901" s="16"/>
      <c r="Q1901" s="36" t="s">
        <v>551</v>
      </c>
      <c r="R1901" s="13">
        <v>0</v>
      </c>
      <c r="S1901" s="13">
        <v>0</v>
      </c>
      <c r="T1901" s="13">
        <v>99</v>
      </c>
      <c r="U1901" s="13">
        <v>58</v>
      </c>
      <c r="V1901" s="13">
        <v>0</v>
      </c>
      <c r="W1901" s="37">
        <v>130</v>
      </c>
      <c r="X1901" s="19"/>
      <c r="AG1901" s="16"/>
    </row>
    <row r="1902" spans="2:33">
      <c r="B1902" s="19"/>
      <c r="P1902" s="16"/>
      <c r="Q1902" s="36" t="s">
        <v>552</v>
      </c>
      <c r="R1902" s="13">
        <v>0</v>
      </c>
      <c r="S1902" s="13">
        <v>0</v>
      </c>
      <c r="T1902" s="13">
        <v>1191</v>
      </c>
      <c r="U1902" s="13">
        <v>688</v>
      </c>
      <c r="V1902" s="13">
        <v>0</v>
      </c>
      <c r="W1902" s="37">
        <v>584</v>
      </c>
      <c r="X1902" s="19"/>
      <c r="AG1902" s="16"/>
    </row>
    <row r="1903" spans="2:33">
      <c r="B1903" s="19"/>
      <c r="P1903" s="16"/>
      <c r="Q1903" s="36" t="s">
        <v>43</v>
      </c>
      <c r="R1903" s="13">
        <v>0</v>
      </c>
      <c r="S1903" s="13">
        <v>0</v>
      </c>
      <c r="T1903" s="13">
        <v>1097</v>
      </c>
      <c r="U1903" s="13">
        <v>761</v>
      </c>
      <c r="V1903" s="13">
        <v>0</v>
      </c>
      <c r="W1903" s="37">
        <v>502</v>
      </c>
      <c r="X1903" s="19"/>
      <c r="AG1903" s="16"/>
    </row>
    <row r="1904" spans="2:33">
      <c r="B1904" s="19"/>
      <c r="P1904" s="16"/>
      <c r="Q1904" s="36" t="s">
        <v>44</v>
      </c>
      <c r="R1904" s="13">
        <v>0</v>
      </c>
      <c r="S1904" s="13">
        <v>0</v>
      </c>
      <c r="T1904" s="13">
        <v>0</v>
      </c>
      <c r="U1904" s="13">
        <v>1076</v>
      </c>
      <c r="V1904" s="13">
        <v>605</v>
      </c>
      <c r="W1904" s="37">
        <v>435</v>
      </c>
      <c r="X1904" s="19"/>
      <c r="AG1904" s="16"/>
    </row>
    <row r="1905" spans="2:33">
      <c r="B1905" s="19"/>
      <c r="P1905" s="16"/>
      <c r="Q1905" s="36" t="s">
        <v>539</v>
      </c>
      <c r="R1905" s="13">
        <v>0</v>
      </c>
      <c r="S1905" s="13">
        <v>1061</v>
      </c>
      <c r="T1905" s="13">
        <v>550</v>
      </c>
      <c r="U1905" s="13">
        <v>0</v>
      </c>
      <c r="V1905" s="13">
        <v>0</v>
      </c>
      <c r="W1905" s="37">
        <v>428</v>
      </c>
      <c r="X1905" s="19"/>
      <c r="AG1905" s="16"/>
    </row>
    <row r="1906" spans="2:33">
      <c r="B1906" s="19"/>
      <c r="P1906" s="16"/>
      <c r="Q1906" s="36" t="s">
        <v>540</v>
      </c>
      <c r="R1906" s="13">
        <v>0</v>
      </c>
      <c r="S1906" s="13">
        <v>212</v>
      </c>
      <c r="T1906" s="13">
        <v>119</v>
      </c>
      <c r="U1906" s="13">
        <v>0</v>
      </c>
      <c r="V1906" s="13">
        <v>0</v>
      </c>
      <c r="W1906" s="37">
        <v>129</v>
      </c>
      <c r="X1906" s="19"/>
      <c r="AG1906" s="16"/>
    </row>
    <row r="1907" spans="2:33" ht="15" thickBot="1">
      <c r="B1907" s="20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7"/>
      <c r="Q1907" s="36" t="s">
        <v>46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37">
        <v>0</v>
      </c>
      <c r="X1907" s="20"/>
      <c r="Y1907" s="15"/>
      <c r="Z1907" s="15"/>
      <c r="AA1907" s="15"/>
      <c r="AB1907" s="15"/>
      <c r="AC1907" s="15"/>
      <c r="AD1907" s="15"/>
      <c r="AE1907" s="15"/>
      <c r="AF1907" s="15"/>
      <c r="AG1907" s="17"/>
    </row>
    <row r="1909" spans="2:33" ht="15" thickBot="1">
      <c r="B1909" s="25" t="s">
        <v>532</v>
      </c>
      <c r="C1909" s="26" t="s">
        <v>533</v>
      </c>
      <c r="D1909" s="26" t="s">
        <v>894</v>
      </c>
      <c r="E1909" s="26" t="s">
        <v>895</v>
      </c>
      <c r="F1909" s="26" t="s">
        <v>896</v>
      </c>
      <c r="G1909" s="26" t="s">
        <v>897</v>
      </c>
      <c r="H1909" s="27" t="s">
        <v>677</v>
      </c>
      <c r="I1909" s="26" t="s">
        <v>898</v>
      </c>
      <c r="J1909" s="27" t="s">
        <v>87</v>
      </c>
      <c r="K1909" s="29">
        <v>30</v>
      </c>
      <c r="L1909" s="29">
        <v>30</v>
      </c>
      <c r="M1909" s="29">
        <v>30</v>
      </c>
      <c r="N1909" s="29">
        <v>30</v>
      </c>
      <c r="O1909" s="29">
        <v>30</v>
      </c>
      <c r="P1909" s="40">
        <v>50</v>
      </c>
      <c r="Q1909" s="1" t="s">
        <v>35</v>
      </c>
      <c r="R1909" s="2">
        <v>2515</v>
      </c>
      <c r="S1909" s="2">
        <v>1375</v>
      </c>
      <c r="T1909" s="2">
        <v>0</v>
      </c>
      <c r="U1909" s="2">
        <v>0</v>
      </c>
      <c r="V1909" s="2">
        <v>0</v>
      </c>
      <c r="W1909" s="2">
        <v>976</v>
      </c>
      <c r="X1909" s="43">
        <f>SUM(R1909:W1922)</f>
        <v>52707</v>
      </c>
      <c r="Y1909" s="10">
        <v>46204</v>
      </c>
      <c r="Z1909" s="11">
        <v>0.21915174234314722</v>
      </c>
      <c r="AA1909" s="11">
        <v>0.18274192037163289</v>
      </c>
      <c r="AB1909" s="11">
        <v>0.14726787607165501</v>
      </c>
      <c r="AC1909" s="11">
        <v>0.1287497680516306</v>
      </c>
      <c r="AD1909" s="11">
        <v>0.11447820346270936</v>
      </c>
      <c r="AE1909" s="11">
        <v>0.13149780089791482</v>
      </c>
      <c r="AF1909" s="11">
        <v>0.2</v>
      </c>
      <c r="AG1909" s="11">
        <v>0.23899999999999999</v>
      </c>
    </row>
    <row r="1910" spans="2:33">
      <c r="B1910" s="53" t="s">
        <v>2193</v>
      </c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35"/>
      <c r="Q1910" s="36" t="s">
        <v>36</v>
      </c>
      <c r="R1910" s="13">
        <v>2076</v>
      </c>
      <c r="S1910" s="13">
        <v>1075</v>
      </c>
      <c r="T1910" s="13">
        <v>0</v>
      </c>
      <c r="U1910" s="13">
        <v>0</v>
      </c>
      <c r="V1910" s="13">
        <v>0</v>
      </c>
      <c r="W1910" s="37">
        <v>951</v>
      </c>
      <c r="X1910" s="18"/>
      <c r="Y1910" s="14"/>
      <c r="Z1910" s="14"/>
      <c r="AA1910" s="14"/>
      <c r="AB1910" s="14"/>
      <c r="AC1910" s="14"/>
      <c r="AD1910" s="14"/>
      <c r="AE1910" s="14"/>
      <c r="AF1910" s="14"/>
      <c r="AG1910" s="35"/>
    </row>
    <row r="1911" spans="2:33">
      <c r="B1911" s="19"/>
      <c r="P1911" s="16"/>
      <c r="Q1911" s="36" t="s">
        <v>37</v>
      </c>
      <c r="R1911" s="13">
        <v>0</v>
      </c>
      <c r="S1911" s="13">
        <v>2040</v>
      </c>
      <c r="T1911" s="13">
        <v>1146</v>
      </c>
      <c r="U1911" s="13">
        <v>0</v>
      </c>
      <c r="V1911" s="13">
        <v>0</v>
      </c>
      <c r="W1911" s="37">
        <v>1161</v>
      </c>
      <c r="X1911" s="19"/>
      <c r="AG1911" s="16"/>
    </row>
    <row r="1912" spans="2:33">
      <c r="B1912" s="19"/>
      <c r="P1912" s="16"/>
      <c r="Q1912" s="36" t="s">
        <v>38</v>
      </c>
      <c r="R1912" s="13">
        <v>0</v>
      </c>
      <c r="S1912" s="13">
        <v>0</v>
      </c>
      <c r="T1912" s="13">
        <v>0</v>
      </c>
      <c r="U1912" s="13">
        <v>1561</v>
      </c>
      <c r="V1912" s="13">
        <v>1028</v>
      </c>
      <c r="W1912" s="37">
        <v>799</v>
      </c>
      <c r="X1912" s="19"/>
      <c r="AG1912" s="16"/>
    </row>
    <row r="1913" spans="2:33">
      <c r="B1913" s="19"/>
      <c r="P1913" s="16"/>
      <c r="Q1913" s="36" t="s">
        <v>39</v>
      </c>
      <c r="R1913" s="13">
        <v>0</v>
      </c>
      <c r="S1913" s="13">
        <v>0</v>
      </c>
      <c r="T1913" s="13">
        <v>0</v>
      </c>
      <c r="U1913" s="13">
        <v>1790</v>
      </c>
      <c r="V1913" s="13">
        <v>1219</v>
      </c>
      <c r="W1913" s="37">
        <v>1046</v>
      </c>
      <c r="X1913" s="19"/>
      <c r="AG1913" s="16"/>
    </row>
    <row r="1914" spans="2:33">
      <c r="B1914" s="19"/>
      <c r="P1914" s="16"/>
      <c r="Q1914" s="36" t="s">
        <v>40</v>
      </c>
      <c r="R1914" s="13">
        <v>0</v>
      </c>
      <c r="S1914" s="13">
        <v>0</v>
      </c>
      <c r="T1914" s="13">
        <v>2490</v>
      </c>
      <c r="U1914" s="13">
        <v>1654</v>
      </c>
      <c r="V1914" s="13">
        <v>0</v>
      </c>
      <c r="W1914" s="37">
        <v>1064</v>
      </c>
      <c r="X1914" s="19"/>
      <c r="AG1914" s="16"/>
    </row>
    <row r="1915" spans="2:33">
      <c r="B1915" s="19"/>
      <c r="P1915" s="16"/>
      <c r="Q1915" s="36" t="s">
        <v>41</v>
      </c>
      <c r="R1915" s="13">
        <v>2566</v>
      </c>
      <c r="S1915" s="13">
        <v>1683</v>
      </c>
      <c r="T1915" s="13">
        <v>0</v>
      </c>
      <c r="U1915" s="13">
        <v>0</v>
      </c>
      <c r="V1915" s="13">
        <v>0</v>
      </c>
      <c r="W1915" s="37">
        <v>1166</v>
      </c>
      <c r="X1915" s="19"/>
      <c r="AG1915" s="16"/>
    </row>
    <row r="1916" spans="2:33">
      <c r="B1916" s="19"/>
      <c r="P1916" s="16"/>
      <c r="Q1916" s="36" t="s">
        <v>551</v>
      </c>
      <c r="R1916" s="13">
        <v>0</v>
      </c>
      <c r="S1916" s="13">
        <v>0</v>
      </c>
      <c r="T1916" s="13">
        <v>264</v>
      </c>
      <c r="U1916" s="13">
        <v>155</v>
      </c>
      <c r="V1916" s="13">
        <v>0</v>
      </c>
      <c r="W1916" s="37">
        <v>267</v>
      </c>
      <c r="X1916" s="19"/>
      <c r="AG1916" s="16"/>
    </row>
    <row r="1917" spans="2:33">
      <c r="B1917" s="19"/>
      <c r="P1917" s="16"/>
      <c r="Q1917" s="36" t="s">
        <v>552</v>
      </c>
      <c r="R1917" s="13">
        <v>0</v>
      </c>
      <c r="S1917" s="13">
        <v>0</v>
      </c>
      <c r="T1917" s="13">
        <v>2276</v>
      </c>
      <c r="U1917" s="13">
        <v>1414</v>
      </c>
      <c r="V1917" s="13">
        <v>0</v>
      </c>
      <c r="W1917" s="37">
        <v>1121</v>
      </c>
      <c r="X1917" s="19"/>
      <c r="AG1917" s="16"/>
    </row>
    <row r="1918" spans="2:33">
      <c r="B1918" s="19"/>
      <c r="P1918" s="16"/>
      <c r="Q1918" s="36" t="s">
        <v>43</v>
      </c>
      <c r="R1918" s="13">
        <v>0</v>
      </c>
      <c r="S1918" s="13">
        <v>0</v>
      </c>
      <c r="T1918" s="13">
        <v>1991</v>
      </c>
      <c r="U1918" s="13">
        <v>1362</v>
      </c>
      <c r="V1918" s="13">
        <v>0</v>
      </c>
      <c r="W1918" s="37">
        <v>966</v>
      </c>
      <c r="X1918" s="19"/>
      <c r="AG1918" s="16"/>
    </row>
    <row r="1919" spans="2:33">
      <c r="B1919" s="19"/>
      <c r="P1919" s="16"/>
      <c r="Q1919" s="36" t="s">
        <v>44</v>
      </c>
      <c r="R1919" s="13">
        <v>0</v>
      </c>
      <c r="S1919" s="13">
        <v>0</v>
      </c>
      <c r="T1919" s="13">
        <v>0</v>
      </c>
      <c r="U1919" s="13">
        <v>1773</v>
      </c>
      <c r="V1919" s="13">
        <v>1076</v>
      </c>
      <c r="W1919" s="37">
        <v>718</v>
      </c>
      <c r="X1919" s="19"/>
      <c r="AG1919" s="16"/>
    </row>
    <row r="1920" spans="2:33">
      <c r="B1920" s="19"/>
      <c r="P1920" s="16"/>
      <c r="Q1920" s="36" t="s">
        <v>539</v>
      </c>
      <c r="R1920" s="13">
        <v>0</v>
      </c>
      <c r="S1920" s="13">
        <v>1455</v>
      </c>
      <c r="T1920" s="13">
        <v>822</v>
      </c>
      <c r="U1920" s="13">
        <v>0</v>
      </c>
      <c r="V1920" s="13">
        <v>0</v>
      </c>
      <c r="W1920" s="37">
        <v>675</v>
      </c>
      <c r="X1920" s="19"/>
      <c r="AG1920" s="16"/>
    </row>
    <row r="1921" spans="2:33">
      <c r="B1921" s="19"/>
      <c r="P1921" s="16"/>
      <c r="Q1921" s="36" t="s">
        <v>540</v>
      </c>
      <c r="R1921" s="13">
        <v>0</v>
      </c>
      <c r="S1921" s="13">
        <v>390</v>
      </c>
      <c r="T1921" s="13">
        <v>177</v>
      </c>
      <c r="U1921" s="13">
        <v>0</v>
      </c>
      <c r="V1921" s="13">
        <v>0</v>
      </c>
      <c r="W1921" s="37">
        <v>194</v>
      </c>
      <c r="X1921" s="19"/>
      <c r="AG1921" s="16"/>
    </row>
    <row r="1922" spans="2:33" ht="15" thickBot="1">
      <c r="B1922" s="20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7"/>
      <c r="Q1922" s="36" t="s">
        <v>46</v>
      </c>
      <c r="R1922" s="13">
        <v>2230</v>
      </c>
      <c r="S1922" s="13">
        <v>1231</v>
      </c>
      <c r="T1922" s="13">
        <v>0</v>
      </c>
      <c r="U1922" s="13">
        <v>0</v>
      </c>
      <c r="V1922" s="13">
        <v>0</v>
      </c>
      <c r="W1922" s="37">
        <v>769</v>
      </c>
      <c r="X1922" s="20"/>
      <c r="Y1922" s="15"/>
      <c r="Z1922" s="15"/>
      <c r="AA1922" s="15"/>
      <c r="AB1922" s="15"/>
      <c r="AC1922" s="15"/>
      <c r="AD1922" s="15"/>
      <c r="AE1922" s="15"/>
      <c r="AF1922" s="15"/>
      <c r="AG1922" s="17"/>
    </row>
    <row r="1924" spans="2:33" ht="15" thickBot="1">
      <c r="B1924" s="25" t="s">
        <v>532</v>
      </c>
      <c r="C1924" s="26" t="s">
        <v>533</v>
      </c>
      <c r="D1924" s="26" t="s">
        <v>899</v>
      </c>
      <c r="E1924" s="26" t="s">
        <v>900</v>
      </c>
      <c r="F1924" s="26" t="s">
        <v>901</v>
      </c>
      <c r="G1924" s="26" t="s">
        <v>902</v>
      </c>
      <c r="H1924" s="27" t="s">
        <v>677</v>
      </c>
      <c r="I1924" s="26" t="s">
        <v>903</v>
      </c>
      <c r="J1924" s="27" t="s">
        <v>87</v>
      </c>
      <c r="K1924" s="29">
        <v>34</v>
      </c>
      <c r="L1924" s="29">
        <v>34</v>
      </c>
      <c r="M1924" s="29">
        <v>34</v>
      </c>
      <c r="N1924" s="29">
        <v>34</v>
      </c>
      <c r="O1924" s="29">
        <v>34</v>
      </c>
      <c r="P1924" s="40">
        <v>34</v>
      </c>
      <c r="Q1924" s="1" t="s">
        <v>35</v>
      </c>
      <c r="R1924" s="2">
        <v>2668</v>
      </c>
      <c r="S1924" s="2">
        <v>1506</v>
      </c>
      <c r="T1924" s="2">
        <v>0</v>
      </c>
      <c r="U1924" s="2">
        <v>0</v>
      </c>
      <c r="V1924" s="2">
        <v>0</v>
      </c>
      <c r="W1924" s="2">
        <v>865</v>
      </c>
      <c r="X1924" s="43">
        <f>SUM(R1924:W1936)</f>
        <v>44414</v>
      </c>
      <c r="Y1924" s="10">
        <v>46204</v>
      </c>
      <c r="Z1924" s="11">
        <v>0.21915174234314722</v>
      </c>
      <c r="AA1924" s="11">
        <v>0.18274192037163289</v>
      </c>
      <c r="AB1924" s="11">
        <v>0.14726787607165501</v>
      </c>
      <c r="AC1924" s="11">
        <v>0.1287497680516306</v>
      </c>
      <c r="AD1924" s="11">
        <v>0.11447820346270936</v>
      </c>
      <c r="AE1924" s="11">
        <v>0.13149780089791482</v>
      </c>
      <c r="AF1924" s="11">
        <v>0.2</v>
      </c>
      <c r="AG1924" s="11">
        <v>0.23899999999999999</v>
      </c>
    </row>
    <row r="1925" spans="2:33">
      <c r="B1925" s="53" t="s">
        <v>2193</v>
      </c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35"/>
      <c r="Q1925" s="36" t="s">
        <v>36</v>
      </c>
      <c r="R1925" s="13">
        <v>2076</v>
      </c>
      <c r="S1925" s="13">
        <v>1068</v>
      </c>
      <c r="T1925" s="13">
        <v>0</v>
      </c>
      <c r="U1925" s="13">
        <v>0</v>
      </c>
      <c r="V1925" s="13">
        <v>0</v>
      </c>
      <c r="W1925" s="37">
        <v>799</v>
      </c>
      <c r="X1925" s="18"/>
      <c r="Y1925" s="14"/>
      <c r="Z1925" s="14"/>
      <c r="AA1925" s="14"/>
      <c r="AB1925" s="14"/>
      <c r="AC1925" s="14"/>
      <c r="AD1925" s="14"/>
      <c r="AE1925" s="14"/>
      <c r="AF1925" s="14"/>
      <c r="AG1925" s="35"/>
    </row>
    <row r="1926" spans="2:33">
      <c r="B1926" s="19"/>
      <c r="P1926" s="16"/>
      <c r="Q1926" s="36" t="s">
        <v>37</v>
      </c>
      <c r="R1926" s="13">
        <v>0</v>
      </c>
      <c r="S1926" s="13">
        <v>2027</v>
      </c>
      <c r="T1926" s="13">
        <v>1327</v>
      </c>
      <c r="U1926" s="13">
        <v>0</v>
      </c>
      <c r="V1926" s="13">
        <v>0</v>
      </c>
      <c r="W1926" s="37">
        <v>1070</v>
      </c>
      <c r="X1926" s="19"/>
      <c r="AG1926" s="16"/>
    </row>
    <row r="1927" spans="2:33">
      <c r="B1927" s="19"/>
      <c r="P1927" s="16"/>
      <c r="Q1927" s="36" t="s">
        <v>38</v>
      </c>
      <c r="R1927" s="13">
        <v>0</v>
      </c>
      <c r="S1927" s="13">
        <v>0</v>
      </c>
      <c r="T1927" s="13">
        <v>0</v>
      </c>
      <c r="U1927" s="13">
        <v>1581</v>
      </c>
      <c r="V1927" s="13">
        <v>1022</v>
      </c>
      <c r="W1927" s="37">
        <v>719</v>
      </c>
      <c r="X1927" s="19"/>
      <c r="AG1927" s="16"/>
    </row>
    <row r="1928" spans="2:33">
      <c r="B1928" s="19"/>
      <c r="P1928" s="16"/>
      <c r="Q1928" s="36" t="s">
        <v>39</v>
      </c>
      <c r="R1928" s="13">
        <v>0</v>
      </c>
      <c r="S1928" s="13">
        <v>0</v>
      </c>
      <c r="T1928" s="13">
        <v>0</v>
      </c>
      <c r="U1928" s="13">
        <v>1972</v>
      </c>
      <c r="V1928" s="13">
        <v>1264</v>
      </c>
      <c r="W1928" s="37">
        <v>1161</v>
      </c>
      <c r="X1928" s="19"/>
      <c r="AG1928" s="16"/>
    </row>
    <row r="1929" spans="2:33">
      <c r="B1929" s="19"/>
      <c r="P1929" s="16"/>
      <c r="Q1929" s="36" t="s">
        <v>40</v>
      </c>
      <c r="R1929" s="13">
        <v>0</v>
      </c>
      <c r="S1929" s="13">
        <v>0</v>
      </c>
      <c r="T1929" s="13">
        <v>2295</v>
      </c>
      <c r="U1929" s="13">
        <v>1382</v>
      </c>
      <c r="V1929" s="13">
        <v>0</v>
      </c>
      <c r="W1929" s="37">
        <v>882</v>
      </c>
      <c r="X1929" s="19"/>
      <c r="AG1929" s="16"/>
    </row>
    <row r="1930" spans="2:33">
      <c r="B1930" s="19"/>
      <c r="P1930" s="16"/>
      <c r="Q1930" s="36" t="s">
        <v>41</v>
      </c>
      <c r="R1930" s="13">
        <v>1497</v>
      </c>
      <c r="S1930" s="13">
        <v>893</v>
      </c>
      <c r="T1930" s="13">
        <v>0</v>
      </c>
      <c r="U1930" s="13">
        <v>0</v>
      </c>
      <c r="V1930" s="13">
        <v>0</v>
      </c>
      <c r="W1930" s="37">
        <v>609</v>
      </c>
      <c r="X1930" s="19"/>
      <c r="AG1930" s="16"/>
    </row>
    <row r="1931" spans="2:33">
      <c r="B1931" s="19"/>
      <c r="P1931" s="16"/>
      <c r="Q1931" s="36" t="s">
        <v>551</v>
      </c>
      <c r="R1931" s="13">
        <v>0</v>
      </c>
      <c r="S1931" s="13">
        <v>0</v>
      </c>
      <c r="T1931" s="13">
        <v>166</v>
      </c>
      <c r="U1931" s="13">
        <v>89</v>
      </c>
      <c r="V1931" s="13">
        <v>0</v>
      </c>
      <c r="W1931" s="37">
        <v>165</v>
      </c>
      <c r="X1931" s="19"/>
      <c r="AG1931" s="16"/>
    </row>
    <row r="1932" spans="2:33">
      <c r="B1932" s="19"/>
      <c r="P1932" s="16"/>
      <c r="Q1932" s="36" t="s">
        <v>552</v>
      </c>
      <c r="R1932" s="13">
        <v>0</v>
      </c>
      <c r="S1932" s="13">
        <v>0</v>
      </c>
      <c r="T1932" s="13">
        <v>1454</v>
      </c>
      <c r="U1932" s="13">
        <v>810</v>
      </c>
      <c r="V1932" s="13">
        <v>0</v>
      </c>
      <c r="W1932" s="37">
        <v>690</v>
      </c>
      <c r="X1932" s="19"/>
      <c r="AG1932" s="16"/>
    </row>
    <row r="1933" spans="2:33">
      <c r="B1933" s="19"/>
      <c r="P1933" s="16"/>
      <c r="Q1933" s="36" t="s">
        <v>43</v>
      </c>
      <c r="R1933" s="13">
        <v>0</v>
      </c>
      <c r="S1933" s="13">
        <v>0</v>
      </c>
      <c r="T1933" s="13">
        <v>1580</v>
      </c>
      <c r="U1933" s="13">
        <v>917</v>
      </c>
      <c r="V1933" s="13">
        <v>0</v>
      </c>
      <c r="W1933" s="37">
        <v>682</v>
      </c>
      <c r="X1933" s="19"/>
      <c r="AG1933" s="16"/>
    </row>
    <row r="1934" spans="2:33">
      <c r="B1934" s="19"/>
      <c r="P1934" s="16"/>
      <c r="Q1934" s="36" t="s">
        <v>44</v>
      </c>
      <c r="R1934" s="13">
        <v>0</v>
      </c>
      <c r="S1934" s="13">
        <v>0</v>
      </c>
      <c r="T1934" s="13">
        <v>0</v>
      </c>
      <c r="U1934" s="13">
        <v>1669</v>
      </c>
      <c r="V1934" s="13">
        <v>980</v>
      </c>
      <c r="W1934" s="37">
        <v>652</v>
      </c>
      <c r="X1934" s="19"/>
      <c r="AG1934" s="16"/>
    </row>
    <row r="1935" spans="2:33">
      <c r="B1935" s="19"/>
      <c r="P1935" s="16"/>
      <c r="Q1935" s="36" t="s">
        <v>45</v>
      </c>
      <c r="R1935" s="13">
        <v>0</v>
      </c>
      <c r="S1935" s="13">
        <v>1446</v>
      </c>
      <c r="T1935" s="13">
        <v>860</v>
      </c>
      <c r="U1935" s="13">
        <v>0</v>
      </c>
      <c r="V1935" s="13">
        <v>0</v>
      </c>
      <c r="W1935" s="37">
        <v>692</v>
      </c>
      <c r="X1935" s="19"/>
      <c r="AG1935" s="16"/>
    </row>
    <row r="1936" spans="2:33" ht="15" thickBot="1">
      <c r="B1936" s="20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7"/>
      <c r="Q1936" s="36" t="s">
        <v>46</v>
      </c>
      <c r="R1936" s="13">
        <v>1484</v>
      </c>
      <c r="S1936" s="13">
        <v>877</v>
      </c>
      <c r="T1936" s="13">
        <v>0</v>
      </c>
      <c r="U1936" s="13">
        <v>0</v>
      </c>
      <c r="V1936" s="13">
        <v>0</v>
      </c>
      <c r="W1936" s="37">
        <v>518</v>
      </c>
      <c r="X1936" s="20"/>
      <c r="Y1936" s="15"/>
      <c r="Z1936" s="15"/>
      <c r="AA1936" s="15"/>
      <c r="AB1936" s="15"/>
      <c r="AC1936" s="15"/>
      <c r="AD1936" s="15"/>
      <c r="AE1936" s="15"/>
      <c r="AF1936" s="15"/>
      <c r="AG1936" s="17"/>
    </row>
    <row r="1938" spans="2:33" ht="15" thickBot="1">
      <c r="B1938" s="25" t="s">
        <v>532</v>
      </c>
      <c r="C1938" s="26" t="s">
        <v>533</v>
      </c>
      <c r="D1938" s="26" t="s">
        <v>904</v>
      </c>
      <c r="E1938" s="26" t="s">
        <v>905</v>
      </c>
      <c r="F1938" s="26" t="s">
        <v>906</v>
      </c>
      <c r="G1938" s="26" t="s">
        <v>779</v>
      </c>
      <c r="H1938" s="27" t="s">
        <v>683</v>
      </c>
      <c r="I1938" s="26" t="s">
        <v>907</v>
      </c>
      <c r="J1938" s="27" t="s">
        <v>87</v>
      </c>
      <c r="K1938" s="29">
        <v>30</v>
      </c>
      <c r="L1938" s="29">
        <v>30</v>
      </c>
      <c r="M1938" s="29">
        <v>30</v>
      </c>
      <c r="N1938" s="29">
        <v>30</v>
      </c>
      <c r="O1938" s="29">
        <v>30</v>
      </c>
      <c r="P1938" s="40">
        <v>37</v>
      </c>
      <c r="Q1938" s="1" t="s">
        <v>35</v>
      </c>
      <c r="R1938" s="2">
        <v>2250</v>
      </c>
      <c r="S1938" s="2">
        <v>1200</v>
      </c>
      <c r="T1938" s="2">
        <v>0</v>
      </c>
      <c r="U1938" s="2">
        <v>0</v>
      </c>
      <c r="V1938" s="2">
        <v>0</v>
      </c>
      <c r="W1938" s="2">
        <v>971</v>
      </c>
      <c r="X1938" s="43">
        <f>SUM(R1938:W1951)</f>
        <v>56717</v>
      </c>
      <c r="Y1938" s="10">
        <v>46204</v>
      </c>
      <c r="Z1938" s="11">
        <v>0.21915174234314722</v>
      </c>
      <c r="AA1938" s="11">
        <v>0.18274192037163289</v>
      </c>
      <c r="AB1938" s="11">
        <v>0.14726787607165501</v>
      </c>
      <c r="AC1938" s="11">
        <v>0.1287497680516306</v>
      </c>
      <c r="AD1938" s="11">
        <v>0.11447820346270936</v>
      </c>
      <c r="AE1938" s="11">
        <v>0.13149780089791482</v>
      </c>
      <c r="AF1938" s="11">
        <v>0.2</v>
      </c>
      <c r="AG1938" s="11">
        <v>0.23899999999999999</v>
      </c>
    </row>
    <row r="1939" spans="2:33">
      <c r="B1939" s="53" t="s">
        <v>2193</v>
      </c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35"/>
      <c r="Q1939" s="36" t="s">
        <v>36</v>
      </c>
      <c r="R1939" s="13">
        <v>2158</v>
      </c>
      <c r="S1939" s="13">
        <v>1137</v>
      </c>
      <c r="T1939" s="13">
        <v>0</v>
      </c>
      <c r="U1939" s="13">
        <v>0</v>
      </c>
      <c r="V1939" s="13">
        <v>0</v>
      </c>
      <c r="W1939" s="37">
        <v>996</v>
      </c>
      <c r="X1939" s="18"/>
      <c r="Y1939" s="14"/>
      <c r="Z1939" s="14"/>
      <c r="AA1939" s="14"/>
      <c r="AB1939" s="14"/>
      <c r="AC1939" s="14"/>
      <c r="AD1939" s="14"/>
      <c r="AE1939" s="14"/>
      <c r="AF1939" s="14"/>
      <c r="AG1939" s="35"/>
    </row>
    <row r="1940" spans="2:33">
      <c r="B1940" s="19"/>
      <c r="P1940" s="16"/>
      <c r="Q1940" s="36" t="s">
        <v>37</v>
      </c>
      <c r="R1940" s="13">
        <v>0</v>
      </c>
      <c r="S1940" s="13">
        <v>2136</v>
      </c>
      <c r="T1940" s="13">
        <v>1199</v>
      </c>
      <c r="U1940" s="13">
        <v>0</v>
      </c>
      <c r="V1940" s="13">
        <v>0</v>
      </c>
      <c r="W1940" s="37">
        <v>1222</v>
      </c>
      <c r="X1940" s="19"/>
      <c r="AG1940" s="16"/>
    </row>
    <row r="1941" spans="2:33">
      <c r="B1941" s="19"/>
      <c r="P1941" s="16"/>
      <c r="Q1941" s="36" t="s">
        <v>38</v>
      </c>
      <c r="R1941" s="13">
        <v>0</v>
      </c>
      <c r="S1941" s="13">
        <v>0</v>
      </c>
      <c r="T1941" s="13">
        <v>0</v>
      </c>
      <c r="U1941" s="13">
        <v>1985</v>
      </c>
      <c r="V1941" s="13">
        <v>1099</v>
      </c>
      <c r="W1941" s="37">
        <v>905</v>
      </c>
      <c r="X1941" s="19"/>
      <c r="AG1941" s="16"/>
    </row>
    <row r="1942" spans="2:33">
      <c r="B1942" s="19"/>
      <c r="P1942" s="16"/>
      <c r="Q1942" s="36" t="s">
        <v>39</v>
      </c>
      <c r="R1942" s="13">
        <v>0</v>
      </c>
      <c r="S1942" s="13">
        <v>0</v>
      </c>
      <c r="T1942" s="13">
        <v>0</v>
      </c>
      <c r="U1942" s="13">
        <v>2222</v>
      </c>
      <c r="V1942" s="13">
        <v>1371</v>
      </c>
      <c r="W1942" s="37">
        <v>1110</v>
      </c>
      <c r="X1942" s="19"/>
      <c r="AG1942" s="16"/>
    </row>
    <row r="1943" spans="2:33">
      <c r="B1943" s="19"/>
      <c r="P1943" s="16"/>
      <c r="Q1943" s="36" t="s">
        <v>40</v>
      </c>
      <c r="R1943" s="13">
        <v>0</v>
      </c>
      <c r="S1943" s="13">
        <v>0</v>
      </c>
      <c r="T1943" s="13">
        <v>3262</v>
      </c>
      <c r="U1943" s="13">
        <v>1816</v>
      </c>
      <c r="V1943" s="13">
        <v>0</v>
      </c>
      <c r="W1943" s="37">
        <v>1209</v>
      </c>
      <c r="X1943" s="19"/>
      <c r="AG1943" s="16"/>
    </row>
    <row r="1944" spans="2:33">
      <c r="B1944" s="19"/>
      <c r="P1944" s="16"/>
      <c r="Q1944" s="36" t="s">
        <v>41</v>
      </c>
      <c r="R1944" s="13">
        <v>3616</v>
      </c>
      <c r="S1944" s="13">
        <v>1922</v>
      </c>
      <c r="T1944" s="13">
        <v>0</v>
      </c>
      <c r="U1944" s="13">
        <v>0</v>
      </c>
      <c r="V1944" s="13">
        <v>0</v>
      </c>
      <c r="W1944" s="37">
        <v>1279</v>
      </c>
      <c r="X1944" s="19"/>
      <c r="AG1944" s="16"/>
    </row>
    <row r="1945" spans="2:33">
      <c r="B1945" s="19"/>
      <c r="P1945" s="16"/>
      <c r="Q1945" s="36" t="s">
        <v>551</v>
      </c>
      <c r="R1945" s="13">
        <v>0</v>
      </c>
      <c r="S1945" s="13">
        <v>0</v>
      </c>
      <c r="T1945" s="13">
        <v>342</v>
      </c>
      <c r="U1945" s="13">
        <v>188</v>
      </c>
      <c r="V1945" s="13">
        <v>0</v>
      </c>
      <c r="W1945" s="37">
        <v>274</v>
      </c>
      <c r="X1945" s="19"/>
      <c r="AG1945" s="16"/>
    </row>
    <row r="1946" spans="2:33">
      <c r="B1946" s="19"/>
      <c r="P1946" s="16"/>
      <c r="Q1946" s="36" t="s">
        <v>552</v>
      </c>
      <c r="R1946" s="13">
        <v>0</v>
      </c>
      <c r="S1946" s="13">
        <v>0</v>
      </c>
      <c r="T1946" s="13">
        <v>3169</v>
      </c>
      <c r="U1946" s="13">
        <v>1708</v>
      </c>
      <c r="V1946" s="13">
        <v>0</v>
      </c>
      <c r="W1946" s="37">
        <v>1305</v>
      </c>
      <c r="X1946" s="19"/>
      <c r="AG1946" s="16"/>
    </row>
    <row r="1947" spans="2:33">
      <c r="B1947" s="19"/>
      <c r="P1947" s="16"/>
      <c r="Q1947" s="36" t="s">
        <v>43</v>
      </c>
      <c r="R1947" s="13">
        <v>0</v>
      </c>
      <c r="S1947" s="13">
        <v>0</v>
      </c>
      <c r="T1947" s="13">
        <v>2108</v>
      </c>
      <c r="U1947" s="13">
        <v>1233</v>
      </c>
      <c r="V1947" s="13">
        <v>0</v>
      </c>
      <c r="W1947" s="37">
        <v>764</v>
      </c>
      <c r="X1947" s="19"/>
      <c r="AG1947" s="16"/>
    </row>
    <row r="1948" spans="2:33">
      <c r="B1948" s="19"/>
      <c r="P1948" s="16"/>
      <c r="Q1948" s="36" t="s">
        <v>44</v>
      </c>
      <c r="R1948" s="13">
        <v>0</v>
      </c>
      <c r="S1948" s="13">
        <v>0</v>
      </c>
      <c r="T1948" s="13">
        <v>0</v>
      </c>
      <c r="U1948" s="13">
        <v>1083</v>
      </c>
      <c r="V1948" s="13">
        <v>714</v>
      </c>
      <c r="W1948" s="37">
        <v>742</v>
      </c>
      <c r="X1948" s="19"/>
      <c r="AG1948" s="16"/>
    </row>
    <row r="1949" spans="2:33">
      <c r="B1949" s="19"/>
      <c r="P1949" s="16"/>
      <c r="Q1949" s="36" t="s">
        <v>539</v>
      </c>
      <c r="R1949" s="13">
        <v>0</v>
      </c>
      <c r="S1949" s="13">
        <v>1338</v>
      </c>
      <c r="T1949" s="13">
        <v>846</v>
      </c>
      <c r="U1949" s="13">
        <v>0</v>
      </c>
      <c r="V1949" s="13">
        <v>0</v>
      </c>
      <c r="W1949" s="37">
        <v>752</v>
      </c>
      <c r="X1949" s="19"/>
      <c r="AG1949" s="16"/>
    </row>
    <row r="1950" spans="2:33">
      <c r="B1950" s="19"/>
      <c r="P1950" s="16"/>
      <c r="Q1950" s="36" t="s">
        <v>540</v>
      </c>
      <c r="R1950" s="13">
        <v>0</v>
      </c>
      <c r="S1950" s="13">
        <v>415</v>
      </c>
      <c r="T1950" s="13">
        <v>251</v>
      </c>
      <c r="U1950" s="13">
        <v>0</v>
      </c>
      <c r="V1950" s="13">
        <v>0</v>
      </c>
      <c r="W1950" s="37">
        <v>281</v>
      </c>
      <c r="X1950" s="19"/>
      <c r="AG1950" s="16"/>
    </row>
    <row r="1951" spans="2:33" ht="15" thickBot="1">
      <c r="B1951" s="20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7"/>
      <c r="Q1951" s="36" t="s">
        <v>46</v>
      </c>
      <c r="R1951" s="13">
        <v>2065</v>
      </c>
      <c r="S1951" s="13">
        <v>1109</v>
      </c>
      <c r="T1951" s="13">
        <v>0</v>
      </c>
      <c r="U1951" s="13">
        <v>0</v>
      </c>
      <c r="V1951" s="13">
        <v>0</v>
      </c>
      <c r="W1951" s="37">
        <v>965</v>
      </c>
      <c r="X1951" s="20"/>
      <c r="Y1951" s="15"/>
      <c r="Z1951" s="15"/>
      <c r="AA1951" s="15"/>
      <c r="AB1951" s="15"/>
      <c r="AC1951" s="15"/>
      <c r="AD1951" s="15"/>
      <c r="AE1951" s="15"/>
      <c r="AF1951" s="15"/>
      <c r="AG1951" s="17"/>
    </row>
    <row r="1953" spans="2:33" ht="15" thickBot="1">
      <c r="B1953" s="25" t="s">
        <v>532</v>
      </c>
      <c r="C1953" s="26" t="s">
        <v>533</v>
      </c>
      <c r="D1953" s="26" t="s">
        <v>908</v>
      </c>
      <c r="E1953" s="26" t="s">
        <v>909</v>
      </c>
      <c r="F1953" s="26" t="s">
        <v>910</v>
      </c>
      <c r="G1953" s="26" t="s">
        <v>911</v>
      </c>
      <c r="H1953" s="27" t="s">
        <v>86</v>
      </c>
      <c r="I1953" s="26" t="s">
        <v>912</v>
      </c>
      <c r="J1953" s="27" t="s">
        <v>87</v>
      </c>
      <c r="K1953" s="29">
        <v>34</v>
      </c>
      <c r="L1953" s="29">
        <v>34</v>
      </c>
      <c r="M1953" s="29">
        <v>34</v>
      </c>
      <c r="N1953" s="29">
        <v>34</v>
      </c>
      <c r="O1953" s="29">
        <v>34</v>
      </c>
      <c r="P1953" s="40">
        <v>34</v>
      </c>
      <c r="Q1953" s="1" t="s">
        <v>35</v>
      </c>
      <c r="R1953" s="2">
        <v>2869</v>
      </c>
      <c r="S1953" s="2">
        <v>778</v>
      </c>
      <c r="T1953" s="2">
        <v>0</v>
      </c>
      <c r="U1953" s="2">
        <v>0</v>
      </c>
      <c r="V1953" s="2">
        <v>0</v>
      </c>
      <c r="W1953" s="2">
        <v>1039</v>
      </c>
      <c r="X1953" s="43">
        <f>SUM(R1953:W1965)</f>
        <v>37829</v>
      </c>
      <c r="Y1953" s="10">
        <v>46204</v>
      </c>
      <c r="Z1953" s="11">
        <v>0.21915174234314722</v>
      </c>
      <c r="AA1953" s="11">
        <v>0.18274192037163289</v>
      </c>
      <c r="AB1953" s="11">
        <v>0.14726787607165501</v>
      </c>
      <c r="AC1953" s="11">
        <v>0.1287497680516306</v>
      </c>
      <c r="AD1953" s="11">
        <v>0.11447820346270936</v>
      </c>
      <c r="AE1953" s="11">
        <v>0.13149780089791482</v>
      </c>
      <c r="AF1953" s="11">
        <v>0.2</v>
      </c>
      <c r="AG1953" s="11">
        <v>0.23899999999999999</v>
      </c>
    </row>
    <row r="1954" spans="2:33">
      <c r="B1954" s="53" t="s">
        <v>2193</v>
      </c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35"/>
      <c r="Q1954" s="36" t="s">
        <v>36</v>
      </c>
      <c r="R1954" s="13">
        <v>2652</v>
      </c>
      <c r="S1954" s="13">
        <v>807</v>
      </c>
      <c r="T1954" s="13">
        <v>0</v>
      </c>
      <c r="U1954" s="13">
        <v>0</v>
      </c>
      <c r="V1954" s="13">
        <v>0</v>
      </c>
      <c r="W1954" s="37">
        <v>1403</v>
      </c>
      <c r="X1954" s="18"/>
      <c r="Y1954" s="14"/>
      <c r="Z1954" s="14"/>
      <c r="AA1954" s="14"/>
      <c r="AB1954" s="14"/>
      <c r="AC1954" s="14"/>
      <c r="AD1954" s="14"/>
      <c r="AE1954" s="14"/>
      <c r="AF1954" s="14"/>
      <c r="AG1954" s="35"/>
    </row>
    <row r="1955" spans="2:33">
      <c r="B1955" s="19"/>
      <c r="P1955" s="16"/>
      <c r="Q1955" s="36" t="s">
        <v>37</v>
      </c>
      <c r="R1955" s="13">
        <v>0</v>
      </c>
      <c r="S1955" s="13">
        <v>2593</v>
      </c>
      <c r="T1955" s="13">
        <v>746</v>
      </c>
      <c r="U1955" s="13">
        <v>0</v>
      </c>
      <c r="V1955" s="13">
        <v>0</v>
      </c>
      <c r="W1955" s="37">
        <v>1010</v>
      </c>
      <c r="X1955" s="19"/>
      <c r="AG1955" s="16"/>
    </row>
    <row r="1956" spans="2:33">
      <c r="B1956" s="19"/>
      <c r="P1956" s="16"/>
      <c r="Q1956" s="36" t="s">
        <v>38</v>
      </c>
      <c r="R1956" s="13">
        <v>0</v>
      </c>
      <c r="S1956" s="13">
        <v>0</v>
      </c>
      <c r="T1956" s="13">
        <v>0</v>
      </c>
      <c r="U1956" s="13">
        <v>2721</v>
      </c>
      <c r="V1956" s="13">
        <v>630</v>
      </c>
      <c r="W1956" s="37">
        <v>819</v>
      </c>
      <c r="X1956" s="19"/>
      <c r="AG1956" s="16"/>
    </row>
    <row r="1957" spans="2:33">
      <c r="B1957" s="19"/>
      <c r="P1957" s="16"/>
      <c r="Q1957" s="36" t="s">
        <v>39</v>
      </c>
      <c r="R1957" s="13">
        <v>0</v>
      </c>
      <c r="S1957" s="13">
        <v>0</v>
      </c>
      <c r="T1957" s="13">
        <v>0</v>
      </c>
      <c r="U1957" s="13">
        <v>1184</v>
      </c>
      <c r="V1957" s="13">
        <v>258</v>
      </c>
      <c r="W1957" s="37">
        <v>785</v>
      </c>
      <c r="X1957" s="19"/>
      <c r="AG1957" s="16"/>
    </row>
    <row r="1958" spans="2:33">
      <c r="B1958" s="19"/>
      <c r="P1958" s="16"/>
      <c r="Q1958" s="36" t="s">
        <v>40</v>
      </c>
      <c r="R1958" s="13">
        <v>0</v>
      </c>
      <c r="S1958" s="13">
        <v>0</v>
      </c>
      <c r="T1958" s="13">
        <v>1125</v>
      </c>
      <c r="U1958" s="13">
        <v>311</v>
      </c>
      <c r="V1958" s="13">
        <v>0</v>
      </c>
      <c r="W1958" s="37">
        <v>603</v>
      </c>
      <c r="X1958" s="19"/>
      <c r="AG1958" s="16"/>
    </row>
    <row r="1959" spans="2:33">
      <c r="B1959" s="19"/>
      <c r="P1959" s="16"/>
      <c r="Q1959" s="36" t="s">
        <v>41</v>
      </c>
      <c r="R1959" s="13">
        <v>1533</v>
      </c>
      <c r="S1959" s="13">
        <v>239</v>
      </c>
      <c r="T1959" s="13">
        <v>0</v>
      </c>
      <c r="U1959" s="13">
        <v>0</v>
      </c>
      <c r="V1959" s="13">
        <v>0</v>
      </c>
      <c r="W1959" s="37">
        <v>550</v>
      </c>
      <c r="X1959" s="19"/>
      <c r="AG1959" s="16"/>
    </row>
    <row r="1960" spans="2:33">
      <c r="B1960" s="19"/>
      <c r="P1960" s="16"/>
      <c r="Q1960" s="36" t="s">
        <v>551</v>
      </c>
      <c r="R1960" s="13">
        <v>0</v>
      </c>
      <c r="S1960" s="13">
        <v>0</v>
      </c>
      <c r="T1960" s="13">
        <v>129</v>
      </c>
      <c r="U1960" s="13">
        <v>15</v>
      </c>
      <c r="V1960" s="13">
        <v>0</v>
      </c>
      <c r="W1960" s="37">
        <v>106</v>
      </c>
      <c r="X1960" s="19"/>
      <c r="AG1960" s="16"/>
    </row>
    <row r="1961" spans="2:33">
      <c r="B1961" s="19"/>
      <c r="P1961" s="16"/>
      <c r="Q1961" s="36" t="s">
        <v>552</v>
      </c>
      <c r="R1961" s="13">
        <v>0</v>
      </c>
      <c r="S1961" s="13">
        <v>0</v>
      </c>
      <c r="T1961" s="13">
        <v>1155</v>
      </c>
      <c r="U1961" s="13">
        <v>190</v>
      </c>
      <c r="V1961" s="13">
        <v>0</v>
      </c>
      <c r="W1961" s="37">
        <v>454</v>
      </c>
      <c r="X1961" s="19"/>
      <c r="AG1961" s="16"/>
    </row>
    <row r="1962" spans="2:33">
      <c r="B1962" s="19"/>
      <c r="P1962" s="16"/>
      <c r="Q1962" s="36" t="s">
        <v>43</v>
      </c>
      <c r="R1962" s="13">
        <v>0</v>
      </c>
      <c r="S1962" s="13">
        <v>0</v>
      </c>
      <c r="T1962" s="13">
        <v>973</v>
      </c>
      <c r="U1962" s="13">
        <v>246</v>
      </c>
      <c r="V1962" s="13">
        <v>0</v>
      </c>
      <c r="W1962" s="37">
        <v>483</v>
      </c>
      <c r="X1962" s="19"/>
      <c r="AG1962" s="16"/>
    </row>
    <row r="1963" spans="2:33">
      <c r="B1963" s="19"/>
      <c r="P1963" s="16"/>
      <c r="Q1963" s="36" t="s">
        <v>44</v>
      </c>
      <c r="R1963" s="13">
        <v>0</v>
      </c>
      <c r="S1963" s="13">
        <v>0</v>
      </c>
      <c r="T1963" s="13">
        <v>0</v>
      </c>
      <c r="U1963" s="13">
        <v>1208</v>
      </c>
      <c r="V1963" s="13">
        <v>253</v>
      </c>
      <c r="W1963" s="37">
        <v>554</v>
      </c>
      <c r="X1963" s="19"/>
      <c r="AG1963" s="16"/>
    </row>
    <row r="1964" spans="2:33">
      <c r="B1964" s="19"/>
      <c r="P1964" s="16"/>
      <c r="Q1964" s="36" t="s">
        <v>45</v>
      </c>
      <c r="R1964" s="13">
        <v>0</v>
      </c>
      <c r="S1964" s="13">
        <v>1817</v>
      </c>
      <c r="T1964" s="13">
        <v>442</v>
      </c>
      <c r="U1964" s="13">
        <v>0</v>
      </c>
      <c r="V1964" s="13">
        <v>0</v>
      </c>
      <c r="W1964" s="37">
        <v>835</v>
      </c>
      <c r="X1964" s="19"/>
      <c r="AG1964" s="16"/>
    </row>
    <row r="1965" spans="2:33" ht="15" thickBot="1">
      <c r="B1965" s="20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7"/>
      <c r="Q1965" s="36" t="s">
        <v>46</v>
      </c>
      <c r="R1965" s="13">
        <v>2498</v>
      </c>
      <c r="S1965" s="13">
        <v>589</v>
      </c>
      <c r="T1965" s="13">
        <v>0</v>
      </c>
      <c r="U1965" s="13">
        <v>0</v>
      </c>
      <c r="V1965" s="13">
        <v>0</v>
      </c>
      <c r="W1965" s="37">
        <v>1227</v>
      </c>
      <c r="X1965" s="20"/>
      <c r="Y1965" s="15"/>
      <c r="Z1965" s="15"/>
      <c r="AA1965" s="15"/>
      <c r="AB1965" s="15"/>
      <c r="AC1965" s="15"/>
      <c r="AD1965" s="15"/>
      <c r="AE1965" s="15"/>
      <c r="AF1965" s="15"/>
      <c r="AG1965" s="17"/>
    </row>
    <row r="1967" spans="2:33" ht="15" thickBot="1">
      <c r="B1967" s="25" t="s">
        <v>532</v>
      </c>
      <c r="C1967" s="26" t="s">
        <v>533</v>
      </c>
      <c r="D1967" s="26" t="s">
        <v>913</v>
      </c>
      <c r="E1967" s="26" t="s">
        <v>914</v>
      </c>
      <c r="F1967" s="26" t="s">
        <v>915</v>
      </c>
      <c r="G1967" s="26" t="s">
        <v>703</v>
      </c>
      <c r="H1967" s="27" t="s">
        <v>677</v>
      </c>
      <c r="I1967" s="26" t="s">
        <v>916</v>
      </c>
      <c r="J1967" s="27" t="s">
        <v>87</v>
      </c>
      <c r="K1967" s="29">
        <v>20</v>
      </c>
      <c r="L1967" s="29">
        <v>20</v>
      </c>
      <c r="M1967" s="29">
        <v>20</v>
      </c>
      <c r="N1967" s="29">
        <v>20</v>
      </c>
      <c r="O1967" s="29">
        <v>20</v>
      </c>
      <c r="P1967" s="40">
        <v>31.049999237060501</v>
      </c>
      <c r="Q1967" s="1" t="s">
        <v>35</v>
      </c>
      <c r="R1967" s="2">
        <v>1961</v>
      </c>
      <c r="S1967" s="2">
        <v>1076</v>
      </c>
      <c r="T1967" s="2">
        <v>0</v>
      </c>
      <c r="U1967" s="2">
        <v>0</v>
      </c>
      <c r="V1967" s="2">
        <v>0</v>
      </c>
      <c r="W1967" s="2">
        <v>827</v>
      </c>
      <c r="X1967" s="43">
        <f>SUM(R1967:W1980)</f>
        <v>37201</v>
      </c>
      <c r="Y1967" s="10">
        <v>46204</v>
      </c>
      <c r="Z1967" s="11">
        <v>0.21915174234314722</v>
      </c>
      <c r="AA1967" s="11">
        <v>0.18274192037163289</v>
      </c>
      <c r="AB1967" s="11">
        <v>0.14726787607165501</v>
      </c>
      <c r="AC1967" s="11">
        <v>0.1287497680516306</v>
      </c>
      <c r="AD1967" s="11">
        <v>0.11447820346270936</v>
      </c>
      <c r="AE1967" s="11">
        <v>0.13149780089791482</v>
      </c>
      <c r="AF1967" s="11">
        <v>0.2</v>
      </c>
      <c r="AG1967" s="11">
        <v>0.23899999999999999</v>
      </c>
    </row>
    <row r="1968" spans="2:33">
      <c r="B1968" s="53" t="s">
        <v>2193</v>
      </c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35"/>
      <c r="Q1968" s="36" t="s">
        <v>36</v>
      </c>
      <c r="R1968" s="13">
        <v>1359</v>
      </c>
      <c r="S1968" s="13">
        <v>736</v>
      </c>
      <c r="T1968" s="13">
        <v>0</v>
      </c>
      <c r="U1968" s="13">
        <v>0</v>
      </c>
      <c r="V1968" s="13">
        <v>0</v>
      </c>
      <c r="W1968" s="37">
        <v>620</v>
      </c>
      <c r="X1968" s="18"/>
      <c r="Y1968" s="14"/>
      <c r="Z1968" s="14"/>
      <c r="AA1968" s="14"/>
      <c r="AB1968" s="14"/>
      <c r="AC1968" s="14"/>
      <c r="AD1968" s="14"/>
      <c r="AE1968" s="14"/>
      <c r="AF1968" s="14"/>
      <c r="AG1968" s="35"/>
    </row>
    <row r="1969" spans="2:33">
      <c r="B1969" s="19"/>
      <c r="P1969" s="16"/>
      <c r="Q1969" s="36" t="s">
        <v>37</v>
      </c>
      <c r="R1969" s="13">
        <v>0</v>
      </c>
      <c r="S1969" s="13">
        <v>1184</v>
      </c>
      <c r="T1969" s="13">
        <v>709</v>
      </c>
      <c r="U1969" s="13">
        <v>0</v>
      </c>
      <c r="V1969" s="13">
        <v>0</v>
      </c>
      <c r="W1969" s="37">
        <v>653</v>
      </c>
      <c r="X1969" s="19"/>
      <c r="AG1969" s="16"/>
    </row>
    <row r="1970" spans="2:33">
      <c r="B1970" s="19"/>
      <c r="P1970" s="16"/>
      <c r="Q1970" s="36" t="s">
        <v>38</v>
      </c>
      <c r="R1970" s="13">
        <v>0</v>
      </c>
      <c r="S1970" s="13">
        <v>0</v>
      </c>
      <c r="T1970" s="13">
        <v>0</v>
      </c>
      <c r="U1970" s="13">
        <v>1036</v>
      </c>
      <c r="V1970" s="13">
        <v>646</v>
      </c>
      <c r="W1970" s="37">
        <v>548</v>
      </c>
      <c r="X1970" s="19"/>
      <c r="AG1970" s="16"/>
    </row>
    <row r="1971" spans="2:33">
      <c r="B1971" s="19"/>
      <c r="P1971" s="16"/>
      <c r="Q1971" s="36" t="s">
        <v>39</v>
      </c>
      <c r="R1971" s="13">
        <v>0</v>
      </c>
      <c r="S1971" s="13">
        <v>0</v>
      </c>
      <c r="T1971" s="13">
        <v>0</v>
      </c>
      <c r="U1971" s="13">
        <v>1197</v>
      </c>
      <c r="V1971" s="13">
        <v>748</v>
      </c>
      <c r="W1971" s="37">
        <v>691</v>
      </c>
      <c r="X1971" s="19"/>
      <c r="AG1971" s="16"/>
    </row>
    <row r="1972" spans="2:33">
      <c r="B1972" s="19"/>
      <c r="P1972" s="16"/>
      <c r="Q1972" s="36" t="s">
        <v>40</v>
      </c>
      <c r="R1972" s="13">
        <v>0</v>
      </c>
      <c r="S1972" s="13">
        <v>0</v>
      </c>
      <c r="T1972" s="13">
        <v>1756</v>
      </c>
      <c r="U1972" s="13">
        <v>1150</v>
      </c>
      <c r="V1972" s="13">
        <v>0</v>
      </c>
      <c r="W1972" s="37">
        <v>793</v>
      </c>
      <c r="X1972" s="19"/>
      <c r="AG1972" s="16"/>
    </row>
    <row r="1973" spans="2:33">
      <c r="B1973" s="19"/>
      <c r="P1973" s="16"/>
      <c r="Q1973" s="36" t="s">
        <v>41</v>
      </c>
      <c r="R1973" s="13">
        <v>1863</v>
      </c>
      <c r="S1973" s="13">
        <v>1166</v>
      </c>
      <c r="T1973" s="13">
        <v>0</v>
      </c>
      <c r="U1973" s="13">
        <v>0</v>
      </c>
      <c r="V1973" s="13">
        <v>0</v>
      </c>
      <c r="W1973" s="37">
        <v>852</v>
      </c>
      <c r="X1973" s="19"/>
      <c r="AG1973" s="16"/>
    </row>
    <row r="1974" spans="2:33">
      <c r="B1974" s="19"/>
      <c r="P1974" s="16"/>
      <c r="Q1974" s="36" t="s">
        <v>551</v>
      </c>
      <c r="R1974" s="13">
        <v>0</v>
      </c>
      <c r="S1974" s="13">
        <v>0</v>
      </c>
      <c r="T1974" s="13">
        <v>163</v>
      </c>
      <c r="U1974" s="13">
        <v>121</v>
      </c>
      <c r="V1974" s="13">
        <v>0</v>
      </c>
      <c r="W1974" s="37">
        <v>178</v>
      </c>
      <c r="X1974" s="19"/>
      <c r="AG1974" s="16"/>
    </row>
    <row r="1975" spans="2:33">
      <c r="B1975" s="19"/>
      <c r="P1975" s="16"/>
      <c r="Q1975" s="36" t="s">
        <v>552</v>
      </c>
      <c r="R1975" s="13">
        <v>0</v>
      </c>
      <c r="S1975" s="13">
        <v>0</v>
      </c>
      <c r="T1975" s="13">
        <v>1682</v>
      </c>
      <c r="U1975" s="13">
        <v>968</v>
      </c>
      <c r="V1975" s="13">
        <v>0</v>
      </c>
      <c r="W1975" s="37">
        <v>837</v>
      </c>
      <c r="X1975" s="19"/>
      <c r="AG1975" s="16"/>
    </row>
    <row r="1976" spans="2:33">
      <c r="B1976" s="19"/>
      <c r="P1976" s="16"/>
      <c r="Q1976" s="36" t="s">
        <v>43</v>
      </c>
      <c r="R1976" s="13">
        <v>0</v>
      </c>
      <c r="S1976" s="13">
        <v>0</v>
      </c>
      <c r="T1976" s="13">
        <v>1406</v>
      </c>
      <c r="U1976" s="13">
        <v>907</v>
      </c>
      <c r="V1976" s="13">
        <v>0</v>
      </c>
      <c r="W1976" s="37">
        <v>850</v>
      </c>
      <c r="X1976" s="19"/>
      <c r="AG1976" s="16"/>
    </row>
    <row r="1977" spans="2:33">
      <c r="B1977" s="19"/>
      <c r="P1977" s="16"/>
      <c r="Q1977" s="36" t="s">
        <v>44</v>
      </c>
      <c r="R1977" s="13">
        <v>0</v>
      </c>
      <c r="S1977" s="13">
        <v>0</v>
      </c>
      <c r="T1977" s="13">
        <v>0</v>
      </c>
      <c r="U1977" s="13">
        <v>1266</v>
      </c>
      <c r="V1977" s="13">
        <v>797</v>
      </c>
      <c r="W1977" s="37">
        <v>610</v>
      </c>
      <c r="X1977" s="19"/>
      <c r="AG1977" s="16"/>
    </row>
    <row r="1978" spans="2:33">
      <c r="B1978" s="19"/>
      <c r="P1978" s="16"/>
      <c r="Q1978" s="36" t="s">
        <v>539</v>
      </c>
      <c r="R1978" s="13">
        <v>0</v>
      </c>
      <c r="S1978" s="13">
        <v>944</v>
      </c>
      <c r="T1978" s="13">
        <v>599</v>
      </c>
      <c r="U1978" s="13">
        <v>0</v>
      </c>
      <c r="V1978" s="13">
        <v>0</v>
      </c>
      <c r="W1978" s="37">
        <v>596</v>
      </c>
      <c r="X1978" s="19"/>
      <c r="AG1978" s="16"/>
    </row>
    <row r="1979" spans="2:33">
      <c r="B1979" s="19"/>
      <c r="P1979" s="16"/>
      <c r="Q1979" s="36" t="s">
        <v>540</v>
      </c>
      <c r="R1979" s="13">
        <v>0</v>
      </c>
      <c r="S1979" s="13">
        <v>182</v>
      </c>
      <c r="T1979" s="13">
        <v>145</v>
      </c>
      <c r="U1979" s="13">
        <v>0</v>
      </c>
      <c r="V1979" s="13">
        <v>0</v>
      </c>
      <c r="W1979" s="37">
        <v>179</v>
      </c>
      <c r="X1979" s="19"/>
      <c r="AG1979" s="16"/>
    </row>
    <row r="1980" spans="2:33" ht="15" thickBot="1">
      <c r="B1980" s="20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7"/>
      <c r="Q1980" s="36" t="s">
        <v>46</v>
      </c>
      <c r="R1980" s="13">
        <v>1582</v>
      </c>
      <c r="S1980" s="13">
        <v>960</v>
      </c>
      <c r="T1980" s="13">
        <v>0</v>
      </c>
      <c r="U1980" s="13">
        <v>0</v>
      </c>
      <c r="V1980" s="13">
        <v>0</v>
      </c>
      <c r="W1980" s="37">
        <v>658</v>
      </c>
      <c r="X1980" s="20"/>
      <c r="Y1980" s="15"/>
      <c r="Z1980" s="15"/>
      <c r="AA1980" s="15"/>
      <c r="AB1980" s="15"/>
      <c r="AC1980" s="15"/>
      <c r="AD1980" s="15"/>
      <c r="AE1980" s="15"/>
      <c r="AF1980" s="15"/>
      <c r="AG1980" s="17"/>
    </row>
    <row r="1982" spans="2:33" ht="15" thickBot="1">
      <c r="B1982" s="25" t="s">
        <v>532</v>
      </c>
      <c r="C1982" s="26" t="s">
        <v>533</v>
      </c>
      <c r="D1982" s="26" t="s">
        <v>917</v>
      </c>
      <c r="E1982" s="26" t="s">
        <v>918</v>
      </c>
      <c r="F1982" s="26" t="s">
        <v>919</v>
      </c>
      <c r="G1982" s="26" t="s">
        <v>920</v>
      </c>
      <c r="H1982" s="27" t="s">
        <v>677</v>
      </c>
      <c r="I1982" s="26" t="s">
        <v>921</v>
      </c>
      <c r="J1982" s="27" t="s">
        <v>87</v>
      </c>
      <c r="K1982" s="29">
        <v>10</v>
      </c>
      <c r="L1982" s="29">
        <v>10</v>
      </c>
      <c r="M1982" s="29">
        <v>10</v>
      </c>
      <c r="N1982" s="29">
        <v>10</v>
      </c>
      <c r="O1982" s="29">
        <v>10</v>
      </c>
      <c r="P1982" s="40">
        <v>15.001000404357899</v>
      </c>
      <c r="Q1982" s="1" t="s">
        <v>35</v>
      </c>
      <c r="R1982" s="2">
        <v>767</v>
      </c>
      <c r="S1982" s="2">
        <v>290</v>
      </c>
      <c r="T1982" s="2">
        <v>0</v>
      </c>
      <c r="U1982" s="2">
        <v>0</v>
      </c>
      <c r="V1982" s="2">
        <v>0</v>
      </c>
      <c r="W1982" s="2">
        <v>463</v>
      </c>
      <c r="X1982" s="43">
        <f>SUM(R1982:W1995)</f>
        <v>16298</v>
      </c>
      <c r="Y1982" s="10">
        <v>46204</v>
      </c>
      <c r="Z1982" s="11">
        <v>0.21915174234314722</v>
      </c>
      <c r="AA1982" s="11">
        <v>0.18274192037163289</v>
      </c>
      <c r="AB1982" s="11">
        <v>0.14726787607165501</v>
      </c>
      <c r="AC1982" s="11">
        <v>0.1287497680516306</v>
      </c>
      <c r="AD1982" s="11">
        <v>0.11447820346270936</v>
      </c>
      <c r="AE1982" s="11">
        <v>0.13149780089791482</v>
      </c>
      <c r="AF1982" s="11">
        <v>0.2</v>
      </c>
      <c r="AG1982" s="11">
        <v>0.23899999999999999</v>
      </c>
    </row>
    <row r="1983" spans="2:33">
      <c r="B1983" s="53" t="s">
        <v>2193</v>
      </c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35"/>
      <c r="Q1983" s="36" t="s">
        <v>36</v>
      </c>
      <c r="R1983" s="13">
        <v>682</v>
      </c>
      <c r="S1983" s="13">
        <v>265</v>
      </c>
      <c r="T1983" s="13">
        <v>0</v>
      </c>
      <c r="U1983" s="13">
        <v>0</v>
      </c>
      <c r="V1983" s="13">
        <v>0</v>
      </c>
      <c r="W1983" s="37">
        <v>478</v>
      </c>
      <c r="X1983" s="18"/>
      <c r="Y1983" s="14"/>
      <c r="Z1983" s="14"/>
      <c r="AA1983" s="14"/>
      <c r="AB1983" s="14"/>
      <c r="AC1983" s="14"/>
      <c r="AD1983" s="14"/>
      <c r="AE1983" s="14"/>
      <c r="AF1983" s="14"/>
      <c r="AG1983" s="35"/>
    </row>
    <row r="1984" spans="2:33">
      <c r="B1984" s="19"/>
      <c r="P1984" s="16"/>
      <c r="Q1984" s="36" t="s">
        <v>37</v>
      </c>
      <c r="R1984" s="13">
        <v>0</v>
      </c>
      <c r="S1984" s="13">
        <v>693</v>
      </c>
      <c r="T1984" s="13">
        <v>256</v>
      </c>
      <c r="U1984" s="13">
        <v>0</v>
      </c>
      <c r="V1984" s="13">
        <v>0</v>
      </c>
      <c r="W1984" s="37">
        <v>453</v>
      </c>
      <c r="X1984" s="19"/>
      <c r="AG1984" s="16"/>
    </row>
    <row r="1985" spans="2:33">
      <c r="B1985" s="19"/>
      <c r="P1985" s="16"/>
      <c r="Q1985" s="36" t="s">
        <v>38</v>
      </c>
      <c r="R1985" s="13">
        <v>0</v>
      </c>
      <c r="S1985" s="13">
        <v>0</v>
      </c>
      <c r="T1985" s="13">
        <v>0</v>
      </c>
      <c r="U1985" s="13">
        <v>519</v>
      </c>
      <c r="V1985" s="13">
        <v>158</v>
      </c>
      <c r="W1985" s="37">
        <v>282</v>
      </c>
      <c r="X1985" s="19"/>
      <c r="AG1985" s="16"/>
    </row>
    <row r="1986" spans="2:33">
      <c r="B1986" s="19"/>
      <c r="P1986" s="16"/>
      <c r="Q1986" s="36" t="s">
        <v>39</v>
      </c>
      <c r="R1986" s="13">
        <v>0</v>
      </c>
      <c r="S1986" s="13">
        <v>0</v>
      </c>
      <c r="T1986" s="13">
        <v>0</v>
      </c>
      <c r="U1986" s="13">
        <v>594</v>
      </c>
      <c r="V1986" s="13">
        <v>176</v>
      </c>
      <c r="W1986" s="37">
        <v>343</v>
      </c>
      <c r="X1986" s="19"/>
      <c r="AG1986" s="16"/>
    </row>
    <row r="1987" spans="2:33">
      <c r="B1987" s="19"/>
      <c r="P1987" s="16"/>
      <c r="Q1987" s="36" t="s">
        <v>40</v>
      </c>
      <c r="R1987" s="13">
        <v>0</v>
      </c>
      <c r="S1987" s="13">
        <v>0</v>
      </c>
      <c r="T1987" s="13">
        <v>800</v>
      </c>
      <c r="U1987" s="13">
        <v>511</v>
      </c>
      <c r="V1987" s="13">
        <v>0</v>
      </c>
      <c r="W1987" s="37">
        <v>315</v>
      </c>
      <c r="X1987" s="19"/>
      <c r="AG1987" s="16"/>
    </row>
    <row r="1988" spans="2:33">
      <c r="B1988" s="19"/>
      <c r="P1988" s="16"/>
      <c r="Q1988" s="36" t="s">
        <v>41</v>
      </c>
      <c r="R1988" s="13">
        <v>835</v>
      </c>
      <c r="S1988" s="13">
        <v>519</v>
      </c>
      <c r="T1988" s="13">
        <v>0</v>
      </c>
      <c r="U1988" s="13">
        <v>0</v>
      </c>
      <c r="V1988" s="13">
        <v>0</v>
      </c>
      <c r="W1988" s="37">
        <v>319</v>
      </c>
      <c r="X1988" s="19"/>
      <c r="AG1988" s="16"/>
    </row>
    <row r="1989" spans="2:33">
      <c r="B1989" s="19"/>
      <c r="P1989" s="16"/>
      <c r="Q1989" s="36" t="s">
        <v>551</v>
      </c>
      <c r="R1989" s="13">
        <v>0</v>
      </c>
      <c r="S1989" s="13">
        <v>0</v>
      </c>
      <c r="T1989" s="13">
        <v>87</v>
      </c>
      <c r="U1989" s="13">
        <v>53</v>
      </c>
      <c r="V1989" s="13">
        <v>0</v>
      </c>
      <c r="W1989" s="37">
        <v>63</v>
      </c>
      <c r="X1989" s="19"/>
      <c r="AG1989" s="16"/>
    </row>
    <row r="1990" spans="2:33">
      <c r="B1990" s="19"/>
      <c r="P1990" s="16"/>
      <c r="Q1990" s="36" t="s">
        <v>552</v>
      </c>
      <c r="R1990" s="13">
        <v>0</v>
      </c>
      <c r="S1990" s="13">
        <v>0</v>
      </c>
      <c r="T1990" s="13">
        <v>736</v>
      </c>
      <c r="U1990" s="13">
        <v>463</v>
      </c>
      <c r="V1990" s="13">
        <v>0</v>
      </c>
      <c r="W1990" s="37">
        <v>289</v>
      </c>
      <c r="X1990" s="19"/>
      <c r="AG1990" s="16"/>
    </row>
    <row r="1991" spans="2:33">
      <c r="B1991" s="19"/>
      <c r="P1991" s="16"/>
      <c r="Q1991" s="36" t="s">
        <v>43</v>
      </c>
      <c r="R1991" s="13">
        <v>0</v>
      </c>
      <c r="S1991" s="13">
        <v>0</v>
      </c>
      <c r="T1991" s="13">
        <v>655</v>
      </c>
      <c r="U1991" s="13">
        <v>232</v>
      </c>
      <c r="V1991" s="13">
        <v>0</v>
      </c>
      <c r="W1991" s="37">
        <v>318</v>
      </c>
      <c r="X1991" s="19"/>
      <c r="AG1991" s="16"/>
    </row>
    <row r="1992" spans="2:33">
      <c r="B1992" s="19"/>
      <c r="P1992" s="16"/>
      <c r="Q1992" s="36" t="s">
        <v>44</v>
      </c>
      <c r="R1992" s="13">
        <v>0</v>
      </c>
      <c r="S1992" s="13">
        <v>0</v>
      </c>
      <c r="T1992" s="13">
        <v>0</v>
      </c>
      <c r="U1992" s="13">
        <v>640</v>
      </c>
      <c r="V1992" s="13">
        <v>191</v>
      </c>
      <c r="W1992" s="37">
        <v>300</v>
      </c>
      <c r="X1992" s="19"/>
      <c r="AG1992" s="16"/>
    </row>
    <row r="1993" spans="2:33">
      <c r="B1993" s="19"/>
      <c r="P1993" s="16"/>
      <c r="Q1993" s="36" t="s">
        <v>539</v>
      </c>
      <c r="R1993" s="13">
        <v>0</v>
      </c>
      <c r="S1993" s="13">
        <v>522</v>
      </c>
      <c r="T1993" s="13">
        <v>162</v>
      </c>
      <c r="U1993" s="13">
        <v>0</v>
      </c>
      <c r="V1993" s="13">
        <v>0</v>
      </c>
      <c r="W1993" s="37">
        <v>274</v>
      </c>
      <c r="X1993" s="19"/>
      <c r="AG1993" s="16"/>
    </row>
    <row r="1994" spans="2:33">
      <c r="B1994" s="19"/>
      <c r="P1994" s="16"/>
      <c r="Q1994" s="36" t="s">
        <v>540</v>
      </c>
      <c r="R1994" s="13">
        <v>0</v>
      </c>
      <c r="S1994" s="13">
        <v>108</v>
      </c>
      <c r="T1994" s="13">
        <v>35</v>
      </c>
      <c r="U1994" s="13">
        <v>0</v>
      </c>
      <c r="V1994" s="13">
        <v>0</v>
      </c>
      <c r="W1994" s="37">
        <v>77</v>
      </c>
      <c r="X1994" s="19"/>
      <c r="AG1994" s="16"/>
    </row>
    <row r="1995" spans="2:33" ht="15" thickBot="1">
      <c r="B1995" s="20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7"/>
      <c r="Q1995" s="36" t="s">
        <v>46</v>
      </c>
      <c r="R1995" s="13">
        <v>724</v>
      </c>
      <c r="S1995" s="13">
        <v>266</v>
      </c>
      <c r="T1995" s="13">
        <v>0</v>
      </c>
      <c r="U1995" s="13">
        <v>0</v>
      </c>
      <c r="V1995" s="13">
        <v>0</v>
      </c>
      <c r="W1995" s="37">
        <v>385</v>
      </c>
      <c r="X1995" s="20"/>
      <c r="Y1995" s="15"/>
      <c r="Z1995" s="15"/>
      <c r="AA1995" s="15"/>
      <c r="AB1995" s="15"/>
      <c r="AC1995" s="15"/>
      <c r="AD1995" s="15"/>
      <c r="AE1995" s="15"/>
      <c r="AF1995" s="15"/>
      <c r="AG1995" s="17"/>
    </row>
    <row r="1997" spans="2:33" ht="15" thickBot="1">
      <c r="B1997" s="25" t="s">
        <v>532</v>
      </c>
      <c r="C1997" s="26" t="s">
        <v>533</v>
      </c>
      <c r="D1997" s="26" t="s">
        <v>922</v>
      </c>
      <c r="E1997" s="26" t="s">
        <v>923</v>
      </c>
      <c r="F1997" s="26" t="s">
        <v>924</v>
      </c>
      <c r="G1997" s="26" t="s">
        <v>925</v>
      </c>
      <c r="H1997" s="27" t="s">
        <v>683</v>
      </c>
      <c r="I1997" s="26" t="s">
        <v>926</v>
      </c>
      <c r="J1997" s="27" t="s">
        <v>87</v>
      </c>
      <c r="K1997" s="29">
        <v>15.1000003814697</v>
      </c>
      <c r="L1997" s="29">
        <v>15.1000003814697</v>
      </c>
      <c r="M1997" s="29">
        <v>15.1000003814697</v>
      </c>
      <c r="N1997" s="29">
        <v>15.1000003814697</v>
      </c>
      <c r="O1997" s="29">
        <v>15.1000003814697</v>
      </c>
      <c r="P1997" s="40">
        <v>15.1000003814697</v>
      </c>
      <c r="Q1997" s="1" t="s">
        <v>927</v>
      </c>
      <c r="R1997" s="2">
        <v>0</v>
      </c>
      <c r="S1997" s="2">
        <v>0</v>
      </c>
      <c r="T1997" s="2">
        <v>1072</v>
      </c>
      <c r="U1997" s="2">
        <v>631</v>
      </c>
      <c r="V1997" s="2">
        <v>0</v>
      </c>
      <c r="W1997" s="2">
        <v>679</v>
      </c>
      <c r="X1997" s="43">
        <f>SUM(R1997:W2000)</f>
        <v>13425</v>
      </c>
      <c r="Y1997" s="10">
        <v>46204</v>
      </c>
      <c r="Z1997" s="11">
        <v>0.21915174234314722</v>
      </c>
      <c r="AA1997" s="11">
        <v>0.18274192037163289</v>
      </c>
      <c r="AB1997" s="11">
        <v>0.14726787607165501</v>
      </c>
      <c r="AC1997" s="11">
        <v>0.1287497680516306</v>
      </c>
      <c r="AD1997" s="11">
        <v>0.11447820346270936</v>
      </c>
      <c r="AE1997" s="11">
        <v>0.13149780089791482</v>
      </c>
      <c r="AF1997" s="11">
        <v>0.2</v>
      </c>
      <c r="AG1997" s="11">
        <v>0.23899999999999999</v>
      </c>
    </row>
    <row r="1998" spans="2:33">
      <c r="B1998" s="53" t="s">
        <v>2193</v>
      </c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35"/>
      <c r="Q1998" s="36" t="s">
        <v>44</v>
      </c>
      <c r="R1998" s="13">
        <v>0</v>
      </c>
      <c r="S1998" s="13">
        <v>0</v>
      </c>
      <c r="T1998" s="13">
        <v>0</v>
      </c>
      <c r="U1998" s="13">
        <v>2043</v>
      </c>
      <c r="V1998" s="13">
        <v>1112</v>
      </c>
      <c r="W1998" s="37">
        <v>870</v>
      </c>
      <c r="X1998" s="18"/>
      <c r="Y1998" s="14"/>
      <c r="Z1998" s="14"/>
      <c r="AA1998" s="14"/>
      <c r="AB1998" s="14"/>
      <c r="AC1998" s="14"/>
      <c r="AD1998" s="14"/>
      <c r="AE1998" s="14"/>
      <c r="AF1998" s="14"/>
      <c r="AG1998" s="35"/>
    </row>
    <row r="1999" spans="2:33">
      <c r="B1999" s="19"/>
      <c r="P1999" s="16"/>
      <c r="Q1999" s="36" t="s">
        <v>45</v>
      </c>
      <c r="R1999" s="13">
        <v>0</v>
      </c>
      <c r="S1999" s="13">
        <v>1864</v>
      </c>
      <c r="T1999" s="13">
        <v>1027</v>
      </c>
      <c r="U1999" s="13">
        <v>0</v>
      </c>
      <c r="V1999" s="13">
        <v>0</v>
      </c>
      <c r="W1999" s="37">
        <v>697</v>
      </c>
      <c r="X1999" s="19"/>
      <c r="AG1999" s="16"/>
    </row>
    <row r="2000" spans="2:33" ht="15" thickBot="1">
      <c r="B2000" s="20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7"/>
      <c r="Q2000" s="36" t="s">
        <v>46</v>
      </c>
      <c r="R2000" s="13">
        <v>1839</v>
      </c>
      <c r="S2000" s="13">
        <v>1007</v>
      </c>
      <c r="T2000" s="13">
        <v>0</v>
      </c>
      <c r="U2000" s="13">
        <v>0</v>
      </c>
      <c r="V2000" s="13">
        <v>0</v>
      </c>
      <c r="W2000" s="37">
        <v>584</v>
      </c>
      <c r="X2000" s="20"/>
      <c r="Y2000" s="15"/>
      <c r="Z2000" s="15"/>
      <c r="AA2000" s="15"/>
      <c r="AB2000" s="15"/>
      <c r="AC2000" s="15"/>
      <c r="AD2000" s="15"/>
      <c r="AE2000" s="15"/>
      <c r="AF2000" s="15"/>
      <c r="AG2000" s="17"/>
    </row>
    <row r="2002" spans="2:33" ht="15" thickBot="1">
      <c r="B2002" s="25" t="s">
        <v>532</v>
      </c>
      <c r="C2002" s="26" t="s">
        <v>928</v>
      </c>
      <c r="D2002" s="26" t="s">
        <v>929</v>
      </c>
      <c r="E2002" s="26" t="s">
        <v>930</v>
      </c>
      <c r="F2002" s="26" t="s">
        <v>931</v>
      </c>
      <c r="G2002" s="26" t="s">
        <v>932</v>
      </c>
      <c r="H2002" s="27" t="s">
        <v>821</v>
      </c>
      <c r="I2002" s="26" t="s">
        <v>933</v>
      </c>
      <c r="J2002" s="27" t="s">
        <v>87</v>
      </c>
      <c r="K2002" s="29">
        <v>15.0100002288818</v>
      </c>
      <c r="L2002" s="29">
        <v>15.0100002288818</v>
      </c>
      <c r="M2002" s="29">
        <v>15.0100002288818</v>
      </c>
      <c r="N2002" s="29">
        <v>15.0100002288818</v>
      </c>
      <c r="O2002" s="29">
        <v>15.0100002288818</v>
      </c>
      <c r="P2002" s="40">
        <v>15.0100002288818</v>
      </c>
      <c r="Q2002" s="1" t="s">
        <v>35</v>
      </c>
      <c r="R2002" s="2">
        <v>0</v>
      </c>
      <c r="S2002" s="2">
        <v>1599</v>
      </c>
      <c r="T2002" s="2">
        <v>0</v>
      </c>
      <c r="U2002" s="2">
        <v>680</v>
      </c>
      <c r="V2002" s="2">
        <v>0</v>
      </c>
      <c r="W2002" s="2">
        <v>939</v>
      </c>
      <c r="X2002" s="43">
        <f>SUM(R2002:W2014)</f>
        <v>45352</v>
      </c>
      <c r="Y2002" s="10">
        <v>46204</v>
      </c>
      <c r="Z2002" s="11">
        <v>0.21915174234314722</v>
      </c>
      <c r="AA2002" s="11">
        <v>0.18274192037163289</v>
      </c>
      <c r="AB2002" s="11">
        <v>0.14726787607165501</v>
      </c>
      <c r="AC2002" s="11">
        <v>0.1287497680516306</v>
      </c>
      <c r="AD2002" s="11">
        <v>0.11447820346270936</v>
      </c>
      <c r="AE2002" s="11">
        <v>0.13149780089791482</v>
      </c>
      <c r="AF2002" s="11">
        <v>0.2</v>
      </c>
      <c r="AG2002" s="11">
        <v>0.23899999999999999</v>
      </c>
    </row>
    <row r="2003" spans="2:33">
      <c r="B2003" s="53" t="s">
        <v>2193</v>
      </c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35"/>
      <c r="Q2003" s="36" t="s">
        <v>36</v>
      </c>
      <c r="R2003" s="13">
        <v>0</v>
      </c>
      <c r="S2003" s="13">
        <v>1484</v>
      </c>
      <c r="T2003" s="13">
        <v>0</v>
      </c>
      <c r="U2003" s="13">
        <v>612</v>
      </c>
      <c r="V2003" s="13">
        <v>0</v>
      </c>
      <c r="W2003" s="37">
        <v>877</v>
      </c>
      <c r="X2003" s="18"/>
      <c r="Y2003" s="14"/>
      <c r="Z2003" s="14"/>
      <c r="AA2003" s="14"/>
      <c r="AB2003" s="14"/>
      <c r="AC2003" s="14"/>
      <c r="AD2003" s="14"/>
      <c r="AE2003" s="14"/>
      <c r="AF2003" s="14"/>
      <c r="AG2003" s="35"/>
    </row>
    <row r="2004" spans="2:33">
      <c r="B2004" s="19"/>
      <c r="P2004" s="16"/>
      <c r="Q2004" s="36" t="s">
        <v>37</v>
      </c>
      <c r="R2004" s="13">
        <v>0</v>
      </c>
      <c r="S2004" s="13">
        <v>1588</v>
      </c>
      <c r="T2004" s="13">
        <v>0</v>
      </c>
      <c r="U2004" s="13">
        <v>667</v>
      </c>
      <c r="V2004" s="13">
        <v>0</v>
      </c>
      <c r="W2004" s="37">
        <v>1124</v>
      </c>
      <c r="X2004" s="19"/>
      <c r="AG2004" s="16"/>
    </row>
    <row r="2005" spans="2:33">
      <c r="B2005" s="19"/>
      <c r="P2005" s="16"/>
      <c r="Q2005" s="36" t="s">
        <v>38</v>
      </c>
      <c r="R2005" s="13">
        <v>0</v>
      </c>
      <c r="S2005" s="13">
        <v>0</v>
      </c>
      <c r="T2005" s="13">
        <v>0</v>
      </c>
      <c r="U2005" s="13">
        <v>1685</v>
      </c>
      <c r="V2005" s="13">
        <v>695</v>
      </c>
      <c r="W2005" s="37">
        <v>934</v>
      </c>
      <c r="X2005" s="19"/>
      <c r="AG2005" s="16"/>
    </row>
    <row r="2006" spans="2:33">
      <c r="B2006" s="19"/>
      <c r="P2006" s="16"/>
      <c r="Q2006" s="36" t="s">
        <v>39</v>
      </c>
      <c r="R2006" s="13">
        <v>0</v>
      </c>
      <c r="S2006" s="13">
        <v>0</v>
      </c>
      <c r="T2006" s="13">
        <v>0</v>
      </c>
      <c r="U2006" s="13">
        <v>1631</v>
      </c>
      <c r="V2006" s="13">
        <v>702</v>
      </c>
      <c r="W2006" s="37">
        <v>1161</v>
      </c>
      <c r="X2006" s="19"/>
      <c r="AG2006" s="16"/>
    </row>
    <row r="2007" spans="2:33">
      <c r="B2007" s="19"/>
      <c r="P2007" s="16"/>
      <c r="Q2007" s="36" t="s">
        <v>40</v>
      </c>
      <c r="R2007" s="13">
        <v>0</v>
      </c>
      <c r="S2007" s="13">
        <v>0</v>
      </c>
      <c r="T2007" s="13">
        <v>0</v>
      </c>
      <c r="U2007" s="13">
        <v>1724</v>
      </c>
      <c r="V2007" s="13">
        <v>716</v>
      </c>
      <c r="W2007" s="37">
        <v>1122</v>
      </c>
      <c r="X2007" s="19"/>
      <c r="AG2007" s="16"/>
    </row>
    <row r="2008" spans="2:33">
      <c r="B2008" s="19"/>
      <c r="P2008" s="16"/>
      <c r="Q2008" s="36" t="s">
        <v>41</v>
      </c>
      <c r="R2008" s="13">
        <v>2016</v>
      </c>
      <c r="S2008" s="13">
        <v>0</v>
      </c>
      <c r="T2008" s="13">
        <v>848</v>
      </c>
      <c r="U2008" s="13">
        <v>0</v>
      </c>
      <c r="V2008" s="13">
        <v>0</v>
      </c>
      <c r="W2008" s="37">
        <v>1042</v>
      </c>
      <c r="X2008" s="19"/>
      <c r="AG2008" s="16"/>
    </row>
    <row r="2009" spans="2:33">
      <c r="B2009" s="19"/>
      <c r="P2009" s="16"/>
      <c r="Q2009" s="36" t="s">
        <v>551</v>
      </c>
      <c r="R2009" s="13">
        <v>181</v>
      </c>
      <c r="S2009" s="13">
        <v>0</v>
      </c>
      <c r="T2009" s="13">
        <v>89</v>
      </c>
      <c r="U2009" s="13">
        <v>0</v>
      </c>
      <c r="V2009" s="13">
        <v>0</v>
      </c>
      <c r="W2009" s="37">
        <v>249</v>
      </c>
      <c r="X2009" s="19"/>
      <c r="AG2009" s="16"/>
    </row>
    <row r="2010" spans="2:33">
      <c r="B2010" s="19"/>
      <c r="P2010" s="16"/>
      <c r="Q2010" s="36" t="s">
        <v>552</v>
      </c>
      <c r="R2010" s="13">
        <v>1658</v>
      </c>
      <c r="S2010" s="13">
        <v>0</v>
      </c>
      <c r="T2010" s="13">
        <v>772</v>
      </c>
      <c r="U2010" s="13">
        <v>0</v>
      </c>
      <c r="V2010" s="13">
        <v>0</v>
      </c>
      <c r="W2010" s="37">
        <v>1468</v>
      </c>
      <c r="X2010" s="19"/>
      <c r="AG2010" s="16"/>
    </row>
    <row r="2011" spans="2:33">
      <c r="B2011" s="19"/>
      <c r="P2011" s="16"/>
      <c r="Q2011" s="36" t="s">
        <v>43</v>
      </c>
      <c r="R2011" s="13">
        <v>2266</v>
      </c>
      <c r="S2011" s="13">
        <v>0</v>
      </c>
      <c r="T2011" s="13">
        <v>971</v>
      </c>
      <c r="U2011" s="13">
        <v>0</v>
      </c>
      <c r="V2011" s="13">
        <v>0</v>
      </c>
      <c r="W2011" s="37">
        <v>1280</v>
      </c>
      <c r="X2011" s="19"/>
      <c r="AG2011" s="16"/>
    </row>
    <row r="2012" spans="2:33">
      <c r="B2012" s="19"/>
      <c r="P2012" s="16"/>
      <c r="Q2012" s="36" t="s">
        <v>44</v>
      </c>
      <c r="R2012" s="13">
        <v>2331</v>
      </c>
      <c r="S2012" s="13">
        <v>0</v>
      </c>
      <c r="T2012" s="13">
        <v>969</v>
      </c>
      <c r="U2012" s="13">
        <v>0</v>
      </c>
      <c r="V2012" s="13">
        <v>0</v>
      </c>
      <c r="W2012" s="37">
        <v>1202</v>
      </c>
      <c r="X2012" s="19"/>
      <c r="AG2012" s="16"/>
    </row>
    <row r="2013" spans="2:33">
      <c r="B2013" s="19"/>
      <c r="P2013" s="16"/>
      <c r="Q2013" s="36" t="s">
        <v>45</v>
      </c>
      <c r="R2013" s="13">
        <v>0</v>
      </c>
      <c r="S2013" s="13">
        <v>1943</v>
      </c>
      <c r="T2013" s="13">
        <v>830</v>
      </c>
      <c r="U2013" s="13">
        <v>0</v>
      </c>
      <c r="V2013" s="13">
        <v>0</v>
      </c>
      <c r="W2013" s="37">
        <v>1432</v>
      </c>
      <c r="X2013" s="19"/>
      <c r="AG2013" s="16"/>
    </row>
    <row r="2014" spans="2:33" ht="15" thickBot="1">
      <c r="B2014" s="20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7"/>
      <c r="Q2014" s="36" t="s">
        <v>46</v>
      </c>
      <c r="R2014" s="13">
        <v>0</v>
      </c>
      <c r="S2014" s="13">
        <v>1854</v>
      </c>
      <c r="T2014" s="13">
        <v>787</v>
      </c>
      <c r="U2014" s="13">
        <v>0</v>
      </c>
      <c r="V2014" s="13">
        <v>0</v>
      </c>
      <c r="W2014" s="37">
        <v>1224</v>
      </c>
      <c r="X2014" s="20"/>
      <c r="Y2014" s="15"/>
      <c r="Z2014" s="15"/>
      <c r="AA2014" s="15"/>
      <c r="AB2014" s="15"/>
      <c r="AC2014" s="15"/>
      <c r="AD2014" s="15"/>
      <c r="AE2014" s="15"/>
      <c r="AF2014" s="15"/>
      <c r="AG2014" s="17"/>
    </row>
    <row r="2016" spans="2:33" ht="15" thickBot="1">
      <c r="B2016" s="25" t="s">
        <v>532</v>
      </c>
      <c r="C2016" s="26" t="s">
        <v>928</v>
      </c>
      <c r="D2016" s="26" t="s">
        <v>934</v>
      </c>
      <c r="E2016" s="26" t="s">
        <v>935</v>
      </c>
      <c r="F2016" s="26" t="s">
        <v>936</v>
      </c>
      <c r="G2016" s="26" t="s">
        <v>937</v>
      </c>
      <c r="H2016" s="27" t="s">
        <v>693</v>
      </c>
      <c r="I2016" s="26" t="s">
        <v>938</v>
      </c>
      <c r="J2016" s="27" t="s">
        <v>87</v>
      </c>
      <c r="K2016" s="29">
        <v>15.0100002288818</v>
      </c>
      <c r="L2016" s="29">
        <v>15.0100002288818</v>
      </c>
      <c r="M2016" s="29">
        <v>15.0100002288818</v>
      </c>
      <c r="N2016" s="29">
        <v>15.0100002288818</v>
      </c>
      <c r="O2016" s="29">
        <v>15.0100002288818</v>
      </c>
      <c r="P2016" s="40">
        <v>15.0100002288818</v>
      </c>
      <c r="Q2016" s="1" t="s">
        <v>35</v>
      </c>
      <c r="R2016" s="2">
        <v>0</v>
      </c>
      <c r="S2016" s="2">
        <v>2530</v>
      </c>
      <c r="T2016" s="2">
        <v>0</v>
      </c>
      <c r="U2016" s="2">
        <v>1075</v>
      </c>
      <c r="V2016" s="2">
        <v>0</v>
      </c>
      <c r="W2016" s="2">
        <v>922</v>
      </c>
      <c r="X2016" s="43">
        <f>SUM(R2016:W2028)</f>
        <v>54204</v>
      </c>
      <c r="Y2016" s="10">
        <v>46204</v>
      </c>
      <c r="Z2016" s="11">
        <v>0.21915174234314722</v>
      </c>
      <c r="AA2016" s="11">
        <v>0.18274192037163289</v>
      </c>
      <c r="AB2016" s="11">
        <v>0.14726787607165501</v>
      </c>
      <c r="AC2016" s="11">
        <v>0.1287497680516306</v>
      </c>
      <c r="AD2016" s="11">
        <v>0.11447820346270936</v>
      </c>
      <c r="AE2016" s="11">
        <v>0.13149780089791482</v>
      </c>
      <c r="AF2016" s="11">
        <v>0.2</v>
      </c>
      <c r="AG2016" s="11">
        <v>0.23899999999999999</v>
      </c>
    </row>
    <row r="2017" spans="2:33">
      <c r="B2017" s="53" t="s">
        <v>2193</v>
      </c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35"/>
      <c r="Q2017" s="36" t="s">
        <v>36</v>
      </c>
      <c r="R2017" s="13">
        <v>0</v>
      </c>
      <c r="S2017" s="13">
        <v>2324</v>
      </c>
      <c r="T2017" s="13">
        <v>0</v>
      </c>
      <c r="U2017" s="13">
        <v>1010</v>
      </c>
      <c r="V2017" s="13">
        <v>0</v>
      </c>
      <c r="W2017" s="37">
        <v>712</v>
      </c>
      <c r="X2017" s="18"/>
      <c r="Y2017" s="14"/>
      <c r="Z2017" s="14"/>
      <c r="AA2017" s="14"/>
      <c r="AB2017" s="14"/>
      <c r="AC2017" s="14"/>
      <c r="AD2017" s="14"/>
      <c r="AE2017" s="14"/>
      <c r="AF2017" s="14"/>
      <c r="AG2017" s="35"/>
    </row>
    <row r="2018" spans="2:33">
      <c r="B2018" s="19"/>
      <c r="P2018" s="16"/>
      <c r="Q2018" s="36" t="s">
        <v>37</v>
      </c>
      <c r="R2018" s="13">
        <v>0</v>
      </c>
      <c r="S2018" s="13">
        <v>2308</v>
      </c>
      <c r="T2018" s="13">
        <v>0</v>
      </c>
      <c r="U2018" s="13">
        <v>1017</v>
      </c>
      <c r="V2018" s="13">
        <v>0</v>
      </c>
      <c r="W2018" s="37">
        <v>927</v>
      </c>
      <c r="X2018" s="19"/>
      <c r="AG2018" s="16"/>
    </row>
    <row r="2019" spans="2:33">
      <c r="B2019" s="19"/>
      <c r="P2019" s="16"/>
      <c r="Q2019" s="36" t="s">
        <v>38</v>
      </c>
      <c r="R2019" s="13">
        <v>0</v>
      </c>
      <c r="S2019" s="13">
        <v>0</v>
      </c>
      <c r="T2019" s="13">
        <v>0</v>
      </c>
      <c r="U2019" s="13">
        <v>2397</v>
      </c>
      <c r="V2019" s="13">
        <v>1083</v>
      </c>
      <c r="W2019" s="37">
        <v>726</v>
      </c>
      <c r="X2019" s="19"/>
      <c r="AG2019" s="16"/>
    </row>
    <row r="2020" spans="2:33">
      <c r="B2020" s="19"/>
      <c r="P2020" s="16"/>
      <c r="Q2020" s="36" t="s">
        <v>39</v>
      </c>
      <c r="R2020" s="13">
        <v>0</v>
      </c>
      <c r="S2020" s="13">
        <v>0</v>
      </c>
      <c r="T2020" s="13">
        <v>0</v>
      </c>
      <c r="U2020" s="13">
        <v>2142</v>
      </c>
      <c r="V2020" s="13">
        <v>919</v>
      </c>
      <c r="W2020" s="37">
        <v>894</v>
      </c>
      <c r="X2020" s="19"/>
      <c r="AG2020" s="16"/>
    </row>
    <row r="2021" spans="2:33">
      <c r="B2021" s="19"/>
      <c r="P2021" s="16"/>
      <c r="Q2021" s="36" t="s">
        <v>40</v>
      </c>
      <c r="R2021" s="13">
        <v>0</v>
      </c>
      <c r="S2021" s="13">
        <v>0</v>
      </c>
      <c r="T2021" s="13">
        <v>0</v>
      </c>
      <c r="U2021" s="13">
        <v>2367</v>
      </c>
      <c r="V2021" s="13">
        <v>1026</v>
      </c>
      <c r="W2021" s="37">
        <v>707</v>
      </c>
      <c r="X2021" s="19"/>
      <c r="AG2021" s="16"/>
    </row>
    <row r="2022" spans="2:33">
      <c r="B2022" s="19"/>
      <c r="P2022" s="16"/>
      <c r="Q2022" s="36" t="s">
        <v>41</v>
      </c>
      <c r="R2022" s="13">
        <v>2622</v>
      </c>
      <c r="S2022" s="13">
        <v>0</v>
      </c>
      <c r="T2022" s="13">
        <v>1118</v>
      </c>
      <c r="U2022" s="13">
        <v>0</v>
      </c>
      <c r="V2022" s="13">
        <v>0</v>
      </c>
      <c r="W2022" s="37">
        <v>713</v>
      </c>
      <c r="X2022" s="19"/>
      <c r="AG2022" s="16"/>
    </row>
    <row r="2023" spans="2:33">
      <c r="B2023" s="19"/>
      <c r="P2023" s="16"/>
      <c r="Q2023" s="36" t="s">
        <v>551</v>
      </c>
      <c r="R2023" s="13">
        <v>226</v>
      </c>
      <c r="S2023" s="13">
        <v>0</v>
      </c>
      <c r="T2023" s="13">
        <v>96</v>
      </c>
      <c r="U2023" s="13">
        <v>0</v>
      </c>
      <c r="V2023" s="13">
        <v>0</v>
      </c>
      <c r="W2023" s="37">
        <v>188</v>
      </c>
      <c r="X2023" s="19"/>
      <c r="AG2023" s="16"/>
    </row>
    <row r="2024" spans="2:33">
      <c r="B2024" s="19"/>
      <c r="P2024" s="16"/>
      <c r="Q2024" s="36" t="s">
        <v>552</v>
      </c>
      <c r="R2024" s="13">
        <v>2156</v>
      </c>
      <c r="S2024" s="13">
        <v>0</v>
      </c>
      <c r="T2024" s="13">
        <v>1033</v>
      </c>
      <c r="U2024" s="13">
        <v>0</v>
      </c>
      <c r="V2024" s="13">
        <v>0</v>
      </c>
      <c r="W2024" s="37">
        <v>943</v>
      </c>
      <c r="X2024" s="19"/>
      <c r="AG2024" s="16"/>
    </row>
    <row r="2025" spans="2:33">
      <c r="B2025" s="19"/>
      <c r="P2025" s="16"/>
      <c r="Q2025" s="36" t="s">
        <v>43</v>
      </c>
      <c r="R2025" s="13">
        <v>2791</v>
      </c>
      <c r="S2025" s="13">
        <v>0</v>
      </c>
      <c r="T2025" s="13">
        <v>1204</v>
      </c>
      <c r="U2025" s="13">
        <v>0</v>
      </c>
      <c r="V2025" s="13">
        <v>0</v>
      </c>
      <c r="W2025" s="37">
        <v>811</v>
      </c>
      <c r="X2025" s="19"/>
      <c r="AG2025" s="16"/>
    </row>
    <row r="2026" spans="2:33">
      <c r="B2026" s="19"/>
      <c r="P2026" s="16"/>
      <c r="Q2026" s="36" t="s">
        <v>44</v>
      </c>
      <c r="R2026" s="13">
        <v>2936</v>
      </c>
      <c r="S2026" s="13">
        <v>0</v>
      </c>
      <c r="T2026" s="13">
        <v>1274</v>
      </c>
      <c r="U2026" s="13">
        <v>0</v>
      </c>
      <c r="V2026" s="13">
        <v>0</v>
      </c>
      <c r="W2026" s="37">
        <v>811</v>
      </c>
      <c r="X2026" s="19"/>
      <c r="AG2026" s="16"/>
    </row>
    <row r="2027" spans="2:33">
      <c r="B2027" s="19"/>
      <c r="P2027" s="16"/>
      <c r="Q2027" s="36" t="s">
        <v>45</v>
      </c>
      <c r="R2027" s="13">
        <v>0</v>
      </c>
      <c r="S2027" s="13">
        <v>2561</v>
      </c>
      <c r="T2027" s="13">
        <v>1078</v>
      </c>
      <c r="U2027" s="13">
        <v>0</v>
      </c>
      <c r="V2027" s="13">
        <v>0</v>
      </c>
      <c r="W2027" s="37">
        <v>1230</v>
      </c>
      <c r="X2027" s="19"/>
      <c r="AG2027" s="16"/>
    </row>
    <row r="2028" spans="2:33" ht="15" thickBot="1">
      <c r="B2028" s="20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7"/>
      <c r="Q2028" s="36" t="s">
        <v>46</v>
      </c>
      <c r="R2028" s="13">
        <v>0</v>
      </c>
      <c r="S2028" s="13">
        <v>2597</v>
      </c>
      <c r="T2028" s="13">
        <v>1177</v>
      </c>
      <c r="U2028" s="13">
        <v>0</v>
      </c>
      <c r="V2028" s="13">
        <v>0</v>
      </c>
      <c r="W2028" s="37">
        <v>1553</v>
      </c>
      <c r="X2028" s="20"/>
      <c r="Y2028" s="15"/>
      <c r="Z2028" s="15"/>
      <c r="AA2028" s="15"/>
      <c r="AB2028" s="15"/>
      <c r="AC2028" s="15"/>
      <c r="AD2028" s="15"/>
      <c r="AE2028" s="15"/>
      <c r="AF2028" s="15"/>
      <c r="AG2028" s="17"/>
    </row>
    <row r="2030" spans="2:33" ht="15" thickBot="1">
      <c r="B2030" s="25" t="s">
        <v>532</v>
      </c>
      <c r="C2030" s="26" t="s">
        <v>928</v>
      </c>
      <c r="D2030" s="26" t="s">
        <v>939</v>
      </c>
      <c r="E2030" s="26" t="s">
        <v>940</v>
      </c>
      <c r="F2030" s="26" t="s">
        <v>941</v>
      </c>
      <c r="G2030" s="26" t="s">
        <v>835</v>
      </c>
      <c r="H2030" s="27" t="s">
        <v>693</v>
      </c>
      <c r="I2030" s="26" t="s">
        <v>942</v>
      </c>
      <c r="J2030" s="27" t="s">
        <v>87</v>
      </c>
      <c r="K2030" s="29">
        <v>18</v>
      </c>
      <c r="L2030" s="29">
        <v>18</v>
      </c>
      <c r="M2030" s="29">
        <v>18</v>
      </c>
      <c r="N2030" s="29">
        <v>18</v>
      </c>
      <c r="O2030" s="29">
        <v>18</v>
      </c>
      <c r="P2030" s="40">
        <v>25</v>
      </c>
      <c r="Q2030" s="1" t="s">
        <v>35</v>
      </c>
      <c r="R2030" s="2">
        <v>0</v>
      </c>
      <c r="S2030" s="2">
        <v>1197</v>
      </c>
      <c r="T2030" s="2">
        <v>0</v>
      </c>
      <c r="U2030" s="2">
        <v>562</v>
      </c>
      <c r="V2030" s="2">
        <v>0</v>
      </c>
      <c r="W2030" s="2">
        <v>506</v>
      </c>
      <c r="X2030" s="43">
        <f>SUM(R2030:W2042)</f>
        <v>29288</v>
      </c>
      <c r="Y2030" s="10">
        <v>46204</v>
      </c>
      <c r="Z2030" s="11">
        <v>0.21915174234314722</v>
      </c>
      <c r="AA2030" s="11">
        <v>0.18274192037163289</v>
      </c>
      <c r="AB2030" s="11">
        <v>0.14726787607165501</v>
      </c>
      <c r="AC2030" s="11">
        <v>0.1287497680516306</v>
      </c>
      <c r="AD2030" s="11">
        <v>0.11447820346270936</v>
      </c>
      <c r="AE2030" s="11">
        <v>0.13149780089791482</v>
      </c>
      <c r="AF2030" s="11">
        <v>0.2</v>
      </c>
      <c r="AG2030" s="11">
        <v>0.23899999999999999</v>
      </c>
    </row>
    <row r="2031" spans="2:33">
      <c r="B2031" s="53" t="s">
        <v>2193</v>
      </c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35"/>
      <c r="Q2031" s="36" t="s">
        <v>36</v>
      </c>
      <c r="R2031" s="13">
        <v>0</v>
      </c>
      <c r="S2031" s="13">
        <v>1122</v>
      </c>
      <c r="T2031" s="13">
        <v>0</v>
      </c>
      <c r="U2031" s="13">
        <v>514</v>
      </c>
      <c r="V2031" s="13">
        <v>0</v>
      </c>
      <c r="W2031" s="37">
        <v>408</v>
      </c>
      <c r="X2031" s="18"/>
      <c r="Y2031" s="14"/>
      <c r="Z2031" s="14"/>
      <c r="AA2031" s="14"/>
      <c r="AB2031" s="14"/>
      <c r="AC2031" s="14"/>
      <c r="AD2031" s="14"/>
      <c r="AE2031" s="14"/>
      <c r="AF2031" s="14"/>
      <c r="AG2031" s="35"/>
    </row>
    <row r="2032" spans="2:33">
      <c r="B2032" s="19"/>
      <c r="P2032" s="16"/>
      <c r="Q2032" s="36" t="s">
        <v>37</v>
      </c>
      <c r="R2032" s="13">
        <v>0</v>
      </c>
      <c r="S2032" s="13">
        <v>1123</v>
      </c>
      <c r="T2032" s="13">
        <v>0</v>
      </c>
      <c r="U2032" s="13">
        <v>535</v>
      </c>
      <c r="V2032" s="13">
        <v>0</v>
      </c>
      <c r="W2032" s="37">
        <v>453</v>
      </c>
      <c r="X2032" s="19"/>
      <c r="AG2032" s="16"/>
    </row>
    <row r="2033" spans="2:33">
      <c r="B2033" s="19"/>
      <c r="P2033" s="16"/>
      <c r="Q2033" s="36" t="s">
        <v>38</v>
      </c>
      <c r="R2033" s="13">
        <v>0</v>
      </c>
      <c r="S2033" s="13">
        <v>0</v>
      </c>
      <c r="T2033" s="13">
        <v>0</v>
      </c>
      <c r="U2033" s="13">
        <v>1188</v>
      </c>
      <c r="V2033" s="13">
        <v>568</v>
      </c>
      <c r="W2033" s="37">
        <v>426</v>
      </c>
      <c r="X2033" s="19"/>
      <c r="AG2033" s="16"/>
    </row>
    <row r="2034" spans="2:33">
      <c r="B2034" s="19"/>
      <c r="P2034" s="16"/>
      <c r="Q2034" s="36" t="s">
        <v>39</v>
      </c>
      <c r="R2034" s="13">
        <v>0</v>
      </c>
      <c r="S2034" s="13">
        <v>0</v>
      </c>
      <c r="T2034" s="13">
        <v>0</v>
      </c>
      <c r="U2034" s="13">
        <v>1118</v>
      </c>
      <c r="V2034" s="13">
        <v>557</v>
      </c>
      <c r="W2034" s="37">
        <v>526</v>
      </c>
      <c r="X2034" s="19"/>
      <c r="AG2034" s="16"/>
    </row>
    <row r="2035" spans="2:33">
      <c r="B2035" s="19"/>
      <c r="P2035" s="16"/>
      <c r="Q2035" s="36" t="s">
        <v>40</v>
      </c>
      <c r="R2035" s="13">
        <v>0</v>
      </c>
      <c r="S2035" s="13">
        <v>0</v>
      </c>
      <c r="T2035" s="13">
        <v>0</v>
      </c>
      <c r="U2035" s="13">
        <v>1346</v>
      </c>
      <c r="V2035" s="13">
        <v>688</v>
      </c>
      <c r="W2035" s="37">
        <v>478</v>
      </c>
      <c r="X2035" s="19"/>
      <c r="AG2035" s="16"/>
    </row>
    <row r="2036" spans="2:33">
      <c r="B2036" s="19"/>
      <c r="P2036" s="16"/>
      <c r="Q2036" s="36" t="s">
        <v>41</v>
      </c>
      <c r="R2036" s="13">
        <v>1735</v>
      </c>
      <c r="S2036" s="13">
        <v>0</v>
      </c>
      <c r="T2036" s="13">
        <v>882</v>
      </c>
      <c r="U2036" s="13">
        <v>0</v>
      </c>
      <c r="V2036" s="13">
        <v>0</v>
      </c>
      <c r="W2036" s="37">
        <v>512</v>
      </c>
      <c r="X2036" s="19"/>
      <c r="AG2036" s="16"/>
    </row>
    <row r="2037" spans="2:33">
      <c r="B2037" s="19"/>
      <c r="P2037" s="16"/>
      <c r="Q2037" s="36" t="s">
        <v>551</v>
      </c>
      <c r="R2037" s="13">
        <v>146</v>
      </c>
      <c r="S2037" s="13">
        <v>0</v>
      </c>
      <c r="T2037" s="13">
        <v>69</v>
      </c>
      <c r="U2037" s="13">
        <v>0</v>
      </c>
      <c r="V2037" s="13">
        <v>0</v>
      </c>
      <c r="W2037" s="37">
        <v>111</v>
      </c>
      <c r="X2037" s="19"/>
      <c r="AG2037" s="16"/>
    </row>
    <row r="2038" spans="2:33">
      <c r="B2038" s="19"/>
      <c r="P2038" s="16"/>
      <c r="Q2038" s="36" t="s">
        <v>552</v>
      </c>
      <c r="R2038" s="13">
        <v>1336</v>
      </c>
      <c r="S2038" s="13">
        <v>0</v>
      </c>
      <c r="T2038" s="13">
        <v>694</v>
      </c>
      <c r="U2038" s="13">
        <v>0</v>
      </c>
      <c r="V2038" s="13">
        <v>0</v>
      </c>
      <c r="W2038" s="37">
        <v>519</v>
      </c>
      <c r="X2038" s="19"/>
      <c r="AG2038" s="16"/>
    </row>
    <row r="2039" spans="2:33">
      <c r="B2039" s="19"/>
      <c r="P2039" s="16"/>
      <c r="Q2039" s="36" t="s">
        <v>43</v>
      </c>
      <c r="R2039" s="13">
        <v>1460</v>
      </c>
      <c r="S2039" s="13">
        <v>0</v>
      </c>
      <c r="T2039" s="13">
        <v>765</v>
      </c>
      <c r="U2039" s="13">
        <v>0</v>
      </c>
      <c r="V2039" s="13">
        <v>0</v>
      </c>
      <c r="W2039" s="37">
        <v>510</v>
      </c>
      <c r="X2039" s="19"/>
      <c r="AG2039" s="16"/>
    </row>
    <row r="2040" spans="2:33">
      <c r="B2040" s="19"/>
      <c r="P2040" s="16"/>
      <c r="Q2040" s="36" t="s">
        <v>44</v>
      </c>
      <c r="R2040" s="13">
        <v>1405</v>
      </c>
      <c r="S2040" s="13">
        <v>0</v>
      </c>
      <c r="T2040" s="13">
        <v>709</v>
      </c>
      <c r="U2040" s="13">
        <v>0</v>
      </c>
      <c r="V2040" s="13">
        <v>0</v>
      </c>
      <c r="W2040" s="37">
        <v>446</v>
      </c>
      <c r="X2040" s="19"/>
      <c r="AG2040" s="16"/>
    </row>
    <row r="2041" spans="2:33">
      <c r="B2041" s="19"/>
      <c r="P2041" s="16"/>
      <c r="Q2041" s="36" t="s">
        <v>45</v>
      </c>
      <c r="R2041" s="13">
        <v>0</v>
      </c>
      <c r="S2041" s="13">
        <v>1176</v>
      </c>
      <c r="T2041" s="13">
        <v>568</v>
      </c>
      <c r="U2041" s="13">
        <v>0</v>
      </c>
      <c r="V2041" s="13">
        <v>0</v>
      </c>
      <c r="W2041" s="37">
        <v>590</v>
      </c>
      <c r="X2041" s="19"/>
      <c r="AG2041" s="16"/>
    </row>
    <row r="2042" spans="2:33" ht="15" thickBot="1">
      <c r="B2042" s="20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7"/>
      <c r="Q2042" s="36" t="s">
        <v>46</v>
      </c>
      <c r="R2042" s="13">
        <v>0</v>
      </c>
      <c r="S2042" s="13">
        <v>1102</v>
      </c>
      <c r="T2042" s="13">
        <v>541</v>
      </c>
      <c r="U2042" s="13">
        <v>0</v>
      </c>
      <c r="V2042" s="13">
        <v>0</v>
      </c>
      <c r="W2042" s="37">
        <v>697</v>
      </c>
      <c r="X2042" s="20"/>
      <c r="Y2042" s="15"/>
      <c r="Z2042" s="15"/>
      <c r="AA2042" s="15"/>
      <c r="AB2042" s="15"/>
      <c r="AC2042" s="15"/>
      <c r="AD2042" s="15"/>
      <c r="AE2042" s="15"/>
      <c r="AF2042" s="15"/>
      <c r="AG2042" s="17"/>
    </row>
    <row r="2044" spans="2:33" ht="15" thickBot="1">
      <c r="B2044" s="25" t="s">
        <v>532</v>
      </c>
      <c r="C2044" s="26" t="s">
        <v>928</v>
      </c>
      <c r="D2044" s="26" t="s">
        <v>943</v>
      </c>
      <c r="E2044" s="26" t="s">
        <v>944</v>
      </c>
      <c r="F2044" s="26" t="s">
        <v>945</v>
      </c>
      <c r="G2044" s="26" t="s">
        <v>946</v>
      </c>
      <c r="H2044" s="27" t="s">
        <v>337</v>
      </c>
      <c r="I2044" s="26" t="s">
        <v>947</v>
      </c>
      <c r="J2044" s="27" t="s">
        <v>87</v>
      </c>
      <c r="K2044" s="29">
        <v>18</v>
      </c>
      <c r="L2044" s="29">
        <v>20</v>
      </c>
      <c r="M2044" s="29">
        <v>20</v>
      </c>
      <c r="N2044" s="29">
        <v>20</v>
      </c>
      <c r="O2044" s="29">
        <v>25</v>
      </c>
      <c r="P2044" s="40">
        <v>35</v>
      </c>
      <c r="Q2044" s="1" t="s">
        <v>35</v>
      </c>
      <c r="R2044" s="2">
        <v>1220</v>
      </c>
      <c r="S2044" s="2">
        <v>649</v>
      </c>
      <c r="T2044" s="2">
        <v>0</v>
      </c>
      <c r="U2044" s="2">
        <v>0</v>
      </c>
      <c r="V2044" s="2">
        <v>0</v>
      </c>
      <c r="W2044" s="2">
        <v>719</v>
      </c>
      <c r="X2044" s="43">
        <f>SUM(R2044:W2054)</f>
        <v>41068</v>
      </c>
      <c r="Y2044" s="10">
        <v>46204</v>
      </c>
      <c r="Z2044" s="11">
        <v>0.21915174234314722</v>
      </c>
      <c r="AA2044" s="11">
        <v>0.18274192037163289</v>
      </c>
      <c r="AB2044" s="11">
        <v>0.14726787607165501</v>
      </c>
      <c r="AC2044" s="11">
        <v>0.1287497680516306</v>
      </c>
      <c r="AD2044" s="11">
        <v>0.11447820346270936</v>
      </c>
      <c r="AE2044" s="11">
        <v>0.13149780089791482</v>
      </c>
      <c r="AF2044" s="11">
        <v>0.2</v>
      </c>
      <c r="AG2044" s="11">
        <v>0.23899999999999999</v>
      </c>
    </row>
    <row r="2045" spans="2:33">
      <c r="B2045" s="53" t="s">
        <v>2193</v>
      </c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35"/>
      <c r="Q2045" s="36" t="s">
        <v>36</v>
      </c>
      <c r="R2045" s="13">
        <v>1178</v>
      </c>
      <c r="S2045" s="13">
        <v>611</v>
      </c>
      <c r="T2045" s="13">
        <v>0</v>
      </c>
      <c r="U2045" s="13">
        <v>0</v>
      </c>
      <c r="V2045" s="13">
        <v>0</v>
      </c>
      <c r="W2045" s="37">
        <v>554</v>
      </c>
      <c r="X2045" s="18"/>
      <c r="Y2045" s="14"/>
      <c r="Z2045" s="14"/>
      <c r="AA2045" s="14"/>
      <c r="AB2045" s="14"/>
      <c r="AC2045" s="14"/>
      <c r="AD2045" s="14"/>
      <c r="AE2045" s="14"/>
      <c r="AF2045" s="14"/>
      <c r="AG2045" s="35"/>
    </row>
    <row r="2046" spans="2:33">
      <c r="B2046" s="19"/>
      <c r="P2046" s="16"/>
      <c r="Q2046" s="36" t="s">
        <v>37</v>
      </c>
      <c r="R2046" s="13">
        <v>0</v>
      </c>
      <c r="S2046" s="13">
        <v>1289</v>
      </c>
      <c r="T2046" s="13">
        <v>710</v>
      </c>
      <c r="U2046" s="13">
        <v>0</v>
      </c>
      <c r="V2046" s="13">
        <v>0</v>
      </c>
      <c r="W2046" s="37">
        <v>768</v>
      </c>
      <c r="X2046" s="19"/>
      <c r="AG2046" s="16"/>
    </row>
    <row r="2047" spans="2:33">
      <c r="B2047" s="19"/>
      <c r="P2047" s="16"/>
      <c r="Q2047" s="36" t="s">
        <v>38</v>
      </c>
      <c r="R2047" s="13">
        <v>0</v>
      </c>
      <c r="S2047" s="13">
        <v>0</v>
      </c>
      <c r="T2047" s="13">
        <v>0</v>
      </c>
      <c r="U2047" s="13">
        <v>1616</v>
      </c>
      <c r="V2047" s="13">
        <v>963</v>
      </c>
      <c r="W2047" s="37">
        <v>905</v>
      </c>
      <c r="X2047" s="19"/>
      <c r="AG2047" s="16"/>
    </row>
    <row r="2048" spans="2:33">
      <c r="B2048" s="19"/>
      <c r="P2048" s="16"/>
      <c r="Q2048" s="36" t="s">
        <v>39</v>
      </c>
      <c r="R2048" s="13">
        <v>0</v>
      </c>
      <c r="S2048" s="13">
        <v>0</v>
      </c>
      <c r="T2048" s="13">
        <v>0</v>
      </c>
      <c r="U2048" s="13">
        <v>1847</v>
      </c>
      <c r="V2048" s="13">
        <v>1030</v>
      </c>
      <c r="W2048" s="37">
        <v>1404</v>
      </c>
      <c r="X2048" s="19"/>
      <c r="AG2048" s="16"/>
    </row>
    <row r="2049" spans="2:33">
      <c r="B2049" s="19"/>
      <c r="P2049" s="16"/>
      <c r="Q2049" s="36" t="s">
        <v>40</v>
      </c>
      <c r="R2049" s="13">
        <v>0</v>
      </c>
      <c r="S2049" s="13">
        <v>0</v>
      </c>
      <c r="T2049" s="13">
        <v>2161</v>
      </c>
      <c r="U2049" s="13">
        <v>1204</v>
      </c>
      <c r="V2049" s="13">
        <v>0</v>
      </c>
      <c r="W2049" s="37">
        <v>1569</v>
      </c>
      <c r="X2049" s="19"/>
      <c r="AG2049" s="16"/>
    </row>
    <row r="2050" spans="2:33">
      <c r="B2050" s="19"/>
      <c r="P2050" s="16"/>
      <c r="Q2050" s="36" t="s">
        <v>41</v>
      </c>
      <c r="R2050" s="13">
        <v>2589</v>
      </c>
      <c r="S2050" s="13">
        <v>1373</v>
      </c>
      <c r="T2050" s="13">
        <v>0</v>
      </c>
      <c r="U2050" s="13">
        <v>0</v>
      </c>
      <c r="V2050" s="13">
        <v>0</v>
      </c>
      <c r="W2050" s="37">
        <v>1421</v>
      </c>
      <c r="X2050" s="19"/>
      <c r="AG2050" s="16"/>
    </row>
    <row r="2051" spans="2:33">
      <c r="B2051" s="19"/>
      <c r="P2051" s="16"/>
      <c r="Q2051" s="36" t="s">
        <v>136</v>
      </c>
      <c r="R2051" s="13">
        <v>0</v>
      </c>
      <c r="S2051" s="13">
        <v>0</v>
      </c>
      <c r="T2051" s="13">
        <v>2104</v>
      </c>
      <c r="U2051" s="13">
        <v>1151</v>
      </c>
      <c r="V2051" s="13">
        <v>0</v>
      </c>
      <c r="W2051" s="37">
        <v>1312</v>
      </c>
      <c r="X2051" s="19"/>
      <c r="AG2051" s="16"/>
    </row>
    <row r="2052" spans="2:33">
      <c r="B2052" s="19"/>
      <c r="P2052" s="16"/>
      <c r="Q2052" s="36" t="s">
        <v>44</v>
      </c>
      <c r="R2052" s="13">
        <v>0</v>
      </c>
      <c r="S2052" s="13">
        <v>0</v>
      </c>
      <c r="T2052" s="13">
        <v>0</v>
      </c>
      <c r="U2052" s="13">
        <v>2182</v>
      </c>
      <c r="V2052" s="13">
        <v>1277</v>
      </c>
      <c r="W2052" s="37">
        <v>836</v>
      </c>
      <c r="X2052" s="19"/>
      <c r="AG2052" s="16"/>
    </row>
    <row r="2053" spans="2:33">
      <c r="B2053" s="19"/>
      <c r="P2053" s="16"/>
      <c r="Q2053" s="36" t="s">
        <v>554</v>
      </c>
      <c r="R2053" s="13">
        <v>0</v>
      </c>
      <c r="S2053" s="13">
        <v>1276</v>
      </c>
      <c r="T2053" s="13">
        <v>726</v>
      </c>
      <c r="U2053" s="13">
        <v>0</v>
      </c>
      <c r="V2053" s="13">
        <v>0</v>
      </c>
      <c r="W2053" s="37">
        <v>683</v>
      </c>
      <c r="X2053" s="19"/>
      <c r="AG2053" s="16"/>
    </row>
    <row r="2054" spans="2:33" ht="15" thickBot="1">
      <c r="B2054" s="20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7"/>
      <c r="Q2054" s="36" t="s">
        <v>555</v>
      </c>
      <c r="R2054" s="13">
        <v>1328</v>
      </c>
      <c r="S2054" s="13">
        <v>1000</v>
      </c>
      <c r="T2054" s="13">
        <v>168</v>
      </c>
      <c r="U2054" s="13">
        <v>0</v>
      </c>
      <c r="V2054" s="13">
        <v>0</v>
      </c>
      <c r="W2054" s="37">
        <v>1245</v>
      </c>
      <c r="X2054" s="20"/>
      <c r="Y2054" s="15"/>
      <c r="Z2054" s="15"/>
      <c r="AA2054" s="15"/>
      <c r="AB2054" s="15"/>
      <c r="AC2054" s="15"/>
      <c r="AD2054" s="15"/>
      <c r="AE2054" s="15"/>
      <c r="AF2054" s="15"/>
      <c r="AG2054" s="17"/>
    </row>
    <row r="2056" spans="2:33" ht="15" thickBot="1">
      <c r="B2056" s="25" t="s">
        <v>532</v>
      </c>
      <c r="C2056" s="26" t="s">
        <v>928</v>
      </c>
      <c r="D2056" s="26" t="s">
        <v>948</v>
      </c>
      <c r="E2056" s="26" t="s">
        <v>949</v>
      </c>
      <c r="F2056" s="26" t="s">
        <v>950</v>
      </c>
      <c r="G2056" s="26" t="s">
        <v>951</v>
      </c>
      <c r="H2056" s="27" t="s">
        <v>693</v>
      </c>
      <c r="I2056" s="26" t="s">
        <v>952</v>
      </c>
      <c r="J2056" s="27" t="s">
        <v>87</v>
      </c>
      <c r="K2056" s="29">
        <v>14</v>
      </c>
      <c r="L2056" s="29">
        <v>14</v>
      </c>
      <c r="M2056" s="29">
        <v>14</v>
      </c>
      <c r="N2056" s="29">
        <v>14</v>
      </c>
      <c r="O2056" s="29">
        <v>14</v>
      </c>
      <c r="P2056" s="40">
        <v>33.099998474121101</v>
      </c>
      <c r="Q2056" s="1" t="s">
        <v>35</v>
      </c>
      <c r="R2056" s="2">
        <v>0</v>
      </c>
      <c r="S2056" s="2">
        <v>1966</v>
      </c>
      <c r="T2056" s="2">
        <v>0</v>
      </c>
      <c r="U2056" s="2">
        <v>916</v>
      </c>
      <c r="V2056" s="2">
        <v>0</v>
      </c>
      <c r="W2056" s="2">
        <v>744</v>
      </c>
      <c r="X2056" s="43">
        <f>SUM(R2056:W2068)</f>
        <v>44710</v>
      </c>
      <c r="Y2056" s="10">
        <v>46204</v>
      </c>
      <c r="Z2056" s="11">
        <v>0.21915174234314722</v>
      </c>
      <c r="AA2056" s="11">
        <v>0.18274192037163289</v>
      </c>
      <c r="AB2056" s="11">
        <v>0.14726787607165501</v>
      </c>
      <c r="AC2056" s="11">
        <v>0.1287497680516306</v>
      </c>
      <c r="AD2056" s="11">
        <v>0.11447820346270936</v>
      </c>
      <c r="AE2056" s="11">
        <v>0.13149780089791482</v>
      </c>
      <c r="AF2056" s="11">
        <v>0.2</v>
      </c>
      <c r="AG2056" s="11">
        <v>0.23899999999999999</v>
      </c>
    </row>
    <row r="2057" spans="2:33">
      <c r="B2057" s="53" t="s">
        <v>2193</v>
      </c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35"/>
      <c r="Q2057" s="36" t="s">
        <v>36</v>
      </c>
      <c r="R2057" s="13">
        <v>0</v>
      </c>
      <c r="S2057" s="13">
        <v>1887</v>
      </c>
      <c r="T2057" s="13">
        <v>0</v>
      </c>
      <c r="U2057" s="13">
        <v>918</v>
      </c>
      <c r="V2057" s="13">
        <v>0</v>
      </c>
      <c r="W2057" s="37">
        <v>591</v>
      </c>
      <c r="X2057" s="18"/>
      <c r="Y2057" s="14"/>
      <c r="Z2057" s="14"/>
      <c r="AA2057" s="14"/>
      <c r="AB2057" s="14"/>
      <c r="AC2057" s="14"/>
      <c r="AD2057" s="14"/>
      <c r="AE2057" s="14"/>
      <c r="AF2057" s="14"/>
      <c r="AG2057" s="35"/>
    </row>
    <row r="2058" spans="2:33">
      <c r="B2058" s="19"/>
      <c r="P2058" s="16"/>
      <c r="Q2058" s="36" t="s">
        <v>37</v>
      </c>
      <c r="R2058" s="13">
        <v>0</v>
      </c>
      <c r="S2058" s="13">
        <v>1926</v>
      </c>
      <c r="T2058" s="13">
        <v>0</v>
      </c>
      <c r="U2058" s="13">
        <v>881</v>
      </c>
      <c r="V2058" s="13">
        <v>0</v>
      </c>
      <c r="W2058" s="37">
        <v>752</v>
      </c>
      <c r="X2058" s="19"/>
      <c r="AG2058" s="16"/>
    </row>
    <row r="2059" spans="2:33">
      <c r="B2059" s="19"/>
      <c r="P2059" s="16"/>
      <c r="Q2059" s="36" t="s">
        <v>38</v>
      </c>
      <c r="R2059" s="13">
        <v>0</v>
      </c>
      <c r="S2059" s="13">
        <v>0</v>
      </c>
      <c r="T2059" s="13">
        <v>0</v>
      </c>
      <c r="U2059" s="13">
        <v>2077</v>
      </c>
      <c r="V2059" s="13">
        <v>974</v>
      </c>
      <c r="W2059" s="37">
        <v>650</v>
      </c>
      <c r="X2059" s="19"/>
      <c r="AG2059" s="16"/>
    </row>
    <row r="2060" spans="2:33">
      <c r="B2060" s="19"/>
      <c r="P2060" s="16"/>
      <c r="Q2060" s="36" t="s">
        <v>39</v>
      </c>
      <c r="R2060" s="13">
        <v>0</v>
      </c>
      <c r="S2060" s="13">
        <v>0</v>
      </c>
      <c r="T2060" s="13">
        <v>0</v>
      </c>
      <c r="U2060" s="13">
        <v>2005</v>
      </c>
      <c r="V2060" s="13">
        <v>928</v>
      </c>
      <c r="W2060" s="37">
        <v>783</v>
      </c>
      <c r="X2060" s="19"/>
      <c r="AG2060" s="16"/>
    </row>
    <row r="2061" spans="2:33">
      <c r="B2061" s="19"/>
      <c r="P2061" s="16"/>
      <c r="Q2061" s="36" t="s">
        <v>40</v>
      </c>
      <c r="R2061" s="13">
        <v>0</v>
      </c>
      <c r="S2061" s="13">
        <v>0</v>
      </c>
      <c r="T2061" s="13">
        <v>0</v>
      </c>
      <c r="U2061" s="13">
        <v>1981</v>
      </c>
      <c r="V2061" s="13">
        <v>935</v>
      </c>
      <c r="W2061" s="37">
        <v>652</v>
      </c>
      <c r="X2061" s="19"/>
      <c r="AG2061" s="16"/>
    </row>
    <row r="2062" spans="2:33">
      <c r="B2062" s="19"/>
      <c r="P2062" s="16"/>
      <c r="Q2062" s="36" t="s">
        <v>41</v>
      </c>
      <c r="R2062" s="13">
        <v>2269</v>
      </c>
      <c r="S2062" s="13">
        <v>0</v>
      </c>
      <c r="T2062" s="13">
        <v>1020</v>
      </c>
      <c r="U2062" s="13">
        <v>0</v>
      </c>
      <c r="V2062" s="13">
        <v>0</v>
      </c>
      <c r="W2062" s="37">
        <v>628</v>
      </c>
      <c r="X2062" s="19"/>
      <c r="AG2062" s="16"/>
    </row>
    <row r="2063" spans="2:33">
      <c r="B2063" s="19"/>
      <c r="P2063" s="16"/>
      <c r="Q2063" s="36" t="s">
        <v>551</v>
      </c>
      <c r="R2063" s="13">
        <v>198</v>
      </c>
      <c r="S2063" s="13">
        <v>0</v>
      </c>
      <c r="T2063" s="13">
        <v>94</v>
      </c>
      <c r="U2063" s="13">
        <v>0</v>
      </c>
      <c r="V2063" s="13">
        <v>0</v>
      </c>
      <c r="W2063" s="37">
        <v>150</v>
      </c>
      <c r="X2063" s="19"/>
      <c r="AG2063" s="16"/>
    </row>
    <row r="2064" spans="2:33">
      <c r="B2064" s="19"/>
      <c r="P2064" s="16"/>
      <c r="Q2064" s="36" t="s">
        <v>552</v>
      </c>
      <c r="R2064" s="13">
        <v>1821</v>
      </c>
      <c r="S2064" s="13">
        <v>0</v>
      </c>
      <c r="T2064" s="13">
        <v>799</v>
      </c>
      <c r="U2064" s="13">
        <v>0</v>
      </c>
      <c r="V2064" s="13">
        <v>0</v>
      </c>
      <c r="W2064" s="37">
        <v>644</v>
      </c>
      <c r="X2064" s="19"/>
      <c r="AG2064" s="16"/>
    </row>
    <row r="2065" spans="2:33">
      <c r="B2065" s="19"/>
      <c r="P2065" s="16"/>
      <c r="Q2065" s="36" t="s">
        <v>43</v>
      </c>
      <c r="R2065" s="13">
        <v>2183</v>
      </c>
      <c r="S2065" s="13">
        <v>0</v>
      </c>
      <c r="T2065" s="13">
        <v>968</v>
      </c>
      <c r="U2065" s="13">
        <v>0</v>
      </c>
      <c r="V2065" s="13">
        <v>0</v>
      </c>
      <c r="W2065" s="37">
        <v>636</v>
      </c>
      <c r="X2065" s="19"/>
      <c r="AG2065" s="16"/>
    </row>
    <row r="2066" spans="2:33">
      <c r="B2066" s="19"/>
      <c r="P2066" s="16"/>
      <c r="Q2066" s="36" t="s">
        <v>44</v>
      </c>
      <c r="R2066" s="13">
        <v>2231</v>
      </c>
      <c r="S2066" s="13">
        <v>0</v>
      </c>
      <c r="T2066" s="13">
        <v>1088</v>
      </c>
      <c r="U2066" s="13">
        <v>0</v>
      </c>
      <c r="V2066" s="13">
        <v>0</v>
      </c>
      <c r="W2066" s="37">
        <v>640</v>
      </c>
      <c r="X2066" s="19"/>
      <c r="AG2066" s="16"/>
    </row>
    <row r="2067" spans="2:33">
      <c r="B2067" s="19"/>
      <c r="P2067" s="16"/>
      <c r="Q2067" s="36" t="s">
        <v>554</v>
      </c>
      <c r="R2067" s="13">
        <v>0</v>
      </c>
      <c r="S2067" s="13">
        <v>1545</v>
      </c>
      <c r="T2067" s="13">
        <v>704</v>
      </c>
      <c r="U2067" s="13">
        <v>0</v>
      </c>
      <c r="V2067" s="13">
        <v>0</v>
      </c>
      <c r="W2067" s="37">
        <v>599</v>
      </c>
      <c r="X2067" s="19"/>
      <c r="AG2067" s="16"/>
    </row>
    <row r="2068" spans="2:33" ht="15" thickBot="1">
      <c r="B2068" s="20"/>
      <c r="C2068" s="15"/>
      <c r="D2068" s="15"/>
      <c r="E2068" s="15"/>
      <c r="F2068" s="15"/>
      <c r="G2068" s="15"/>
      <c r="H2068" s="15"/>
      <c r="I2068" s="15"/>
      <c r="J2068" s="15"/>
      <c r="K2068" s="15"/>
      <c r="L2068" s="15"/>
      <c r="M2068" s="15"/>
      <c r="N2068" s="15"/>
      <c r="O2068" s="15"/>
      <c r="P2068" s="17"/>
      <c r="Q2068" s="36" t="s">
        <v>555</v>
      </c>
      <c r="R2068" s="13">
        <v>0</v>
      </c>
      <c r="S2068" s="13">
        <v>2391</v>
      </c>
      <c r="T2068" s="13">
        <v>1078</v>
      </c>
      <c r="U2068" s="13">
        <v>0</v>
      </c>
      <c r="V2068" s="13">
        <v>0</v>
      </c>
      <c r="W2068" s="37">
        <v>1458</v>
      </c>
      <c r="X2068" s="20"/>
      <c r="Y2068" s="15"/>
      <c r="Z2068" s="15"/>
      <c r="AA2068" s="15"/>
      <c r="AB2068" s="15"/>
      <c r="AC2068" s="15"/>
      <c r="AD2068" s="15"/>
      <c r="AE2068" s="15"/>
      <c r="AF2068" s="15"/>
      <c r="AG2068" s="17"/>
    </row>
    <row r="2069" spans="2:33" ht="15" thickBot="1"/>
    <row r="2070" spans="2:33" ht="15" thickBot="1">
      <c r="B2070" s="33" t="s">
        <v>2188</v>
      </c>
      <c r="C2070" s="26" t="s">
        <v>953</v>
      </c>
      <c r="D2070" s="26" t="s">
        <v>954</v>
      </c>
      <c r="E2070" s="26" t="s">
        <v>955</v>
      </c>
      <c r="F2070" s="26" t="s">
        <v>956</v>
      </c>
      <c r="G2070" s="26" t="s">
        <v>33</v>
      </c>
      <c r="H2070" s="27" t="s">
        <v>33</v>
      </c>
      <c r="I2070" s="26" t="s">
        <v>957</v>
      </c>
      <c r="J2070" s="27" t="s">
        <v>34</v>
      </c>
      <c r="K2070" s="29">
        <v>750</v>
      </c>
      <c r="L2070" s="29">
        <v>750</v>
      </c>
      <c r="M2070" s="29">
        <v>750</v>
      </c>
      <c r="N2070" s="29">
        <v>750</v>
      </c>
      <c r="O2070" s="29">
        <v>750</v>
      </c>
      <c r="P2070" s="40">
        <v>1270</v>
      </c>
      <c r="Q2070" s="1" t="s">
        <v>35</v>
      </c>
      <c r="R2070" s="2">
        <v>38694</v>
      </c>
      <c r="S2070" s="2">
        <v>28363</v>
      </c>
      <c r="T2070" s="2">
        <v>0</v>
      </c>
      <c r="U2070" s="2">
        <v>0</v>
      </c>
      <c r="V2070" s="2">
        <v>0</v>
      </c>
      <c r="W2070" s="2">
        <v>37911</v>
      </c>
      <c r="X2070" s="43">
        <f>SUM(R2070:W2082)</f>
        <v>1574460</v>
      </c>
      <c r="Y2070" s="10">
        <v>46204</v>
      </c>
      <c r="Z2070" s="11">
        <v>0.18944179940637271</v>
      </c>
      <c r="AA2070" s="11">
        <v>0.15835358124143273</v>
      </c>
      <c r="AB2070" s="11">
        <v>0.13112092502991979</v>
      </c>
      <c r="AC2070" s="11">
        <v>0.11711967035536473</v>
      </c>
      <c r="AD2070" s="11">
        <v>0.10620551120181751</v>
      </c>
      <c r="AE2070" s="11">
        <v>0.12187624542640918</v>
      </c>
      <c r="AF2070" s="11">
        <v>0.15</v>
      </c>
      <c r="AG2070" s="13">
        <v>0.23899999999999999</v>
      </c>
    </row>
    <row r="2071" spans="2:33"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35"/>
      <c r="Q2071" s="36" t="s">
        <v>36</v>
      </c>
      <c r="R2071" s="13">
        <v>38795</v>
      </c>
      <c r="S2071" s="13">
        <v>28071</v>
      </c>
      <c r="T2071" s="13">
        <v>0</v>
      </c>
      <c r="U2071" s="13">
        <v>0</v>
      </c>
      <c r="V2071" s="13">
        <v>0</v>
      </c>
      <c r="W2071" s="37">
        <v>32820</v>
      </c>
      <c r="X2071" s="18"/>
      <c r="Y2071" s="14"/>
      <c r="Z2071" s="14"/>
      <c r="AA2071" s="14"/>
      <c r="AB2071" s="14"/>
      <c r="AC2071" s="14"/>
      <c r="AD2071" s="14"/>
      <c r="AE2071" s="14"/>
      <c r="AF2071" s="14"/>
      <c r="AG2071" s="35"/>
    </row>
    <row r="2072" spans="2:33">
      <c r="B2072" s="19"/>
      <c r="P2072" s="16"/>
      <c r="Q2072" s="36" t="s">
        <v>37</v>
      </c>
      <c r="R2072" s="13">
        <v>0</v>
      </c>
      <c r="S2072" s="13">
        <v>40575</v>
      </c>
      <c r="T2072" s="13">
        <v>29029</v>
      </c>
      <c r="U2072" s="13">
        <v>0</v>
      </c>
      <c r="V2072" s="13">
        <v>0</v>
      </c>
      <c r="W2072" s="37">
        <v>35791</v>
      </c>
      <c r="X2072" s="19"/>
      <c r="AG2072" s="16"/>
    </row>
    <row r="2073" spans="2:33">
      <c r="B2073" s="19"/>
      <c r="P2073" s="16"/>
      <c r="Q2073" s="36" t="s">
        <v>38</v>
      </c>
      <c r="R2073" s="13">
        <v>0</v>
      </c>
      <c r="S2073" s="13">
        <v>0</v>
      </c>
      <c r="T2073" s="13">
        <v>0</v>
      </c>
      <c r="U2073" s="13">
        <v>40649</v>
      </c>
      <c r="V2073" s="13">
        <v>29870</v>
      </c>
      <c r="W2073" s="37">
        <v>29333</v>
      </c>
      <c r="X2073" s="19"/>
      <c r="AG2073" s="16"/>
    </row>
    <row r="2074" spans="2:33">
      <c r="B2074" s="19"/>
      <c r="P2074" s="16"/>
      <c r="Q2074" s="36" t="s">
        <v>255</v>
      </c>
      <c r="R2074" s="13">
        <v>0</v>
      </c>
      <c r="S2074" s="13">
        <v>0</v>
      </c>
      <c r="T2074" s="13">
        <v>0</v>
      </c>
      <c r="U2074" s="13">
        <v>0</v>
      </c>
      <c r="V2074" s="13">
        <v>0</v>
      </c>
      <c r="W2074" s="37">
        <v>1982</v>
      </c>
      <c r="X2074" s="19"/>
      <c r="AG2074" s="16"/>
    </row>
    <row r="2075" spans="2:33">
      <c r="B2075" s="19"/>
      <c r="P2075" s="16"/>
      <c r="Q2075" s="36" t="s">
        <v>256</v>
      </c>
      <c r="R2075" s="13">
        <v>0</v>
      </c>
      <c r="S2075" s="13">
        <v>0</v>
      </c>
      <c r="T2075" s="13">
        <v>0</v>
      </c>
      <c r="U2075" s="13">
        <v>48370</v>
      </c>
      <c r="V2075" s="13">
        <v>35969</v>
      </c>
      <c r="W2075" s="37">
        <v>31758</v>
      </c>
      <c r="X2075" s="19"/>
      <c r="AG2075" s="16"/>
    </row>
    <row r="2076" spans="2:33">
      <c r="B2076" s="19"/>
      <c r="P2076" s="16"/>
      <c r="Q2076" s="36" t="s">
        <v>40</v>
      </c>
      <c r="R2076" s="13">
        <v>0</v>
      </c>
      <c r="S2076" s="13">
        <v>0</v>
      </c>
      <c r="T2076" s="13">
        <v>70094</v>
      </c>
      <c r="U2076" s="13">
        <v>51199</v>
      </c>
      <c r="V2076" s="13">
        <v>0</v>
      </c>
      <c r="W2076" s="37">
        <v>42798</v>
      </c>
      <c r="X2076" s="19"/>
      <c r="AG2076" s="16"/>
    </row>
    <row r="2077" spans="2:33">
      <c r="B2077" s="19"/>
      <c r="P2077" s="16"/>
      <c r="Q2077" s="36" t="s">
        <v>41</v>
      </c>
      <c r="R2077" s="13">
        <v>88451</v>
      </c>
      <c r="S2077" s="13">
        <v>64425</v>
      </c>
      <c r="T2077" s="13">
        <v>0</v>
      </c>
      <c r="U2077" s="13">
        <v>0</v>
      </c>
      <c r="V2077" s="13">
        <v>0</v>
      </c>
      <c r="W2077" s="37">
        <v>50866</v>
      </c>
      <c r="X2077" s="19"/>
      <c r="AG2077" s="16"/>
    </row>
    <row r="2078" spans="2:33">
      <c r="B2078" s="19"/>
      <c r="P2078" s="16"/>
      <c r="Q2078" s="36" t="s">
        <v>42</v>
      </c>
      <c r="R2078" s="13">
        <v>0</v>
      </c>
      <c r="S2078" s="13">
        <v>0</v>
      </c>
      <c r="T2078" s="13">
        <v>66345</v>
      </c>
      <c r="U2078" s="13">
        <v>51231</v>
      </c>
      <c r="V2078" s="13">
        <v>0</v>
      </c>
      <c r="W2078" s="37">
        <v>50786</v>
      </c>
      <c r="X2078" s="19"/>
      <c r="AG2078" s="16"/>
    </row>
    <row r="2079" spans="2:33">
      <c r="B2079" s="19"/>
      <c r="P2079" s="16"/>
      <c r="Q2079" s="36" t="s">
        <v>43</v>
      </c>
      <c r="R2079" s="13">
        <v>0</v>
      </c>
      <c r="S2079" s="13">
        <v>0</v>
      </c>
      <c r="T2079" s="13">
        <v>65140</v>
      </c>
      <c r="U2079" s="13">
        <v>49842</v>
      </c>
      <c r="V2079" s="13">
        <v>0</v>
      </c>
      <c r="W2079" s="37">
        <v>39549</v>
      </c>
      <c r="X2079" s="19"/>
      <c r="AG2079" s="16"/>
    </row>
    <row r="2080" spans="2:33">
      <c r="B2080" s="19"/>
      <c r="P2080" s="16"/>
      <c r="Q2080" s="36" t="s">
        <v>44</v>
      </c>
      <c r="R2080" s="13">
        <v>0</v>
      </c>
      <c r="S2080" s="13">
        <v>0</v>
      </c>
      <c r="T2080" s="13">
        <v>0</v>
      </c>
      <c r="U2080" s="13">
        <v>56258</v>
      </c>
      <c r="V2080" s="13">
        <v>42939</v>
      </c>
      <c r="W2080" s="37">
        <v>34594</v>
      </c>
      <c r="X2080" s="19"/>
      <c r="AG2080" s="16"/>
    </row>
    <row r="2081" spans="2:33">
      <c r="B2081" s="19"/>
      <c r="P2081" s="16"/>
      <c r="Q2081" s="36" t="s">
        <v>45</v>
      </c>
      <c r="R2081" s="13">
        <v>0</v>
      </c>
      <c r="S2081" s="13">
        <v>42065</v>
      </c>
      <c r="T2081" s="13">
        <v>30697</v>
      </c>
      <c r="U2081" s="13">
        <v>0</v>
      </c>
      <c r="V2081" s="13">
        <v>0</v>
      </c>
      <c r="W2081" s="37">
        <v>37335</v>
      </c>
      <c r="X2081" s="19"/>
      <c r="AG2081" s="16"/>
    </row>
    <row r="2082" spans="2:33" ht="15" thickBot="1">
      <c r="B2082" s="20"/>
      <c r="C2082" s="15"/>
      <c r="D2082" s="15"/>
      <c r="E2082" s="15"/>
      <c r="F2082" s="15"/>
      <c r="G2082" s="15"/>
      <c r="H2082" s="15"/>
      <c r="I2082" s="15"/>
      <c r="J2082" s="15"/>
      <c r="K2082" s="15"/>
      <c r="L2082" s="15"/>
      <c r="M2082" s="15"/>
      <c r="N2082" s="15"/>
      <c r="O2082" s="15"/>
      <c r="P2082" s="17"/>
      <c r="Q2082" s="36" t="s">
        <v>46</v>
      </c>
      <c r="R2082" s="13">
        <v>41760</v>
      </c>
      <c r="S2082" s="13">
        <v>30114</v>
      </c>
      <c r="T2082" s="13">
        <v>0</v>
      </c>
      <c r="U2082" s="13">
        <v>0</v>
      </c>
      <c r="V2082" s="13">
        <v>0</v>
      </c>
      <c r="W2082" s="37">
        <v>39992</v>
      </c>
      <c r="X2082" s="20"/>
      <c r="Y2082" s="15"/>
      <c r="Z2082" s="15"/>
      <c r="AA2082" s="15"/>
      <c r="AB2082" s="15"/>
      <c r="AC2082" s="15"/>
      <c r="AD2082" s="15"/>
      <c r="AE2082" s="15"/>
      <c r="AF2082" s="15"/>
      <c r="AG2082" s="17"/>
    </row>
    <row r="2083" spans="2:33" ht="15" thickBot="1"/>
    <row r="2084" spans="2:33" ht="15" thickBot="1">
      <c r="B2084" s="33" t="s">
        <v>2188</v>
      </c>
      <c r="C2084" s="26" t="s">
        <v>958</v>
      </c>
      <c r="D2084" s="26" t="s">
        <v>959</v>
      </c>
      <c r="E2084" s="26" t="s">
        <v>960</v>
      </c>
      <c r="F2084" s="26" t="s">
        <v>327</v>
      </c>
      <c r="G2084" s="26" t="s">
        <v>33</v>
      </c>
      <c r="H2084" s="27" t="s">
        <v>33</v>
      </c>
      <c r="I2084" s="26" t="s">
        <v>961</v>
      </c>
      <c r="J2084" s="27" t="s">
        <v>87</v>
      </c>
      <c r="K2084" s="29">
        <v>15.0100002288818</v>
      </c>
      <c r="L2084" s="29">
        <v>15.0100002288818</v>
      </c>
      <c r="M2084" s="29">
        <v>15.0100002288818</v>
      </c>
      <c r="N2084" s="29">
        <v>15.0100002288818</v>
      </c>
      <c r="O2084" s="29">
        <v>15.0100002288818</v>
      </c>
      <c r="P2084" s="40">
        <v>25</v>
      </c>
      <c r="Q2084" s="1" t="s">
        <v>35</v>
      </c>
      <c r="R2084" s="2">
        <v>1145</v>
      </c>
      <c r="S2084" s="2">
        <v>820</v>
      </c>
      <c r="T2084" s="2">
        <v>0</v>
      </c>
      <c r="U2084" s="2">
        <v>0</v>
      </c>
      <c r="V2084" s="2">
        <v>0</v>
      </c>
      <c r="W2084" s="2">
        <v>1769</v>
      </c>
      <c r="X2084" s="43">
        <f>SUM(R2084:W2096)</f>
        <v>38433</v>
      </c>
      <c r="Y2084" s="10">
        <v>46204</v>
      </c>
      <c r="Z2084" s="11">
        <v>0.21896900122639595</v>
      </c>
      <c r="AA2084" s="11">
        <v>0.18255917925488163</v>
      </c>
      <c r="AB2084" s="11">
        <v>0.14708513495490375</v>
      </c>
      <c r="AC2084" s="11">
        <v>0.12856702693487934</v>
      </c>
      <c r="AD2084" s="11">
        <v>0.11429546234595808</v>
      </c>
      <c r="AE2084" s="11">
        <v>0.13131505978116356</v>
      </c>
      <c r="AF2084" s="11">
        <v>0.15</v>
      </c>
      <c r="AG2084" s="13">
        <v>0.23899999999999999</v>
      </c>
    </row>
    <row r="2085" spans="2:33"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35"/>
      <c r="Q2085" s="36" t="s">
        <v>36</v>
      </c>
      <c r="R2085" s="13">
        <v>1091</v>
      </c>
      <c r="S2085" s="13">
        <v>779</v>
      </c>
      <c r="T2085" s="13">
        <v>0</v>
      </c>
      <c r="U2085" s="13">
        <v>0</v>
      </c>
      <c r="V2085" s="13">
        <v>0</v>
      </c>
      <c r="W2085" s="37">
        <v>1571</v>
      </c>
      <c r="X2085" s="18"/>
      <c r="Y2085" s="14"/>
      <c r="Z2085" s="14"/>
      <c r="AA2085" s="14"/>
      <c r="AB2085" s="14"/>
      <c r="AC2085" s="14"/>
      <c r="AD2085" s="14"/>
      <c r="AE2085" s="14"/>
      <c r="AF2085" s="14"/>
      <c r="AG2085" s="35"/>
    </row>
    <row r="2086" spans="2:33">
      <c r="B2086" s="19"/>
      <c r="P2086" s="16"/>
      <c r="Q2086" s="36" t="s">
        <v>37</v>
      </c>
      <c r="R2086" s="13">
        <v>0</v>
      </c>
      <c r="S2086" s="13">
        <v>1139</v>
      </c>
      <c r="T2086" s="13">
        <v>823</v>
      </c>
      <c r="U2086" s="13">
        <v>0</v>
      </c>
      <c r="V2086" s="13">
        <v>0</v>
      </c>
      <c r="W2086" s="37">
        <v>1918</v>
      </c>
      <c r="X2086" s="19"/>
      <c r="AG2086" s="16"/>
    </row>
    <row r="2087" spans="2:33">
      <c r="B2087" s="19"/>
      <c r="P2087" s="16"/>
      <c r="Q2087" s="36" t="s">
        <v>38</v>
      </c>
      <c r="R2087" s="13">
        <v>0</v>
      </c>
      <c r="S2087" s="13">
        <v>0</v>
      </c>
      <c r="T2087" s="13">
        <v>0</v>
      </c>
      <c r="U2087" s="13">
        <v>863</v>
      </c>
      <c r="V2087" s="13">
        <v>601</v>
      </c>
      <c r="W2087" s="37">
        <v>1240</v>
      </c>
      <c r="X2087" s="19"/>
      <c r="AG2087" s="16"/>
    </row>
    <row r="2088" spans="2:33">
      <c r="B2088" s="19"/>
      <c r="P2088" s="16"/>
      <c r="Q2088" s="36" t="s">
        <v>345</v>
      </c>
      <c r="R2088" s="13">
        <v>0</v>
      </c>
      <c r="S2088" s="13">
        <v>0</v>
      </c>
      <c r="T2088" s="13">
        <v>0</v>
      </c>
      <c r="U2088" s="13">
        <v>33</v>
      </c>
      <c r="V2088" s="13">
        <v>24</v>
      </c>
      <c r="W2088" s="37">
        <v>218</v>
      </c>
      <c r="X2088" s="19"/>
      <c r="AG2088" s="16"/>
    </row>
    <row r="2089" spans="2:33">
      <c r="B2089" s="19"/>
      <c r="P2089" s="16"/>
      <c r="Q2089" s="36" t="s">
        <v>346</v>
      </c>
      <c r="R2089" s="13">
        <v>0</v>
      </c>
      <c r="S2089" s="13">
        <v>0</v>
      </c>
      <c r="T2089" s="13">
        <v>0</v>
      </c>
      <c r="U2089" s="13">
        <v>988</v>
      </c>
      <c r="V2089" s="13">
        <v>658</v>
      </c>
      <c r="W2089" s="37">
        <v>818</v>
      </c>
      <c r="X2089" s="19"/>
      <c r="AG2089" s="16"/>
    </row>
    <row r="2090" spans="2:33">
      <c r="B2090" s="19"/>
      <c r="P2090" s="16"/>
      <c r="Q2090" s="36" t="s">
        <v>40</v>
      </c>
      <c r="R2090" s="13">
        <v>0</v>
      </c>
      <c r="S2090" s="13">
        <v>0</v>
      </c>
      <c r="T2090" s="13">
        <v>1806</v>
      </c>
      <c r="U2090" s="13">
        <v>1198</v>
      </c>
      <c r="V2090" s="13">
        <v>0</v>
      </c>
      <c r="W2090" s="37">
        <v>874</v>
      </c>
      <c r="X2090" s="19"/>
      <c r="AG2090" s="16"/>
    </row>
    <row r="2091" spans="2:33">
      <c r="B2091" s="19"/>
      <c r="P2091" s="16"/>
      <c r="Q2091" s="36" t="s">
        <v>41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37">
        <v>0</v>
      </c>
      <c r="X2091" s="19"/>
      <c r="AG2091" s="16"/>
    </row>
    <row r="2092" spans="2:33">
      <c r="B2092" s="19"/>
      <c r="P2092" s="16"/>
      <c r="Q2092" s="36" t="s">
        <v>42</v>
      </c>
      <c r="R2092" s="13">
        <v>0</v>
      </c>
      <c r="S2092" s="13">
        <v>0</v>
      </c>
      <c r="T2092" s="13">
        <v>1720</v>
      </c>
      <c r="U2092" s="13">
        <v>1173</v>
      </c>
      <c r="V2092" s="13">
        <v>0</v>
      </c>
      <c r="W2092" s="37">
        <v>925</v>
      </c>
      <c r="X2092" s="19"/>
      <c r="AG2092" s="16"/>
    </row>
    <row r="2093" spans="2:33">
      <c r="B2093" s="19"/>
      <c r="P2093" s="16"/>
      <c r="Q2093" s="36" t="s">
        <v>43</v>
      </c>
      <c r="R2093" s="13">
        <v>0</v>
      </c>
      <c r="S2093" s="13">
        <v>0</v>
      </c>
      <c r="T2093" s="13">
        <v>1616</v>
      </c>
      <c r="U2093" s="13">
        <v>1096</v>
      </c>
      <c r="V2093" s="13">
        <v>0</v>
      </c>
      <c r="W2093" s="37">
        <v>838</v>
      </c>
      <c r="X2093" s="19"/>
      <c r="AG2093" s="16"/>
    </row>
    <row r="2094" spans="2:33">
      <c r="B2094" s="19"/>
      <c r="P2094" s="16"/>
      <c r="Q2094" s="36" t="s">
        <v>44</v>
      </c>
      <c r="R2094" s="13">
        <v>0</v>
      </c>
      <c r="S2094" s="13">
        <v>0</v>
      </c>
      <c r="T2094" s="13">
        <v>0</v>
      </c>
      <c r="U2094" s="13">
        <v>1570</v>
      </c>
      <c r="V2094" s="13">
        <v>1028</v>
      </c>
      <c r="W2094" s="37">
        <v>824</v>
      </c>
      <c r="X2094" s="19"/>
      <c r="AG2094" s="16"/>
    </row>
    <row r="2095" spans="2:33">
      <c r="B2095" s="19"/>
      <c r="P2095" s="16"/>
      <c r="Q2095" s="36" t="s">
        <v>45</v>
      </c>
      <c r="R2095" s="13">
        <v>0</v>
      </c>
      <c r="S2095" s="13">
        <v>1094</v>
      </c>
      <c r="T2095" s="13">
        <v>785</v>
      </c>
      <c r="U2095" s="13">
        <v>0</v>
      </c>
      <c r="V2095" s="13">
        <v>0</v>
      </c>
      <c r="W2095" s="37">
        <v>1505</v>
      </c>
      <c r="X2095" s="19"/>
      <c r="AG2095" s="16"/>
    </row>
    <row r="2096" spans="2:33" ht="15" thickBot="1">
      <c r="B2096" s="20"/>
      <c r="C2096" s="15"/>
      <c r="D2096" s="15"/>
      <c r="E2096" s="15"/>
      <c r="F2096" s="15"/>
      <c r="G2096" s="15"/>
      <c r="H2096" s="15"/>
      <c r="I2096" s="15"/>
      <c r="J2096" s="15"/>
      <c r="K2096" s="15"/>
      <c r="L2096" s="15"/>
      <c r="M2096" s="15"/>
      <c r="N2096" s="15"/>
      <c r="O2096" s="15"/>
      <c r="P2096" s="17"/>
      <c r="Q2096" s="36" t="s">
        <v>46</v>
      </c>
      <c r="R2096" s="13">
        <v>1214</v>
      </c>
      <c r="S2096" s="13">
        <v>876</v>
      </c>
      <c r="T2096" s="13">
        <v>0</v>
      </c>
      <c r="U2096" s="13">
        <v>0</v>
      </c>
      <c r="V2096" s="13">
        <v>0</v>
      </c>
      <c r="W2096" s="37">
        <v>1793</v>
      </c>
      <c r="X2096" s="20"/>
      <c r="Y2096" s="15"/>
      <c r="Z2096" s="15"/>
      <c r="AA2096" s="15"/>
      <c r="AB2096" s="15"/>
      <c r="AC2096" s="15"/>
      <c r="AD2096" s="15"/>
      <c r="AE2096" s="15"/>
      <c r="AF2096" s="15"/>
      <c r="AG2096" s="17"/>
    </row>
    <row r="2097" spans="2:33" ht="15" thickBot="1"/>
    <row r="2098" spans="2:33" ht="15" thickBot="1">
      <c r="B2098" s="33" t="s">
        <v>2188</v>
      </c>
      <c r="C2098" s="26" t="s">
        <v>958</v>
      </c>
      <c r="D2098" s="26" t="s">
        <v>962</v>
      </c>
      <c r="E2098" s="26" t="s">
        <v>963</v>
      </c>
      <c r="F2098" s="26" t="s">
        <v>327</v>
      </c>
      <c r="G2098" s="26" t="s">
        <v>33</v>
      </c>
      <c r="H2098" s="27" t="s">
        <v>33</v>
      </c>
      <c r="I2098" s="26" t="s">
        <v>964</v>
      </c>
      <c r="J2098" s="27" t="s">
        <v>87</v>
      </c>
      <c r="K2098" s="29">
        <v>15.0100002288818</v>
      </c>
      <c r="L2098" s="29">
        <v>15.0100002288818</v>
      </c>
      <c r="M2098" s="29">
        <v>15.0100002288818</v>
      </c>
      <c r="N2098" s="29">
        <v>15.0100002288818</v>
      </c>
      <c r="O2098" s="29">
        <v>15.0100002288818</v>
      </c>
      <c r="P2098" s="40">
        <v>23.100000381469702</v>
      </c>
      <c r="Q2098" s="1" t="s">
        <v>35</v>
      </c>
      <c r="R2098" s="2">
        <v>395</v>
      </c>
      <c r="S2098" s="2">
        <v>285</v>
      </c>
      <c r="T2098" s="2">
        <v>0</v>
      </c>
      <c r="U2098" s="2">
        <v>0</v>
      </c>
      <c r="V2098" s="2">
        <v>0</v>
      </c>
      <c r="W2098" s="2">
        <v>449</v>
      </c>
      <c r="X2098" s="43">
        <f>SUM(R2098:W2110)</f>
        <v>12160</v>
      </c>
      <c r="Y2098" s="10">
        <v>46204</v>
      </c>
      <c r="Z2098" s="11">
        <v>0.21896900122639595</v>
      </c>
      <c r="AA2098" s="11">
        <v>0.18255917925488163</v>
      </c>
      <c r="AB2098" s="11">
        <v>0.14708513495490375</v>
      </c>
      <c r="AC2098" s="11">
        <v>0.12856702693487934</v>
      </c>
      <c r="AD2098" s="11">
        <v>0.11429546234595808</v>
      </c>
      <c r="AE2098" s="11">
        <v>0.13131505978116356</v>
      </c>
      <c r="AF2098" s="11">
        <v>0.15</v>
      </c>
      <c r="AG2098" s="13">
        <v>0.23899999999999999</v>
      </c>
    </row>
    <row r="2099" spans="2:33"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35"/>
      <c r="Q2099" s="36" t="s">
        <v>36</v>
      </c>
      <c r="R2099" s="13">
        <v>280</v>
      </c>
      <c r="S2099" s="13">
        <v>212</v>
      </c>
      <c r="T2099" s="13">
        <v>0</v>
      </c>
      <c r="U2099" s="13">
        <v>0</v>
      </c>
      <c r="V2099" s="13">
        <v>0</v>
      </c>
      <c r="W2099" s="37">
        <v>372</v>
      </c>
      <c r="X2099" s="18"/>
      <c r="Y2099" s="14"/>
      <c r="Z2099" s="14"/>
      <c r="AA2099" s="14"/>
      <c r="AB2099" s="14"/>
      <c r="AC2099" s="14"/>
      <c r="AD2099" s="14"/>
      <c r="AE2099" s="14"/>
      <c r="AF2099" s="14"/>
      <c r="AG2099" s="35"/>
    </row>
    <row r="2100" spans="2:33">
      <c r="B2100" s="19"/>
      <c r="P2100" s="16"/>
      <c r="Q2100" s="36" t="s">
        <v>37</v>
      </c>
      <c r="R2100" s="13">
        <v>0</v>
      </c>
      <c r="S2100" s="13">
        <v>303</v>
      </c>
      <c r="T2100" s="13">
        <v>234</v>
      </c>
      <c r="U2100" s="13">
        <v>0</v>
      </c>
      <c r="V2100" s="13">
        <v>0</v>
      </c>
      <c r="W2100" s="37">
        <v>441</v>
      </c>
      <c r="X2100" s="19"/>
      <c r="AG2100" s="16"/>
    </row>
    <row r="2101" spans="2:33">
      <c r="B2101" s="19"/>
      <c r="P2101" s="16"/>
      <c r="Q2101" s="36" t="s">
        <v>38</v>
      </c>
      <c r="R2101" s="13">
        <v>0</v>
      </c>
      <c r="S2101" s="13">
        <v>0</v>
      </c>
      <c r="T2101" s="13">
        <v>0</v>
      </c>
      <c r="U2101" s="13">
        <v>119</v>
      </c>
      <c r="V2101" s="13">
        <v>97</v>
      </c>
      <c r="W2101" s="37">
        <v>173</v>
      </c>
      <c r="X2101" s="19"/>
      <c r="AG2101" s="16"/>
    </row>
    <row r="2102" spans="2:33">
      <c r="B2102" s="19"/>
      <c r="P2102" s="16"/>
      <c r="Q2102" s="36" t="s">
        <v>345</v>
      </c>
      <c r="R2102" s="13">
        <v>0</v>
      </c>
      <c r="S2102" s="13">
        <v>0</v>
      </c>
      <c r="T2102" s="13">
        <v>0</v>
      </c>
      <c r="U2102" s="13">
        <v>6</v>
      </c>
      <c r="V2102" s="13">
        <v>4</v>
      </c>
      <c r="W2102" s="37">
        <v>26</v>
      </c>
      <c r="X2102" s="19"/>
      <c r="AG2102" s="16"/>
    </row>
    <row r="2103" spans="2:33">
      <c r="B2103" s="19"/>
      <c r="P2103" s="16"/>
      <c r="Q2103" s="36" t="s">
        <v>346</v>
      </c>
      <c r="R2103" s="13">
        <v>0</v>
      </c>
      <c r="S2103" s="13">
        <v>0</v>
      </c>
      <c r="T2103" s="13">
        <v>0</v>
      </c>
      <c r="U2103" s="13">
        <v>185</v>
      </c>
      <c r="V2103" s="13">
        <v>170</v>
      </c>
      <c r="W2103" s="37">
        <v>218</v>
      </c>
      <c r="X2103" s="19"/>
      <c r="AG2103" s="16"/>
    </row>
    <row r="2104" spans="2:33">
      <c r="B2104" s="19"/>
      <c r="P2104" s="16"/>
      <c r="Q2104" s="36" t="s">
        <v>40</v>
      </c>
      <c r="R2104" s="13">
        <v>0</v>
      </c>
      <c r="S2104" s="13">
        <v>0</v>
      </c>
      <c r="T2104" s="13">
        <v>450</v>
      </c>
      <c r="U2104" s="13">
        <v>412</v>
      </c>
      <c r="V2104" s="13">
        <v>0</v>
      </c>
      <c r="W2104" s="37">
        <v>543</v>
      </c>
      <c r="X2104" s="19"/>
      <c r="AG2104" s="16"/>
    </row>
    <row r="2105" spans="2:33">
      <c r="B2105" s="19"/>
      <c r="P2105" s="16"/>
      <c r="Q2105" s="36" t="s">
        <v>41</v>
      </c>
      <c r="R2105" s="13">
        <v>680</v>
      </c>
      <c r="S2105" s="13">
        <v>555</v>
      </c>
      <c r="T2105" s="13">
        <v>0</v>
      </c>
      <c r="U2105" s="13">
        <v>0</v>
      </c>
      <c r="V2105" s="13">
        <v>0</v>
      </c>
      <c r="W2105" s="37">
        <v>424</v>
      </c>
      <c r="X2105" s="19"/>
      <c r="AG2105" s="16"/>
    </row>
    <row r="2106" spans="2:33">
      <c r="B2106" s="19"/>
      <c r="P2106" s="16"/>
      <c r="Q2106" s="36" t="s">
        <v>42</v>
      </c>
      <c r="R2106" s="13">
        <v>0</v>
      </c>
      <c r="S2106" s="13">
        <v>0</v>
      </c>
      <c r="T2106" s="13">
        <v>543</v>
      </c>
      <c r="U2106" s="13">
        <v>408</v>
      </c>
      <c r="V2106" s="13">
        <v>0</v>
      </c>
      <c r="W2106" s="37">
        <v>699</v>
      </c>
      <c r="X2106" s="19"/>
      <c r="AG2106" s="16"/>
    </row>
    <row r="2107" spans="2:33">
      <c r="B2107" s="19"/>
      <c r="P2107" s="16"/>
      <c r="Q2107" s="36" t="s">
        <v>43</v>
      </c>
      <c r="R2107" s="13">
        <v>0</v>
      </c>
      <c r="S2107" s="13">
        <v>0</v>
      </c>
      <c r="T2107" s="13">
        <v>342</v>
      </c>
      <c r="U2107" s="13">
        <v>289</v>
      </c>
      <c r="V2107" s="13">
        <v>0</v>
      </c>
      <c r="W2107" s="37">
        <v>334</v>
      </c>
      <c r="X2107" s="19"/>
      <c r="AG2107" s="16"/>
    </row>
    <row r="2108" spans="2:33">
      <c r="B2108" s="19"/>
      <c r="P2108" s="16"/>
      <c r="Q2108" s="36" t="s">
        <v>44</v>
      </c>
      <c r="R2108" s="13">
        <v>0</v>
      </c>
      <c r="S2108" s="13">
        <v>0</v>
      </c>
      <c r="T2108" s="13">
        <v>0</v>
      </c>
      <c r="U2108" s="13">
        <v>271</v>
      </c>
      <c r="V2108" s="13">
        <v>196</v>
      </c>
      <c r="W2108" s="37">
        <v>290</v>
      </c>
      <c r="X2108" s="19"/>
      <c r="AG2108" s="16"/>
    </row>
    <row r="2109" spans="2:33">
      <c r="B2109" s="19"/>
      <c r="P2109" s="16"/>
      <c r="Q2109" s="36" t="s">
        <v>45</v>
      </c>
      <c r="R2109" s="13">
        <v>0</v>
      </c>
      <c r="S2109" s="13">
        <v>295</v>
      </c>
      <c r="T2109" s="13">
        <v>206</v>
      </c>
      <c r="U2109" s="13">
        <v>0</v>
      </c>
      <c r="V2109" s="13">
        <v>0</v>
      </c>
      <c r="W2109" s="37">
        <v>384</v>
      </c>
      <c r="X2109" s="19"/>
      <c r="AG2109" s="16"/>
    </row>
    <row r="2110" spans="2:33" ht="15" thickBot="1">
      <c r="B2110" s="20"/>
      <c r="C2110" s="15"/>
      <c r="D2110" s="15"/>
      <c r="E2110" s="15"/>
      <c r="F2110" s="15"/>
      <c r="G2110" s="15"/>
      <c r="H2110" s="15"/>
      <c r="I2110" s="15"/>
      <c r="J2110" s="15"/>
      <c r="K2110" s="15"/>
      <c r="L2110" s="15"/>
      <c r="M2110" s="15"/>
      <c r="N2110" s="15"/>
      <c r="O2110" s="15"/>
      <c r="P2110" s="17"/>
      <c r="Q2110" s="36" t="s">
        <v>46</v>
      </c>
      <c r="R2110" s="13">
        <v>306</v>
      </c>
      <c r="S2110" s="13">
        <v>194</v>
      </c>
      <c r="T2110" s="13">
        <v>0</v>
      </c>
      <c r="U2110" s="13">
        <v>0</v>
      </c>
      <c r="V2110" s="13">
        <v>0</v>
      </c>
      <c r="W2110" s="37">
        <v>370</v>
      </c>
      <c r="X2110" s="20"/>
      <c r="Y2110" s="15"/>
      <c r="Z2110" s="15"/>
      <c r="AA2110" s="15"/>
      <c r="AB2110" s="15"/>
      <c r="AC2110" s="15"/>
      <c r="AD2110" s="15"/>
      <c r="AE2110" s="15"/>
      <c r="AF2110" s="15"/>
      <c r="AG2110" s="17"/>
    </row>
    <row r="2111" spans="2:33" ht="15" thickBot="1"/>
    <row r="2112" spans="2:33" ht="15" thickBot="1">
      <c r="B2112" s="33" t="s">
        <v>2188</v>
      </c>
      <c r="C2112" s="26" t="s">
        <v>965</v>
      </c>
      <c r="D2112" s="26" t="s">
        <v>966</v>
      </c>
      <c r="E2112" s="26" t="s">
        <v>967</v>
      </c>
      <c r="F2112" s="26" t="s">
        <v>968</v>
      </c>
      <c r="G2112" s="26" t="s">
        <v>33</v>
      </c>
      <c r="H2112" s="27" t="s">
        <v>33</v>
      </c>
      <c r="I2112" s="26" t="s">
        <v>969</v>
      </c>
      <c r="J2112" s="27" t="s">
        <v>34</v>
      </c>
      <c r="K2112" s="29">
        <v>250</v>
      </c>
      <c r="L2112" s="29">
        <v>250</v>
      </c>
      <c r="M2112" s="29">
        <v>250</v>
      </c>
      <c r="N2112" s="29">
        <v>250</v>
      </c>
      <c r="O2112" s="29">
        <v>250</v>
      </c>
      <c r="P2112" s="40">
        <v>451</v>
      </c>
      <c r="Q2112" s="1" t="s">
        <v>970</v>
      </c>
      <c r="R2112" s="2">
        <v>7033</v>
      </c>
      <c r="S2112" s="2">
        <v>4959</v>
      </c>
      <c r="T2112" s="2">
        <v>0</v>
      </c>
      <c r="U2112" s="2">
        <v>0</v>
      </c>
      <c r="V2112" s="2">
        <v>0</v>
      </c>
      <c r="W2112" s="2">
        <v>7126</v>
      </c>
      <c r="X2112" s="43">
        <f>SUM(R2112:W2125)</f>
        <v>596430</v>
      </c>
      <c r="Y2112" s="10">
        <v>46204</v>
      </c>
      <c r="Z2112" s="11">
        <v>0.18944179940637271</v>
      </c>
      <c r="AA2112" s="11">
        <v>0.15835358124143273</v>
      </c>
      <c r="AB2112" s="11">
        <v>0.13112092502991979</v>
      </c>
      <c r="AC2112" s="11">
        <v>0.11711967035536473</v>
      </c>
      <c r="AD2112" s="11">
        <v>0.10620551120181751</v>
      </c>
      <c r="AE2112" s="11">
        <v>0.12187624542640918</v>
      </c>
      <c r="AF2112" s="11">
        <v>0.15</v>
      </c>
      <c r="AG2112" s="13">
        <v>0.23899999999999999</v>
      </c>
    </row>
    <row r="2113" spans="2:33"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35"/>
      <c r="Q2113" s="36" t="s">
        <v>971</v>
      </c>
      <c r="R2113" s="13">
        <v>20101</v>
      </c>
      <c r="S2113" s="13">
        <v>13984</v>
      </c>
      <c r="T2113" s="13">
        <v>0</v>
      </c>
      <c r="U2113" s="13">
        <v>0</v>
      </c>
      <c r="V2113" s="13">
        <v>0</v>
      </c>
      <c r="W2113" s="37">
        <v>13095</v>
      </c>
      <c r="X2113" s="18"/>
      <c r="Y2113" s="14"/>
      <c r="Z2113" s="14"/>
      <c r="AA2113" s="14"/>
      <c r="AB2113" s="14"/>
      <c r="AC2113" s="14"/>
      <c r="AD2113" s="14"/>
      <c r="AE2113" s="14"/>
      <c r="AF2113" s="14"/>
      <c r="AG2113" s="35"/>
    </row>
    <row r="2114" spans="2:33">
      <c r="B2114" s="19"/>
      <c r="P2114" s="16"/>
      <c r="Q2114" s="36" t="s">
        <v>36</v>
      </c>
      <c r="R2114" s="13">
        <v>22597</v>
      </c>
      <c r="S2114" s="13">
        <v>16067</v>
      </c>
      <c r="T2114" s="13">
        <v>0</v>
      </c>
      <c r="U2114" s="13">
        <v>0</v>
      </c>
      <c r="V2114" s="13">
        <v>0</v>
      </c>
      <c r="W2114" s="37">
        <v>15738</v>
      </c>
      <c r="X2114" s="19"/>
      <c r="AG2114" s="16"/>
    </row>
    <row r="2115" spans="2:33">
      <c r="B2115" s="19"/>
      <c r="P2115" s="16"/>
      <c r="Q2115" s="36" t="s">
        <v>37</v>
      </c>
      <c r="R2115" s="13">
        <v>0</v>
      </c>
      <c r="S2115" s="13">
        <v>23551</v>
      </c>
      <c r="T2115" s="13">
        <v>16434</v>
      </c>
      <c r="U2115" s="13">
        <v>0</v>
      </c>
      <c r="V2115" s="13">
        <v>0</v>
      </c>
      <c r="W2115" s="37">
        <v>15593</v>
      </c>
      <c r="X2115" s="19"/>
      <c r="AG2115" s="16"/>
    </row>
    <row r="2116" spans="2:33">
      <c r="B2116" s="19"/>
      <c r="P2116" s="16"/>
      <c r="Q2116" s="36" t="s">
        <v>38</v>
      </c>
      <c r="R2116" s="13">
        <v>0</v>
      </c>
      <c r="S2116" s="13">
        <v>0</v>
      </c>
      <c r="T2116" s="13">
        <v>0</v>
      </c>
      <c r="U2116" s="13">
        <v>18894</v>
      </c>
      <c r="V2116" s="13">
        <v>13141</v>
      </c>
      <c r="W2116" s="37">
        <v>12837</v>
      </c>
      <c r="X2116" s="19"/>
      <c r="AG2116" s="16"/>
    </row>
    <row r="2117" spans="2:33">
      <c r="B2117" s="19"/>
      <c r="P2117" s="16"/>
      <c r="Q2117" s="36" t="s">
        <v>39</v>
      </c>
      <c r="R2117" s="13">
        <v>0</v>
      </c>
      <c r="S2117" s="13">
        <v>0</v>
      </c>
      <c r="T2117" s="13">
        <v>0</v>
      </c>
      <c r="U2117" s="13">
        <v>17106</v>
      </c>
      <c r="V2117" s="13">
        <v>11974</v>
      </c>
      <c r="W2117" s="37">
        <v>12842</v>
      </c>
      <c r="X2117" s="19"/>
      <c r="AG2117" s="16"/>
    </row>
    <row r="2118" spans="2:33">
      <c r="B2118" s="19"/>
      <c r="P2118" s="16"/>
      <c r="Q2118" s="36" t="s">
        <v>40</v>
      </c>
      <c r="R2118" s="13">
        <v>0</v>
      </c>
      <c r="S2118" s="13">
        <v>0</v>
      </c>
      <c r="T2118" s="13">
        <v>22596</v>
      </c>
      <c r="U2118" s="13">
        <v>16667</v>
      </c>
      <c r="V2118" s="13">
        <v>0</v>
      </c>
      <c r="W2118" s="37">
        <v>13781</v>
      </c>
      <c r="X2118" s="19"/>
      <c r="AG2118" s="16"/>
    </row>
    <row r="2119" spans="2:33">
      <c r="B2119" s="19"/>
      <c r="P2119" s="16"/>
      <c r="Q2119" s="36" t="s">
        <v>972</v>
      </c>
      <c r="R2119" s="13">
        <v>2704</v>
      </c>
      <c r="S2119" s="13">
        <v>1974</v>
      </c>
      <c r="T2119" s="13">
        <v>0</v>
      </c>
      <c r="U2119" s="13">
        <v>0</v>
      </c>
      <c r="V2119" s="13">
        <v>0</v>
      </c>
      <c r="W2119" s="37">
        <v>756</v>
      </c>
      <c r="X2119" s="19"/>
      <c r="AG2119" s="16"/>
    </row>
    <row r="2120" spans="2:33">
      <c r="B2120" s="19"/>
      <c r="P2120" s="16"/>
      <c r="Q2120" s="36" t="s">
        <v>973</v>
      </c>
      <c r="R2120" s="13">
        <v>20076</v>
      </c>
      <c r="S2120" s="13">
        <v>14721</v>
      </c>
      <c r="T2120" s="13">
        <v>0</v>
      </c>
      <c r="U2120" s="13">
        <v>0</v>
      </c>
      <c r="V2120" s="13">
        <v>0</v>
      </c>
      <c r="W2120" s="37">
        <v>14207</v>
      </c>
      <c r="X2120" s="19"/>
      <c r="AG2120" s="16"/>
    </row>
    <row r="2121" spans="2:33">
      <c r="B2121" s="19"/>
      <c r="P2121" s="16"/>
      <c r="Q2121" s="36" t="s">
        <v>42</v>
      </c>
      <c r="R2121" s="13">
        <v>0</v>
      </c>
      <c r="S2121" s="13">
        <v>0</v>
      </c>
      <c r="T2121" s="13">
        <v>16764</v>
      </c>
      <c r="U2121" s="13">
        <v>11708</v>
      </c>
      <c r="V2121" s="13">
        <v>0</v>
      </c>
      <c r="W2121" s="37">
        <v>14317</v>
      </c>
      <c r="X2121" s="19"/>
      <c r="AG2121" s="16"/>
    </row>
    <row r="2122" spans="2:33">
      <c r="B2122" s="19"/>
      <c r="P2122" s="16"/>
      <c r="Q2122" s="36" t="s">
        <v>43</v>
      </c>
      <c r="R2122" s="13">
        <v>0</v>
      </c>
      <c r="S2122" s="13">
        <v>0</v>
      </c>
      <c r="T2122" s="13">
        <v>17214</v>
      </c>
      <c r="U2122" s="13">
        <v>12096</v>
      </c>
      <c r="V2122" s="13">
        <v>0</v>
      </c>
      <c r="W2122" s="37">
        <v>11371</v>
      </c>
      <c r="X2122" s="19"/>
      <c r="AG2122" s="16"/>
    </row>
    <row r="2123" spans="2:33">
      <c r="B2123" s="19"/>
      <c r="P2123" s="16"/>
      <c r="Q2123" s="36" t="s">
        <v>44</v>
      </c>
      <c r="R2123" s="13">
        <v>0</v>
      </c>
      <c r="S2123" s="13">
        <v>0</v>
      </c>
      <c r="T2123" s="13">
        <v>0</v>
      </c>
      <c r="U2123" s="13">
        <v>19038</v>
      </c>
      <c r="V2123" s="13">
        <v>14199</v>
      </c>
      <c r="W2123" s="37">
        <v>11598</v>
      </c>
      <c r="X2123" s="19"/>
      <c r="AG2123" s="16"/>
    </row>
    <row r="2124" spans="2:33">
      <c r="B2124" s="19"/>
      <c r="P2124" s="16"/>
      <c r="Q2124" s="36" t="s">
        <v>45</v>
      </c>
      <c r="R2124" s="13">
        <v>0</v>
      </c>
      <c r="S2124" s="13">
        <v>18550</v>
      </c>
      <c r="T2124" s="13">
        <v>13452</v>
      </c>
      <c r="U2124" s="13">
        <v>0</v>
      </c>
      <c r="V2124" s="13">
        <v>0</v>
      </c>
      <c r="W2124" s="37">
        <v>14990</v>
      </c>
      <c r="X2124" s="19"/>
      <c r="AG2124" s="16"/>
    </row>
    <row r="2125" spans="2:33" ht="15" thickBot="1">
      <c r="B2125" s="20"/>
      <c r="C2125" s="15"/>
      <c r="D2125" s="15"/>
      <c r="E2125" s="15"/>
      <c r="F2125" s="15"/>
      <c r="G2125" s="15"/>
      <c r="H2125" s="15"/>
      <c r="I2125" s="15"/>
      <c r="J2125" s="15"/>
      <c r="K2125" s="15"/>
      <c r="L2125" s="15"/>
      <c r="M2125" s="15"/>
      <c r="N2125" s="15"/>
      <c r="O2125" s="15"/>
      <c r="P2125" s="17"/>
      <c r="Q2125" s="36" t="s">
        <v>46</v>
      </c>
      <c r="R2125" s="13">
        <v>19994</v>
      </c>
      <c r="S2125" s="13">
        <v>14692</v>
      </c>
      <c r="T2125" s="13">
        <v>0</v>
      </c>
      <c r="U2125" s="13">
        <v>0</v>
      </c>
      <c r="V2125" s="13">
        <v>0</v>
      </c>
      <c r="W2125" s="37">
        <v>15893</v>
      </c>
      <c r="X2125" s="20"/>
      <c r="Y2125" s="15"/>
      <c r="Z2125" s="15"/>
      <c r="AA2125" s="15"/>
      <c r="AB2125" s="15"/>
      <c r="AC2125" s="15"/>
      <c r="AD2125" s="15"/>
      <c r="AE2125" s="15"/>
      <c r="AF2125" s="15"/>
      <c r="AG2125" s="17"/>
    </row>
    <row r="2127" spans="2:33" ht="15" thickBot="1">
      <c r="B2127" s="25" t="s">
        <v>974</v>
      </c>
      <c r="C2127" s="26" t="s">
        <v>975</v>
      </c>
      <c r="D2127" s="26" t="s">
        <v>976</v>
      </c>
      <c r="E2127" s="26" t="s">
        <v>977</v>
      </c>
      <c r="F2127" s="26" t="s">
        <v>978</v>
      </c>
      <c r="G2127" s="26" t="s">
        <v>86</v>
      </c>
      <c r="H2127" s="27" t="s">
        <v>86</v>
      </c>
      <c r="I2127" s="26" t="s">
        <v>979</v>
      </c>
      <c r="J2127" s="27" t="s">
        <v>87</v>
      </c>
      <c r="K2127" s="29">
        <v>35</v>
      </c>
      <c r="L2127" s="29">
        <v>35</v>
      </c>
      <c r="M2127" s="29">
        <v>35</v>
      </c>
      <c r="N2127" s="29">
        <v>35</v>
      </c>
      <c r="O2127" s="29">
        <v>35</v>
      </c>
      <c r="P2127" s="40">
        <v>35</v>
      </c>
      <c r="Q2127" s="1" t="s">
        <v>35</v>
      </c>
      <c r="R2127" s="2">
        <v>1781</v>
      </c>
      <c r="S2127" s="2">
        <v>923</v>
      </c>
      <c r="T2127" s="2">
        <v>0</v>
      </c>
      <c r="U2127" s="2">
        <v>0</v>
      </c>
      <c r="V2127" s="2">
        <v>0</v>
      </c>
      <c r="W2127" s="2">
        <v>869</v>
      </c>
      <c r="X2127" s="43">
        <f>SUM(R2127:W2138)</f>
        <v>47939</v>
      </c>
      <c r="Y2127" s="10">
        <v>46204</v>
      </c>
      <c r="Z2127" s="11">
        <v>0.21915174234314722</v>
      </c>
      <c r="AA2127" s="11">
        <v>0.18274192037163289</v>
      </c>
      <c r="AB2127" s="11">
        <v>0.14726787607165501</v>
      </c>
      <c r="AC2127" s="11">
        <v>0.1287497680516306</v>
      </c>
      <c r="AD2127" s="11">
        <v>0.11447820346270936</v>
      </c>
      <c r="AE2127" s="11">
        <v>0.13149780089791482</v>
      </c>
      <c r="AF2127" s="11">
        <v>0.2</v>
      </c>
      <c r="AG2127" s="11">
        <v>0.23899999999999999</v>
      </c>
    </row>
    <row r="2128" spans="2:33">
      <c r="B2128" s="18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35"/>
      <c r="Q2128" s="36" t="s">
        <v>36</v>
      </c>
      <c r="R2128" s="13">
        <v>1470</v>
      </c>
      <c r="S2128" s="13">
        <v>877</v>
      </c>
      <c r="T2128" s="13">
        <v>0</v>
      </c>
      <c r="U2128" s="13">
        <v>0</v>
      </c>
      <c r="V2128" s="13">
        <v>0</v>
      </c>
      <c r="W2128" s="37">
        <v>722</v>
      </c>
      <c r="X2128" s="18"/>
      <c r="Y2128" s="14"/>
      <c r="Z2128" s="14"/>
      <c r="AA2128" s="14"/>
      <c r="AB2128" s="14"/>
      <c r="AC2128" s="14"/>
      <c r="AD2128" s="14"/>
      <c r="AE2128" s="14"/>
      <c r="AF2128" s="14"/>
      <c r="AG2128" s="35"/>
    </row>
    <row r="2129" spans="2:33">
      <c r="B2129" s="19"/>
      <c r="P2129" s="16"/>
      <c r="Q2129" s="36" t="s">
        <v>37</v>
      </c>
      <c r="R2129" s="13">
        <v>0</v>
      </c>
      <c r="S2129" s="13">
        <v>1505</v>
      </c>
      <c r="T2129" s="13">
        <v>529</v>
      </c>
      <c r="U2129" s="13">
        <v>0</v>
      </c>
      <c r="V2129" s="13">
        <v>0</v>
      </c>
      <c r="W2129" s="37">
        <v>619</v>
      </c>
      <c r="X2129" s="19"/>
      <c r="AG2129" s="16"/>
    </row>
    <row r="2130" spans="2:33">
      <c r="B2130" s="19"/>
      <c r="P2130" s="16"/>
      <c r="Q2130" s="36" t="s">
        <v>38</v>
      </c>
      <c r="R2130" s="13">
        <v>0</v>
      </c>
      <c r="S2130" s="13">
        <v>0</v>
      </c>
      <c r="T2130" s="13">
        <v>0</v>
      </c>
      <c r="U2130" s="13">
        <v>1417</v>
      </c>
      <c r="V2130" s="13">
        <v>925</v>
      </c>
      <c r="W2130" s="37">
        <v>631</v>
      </c>
      <c r="X2130" s="19"/>
      <c r="AG2130" s="16"/>
    </row>
    <row r="2131" spans="2:33">
      <c r="B2131" s="19"/>
      <c r="P2131" s="16"/>
      <c r="Q2131" s="36" t="s">
        <v>39</v>
      </c>
      <c r="R2131" s="13">
        <v>0</v>
      </c>
      <c r="S2131" s="13">
        <v>0</v>
      </c>
      <c r="T2131" s="13">
        <v>0</v>
      </c>
      <c r="U2131" s="13">
        <v>1925</v>
      </c>
      <c r="V2131" s="13">
        <v>1265</v>
      </c>
      <c r="W2131" s="37">
        <v>1016</v>
      </c>
      <c r="X2131" s="19"/>
      <c r="AG2131" s="16"/>
    </row>
    <row r="2132" spans="2:33">
      <c r="B2132" s="19"/>
      <c r="P2132" s="16"/>
      <c r="Q2132" s="36" t="s">
        <v>40</v>
      </c>
      <c r="R2132" s="13">
        <v>0</v>
      </c>
      <c r="S2132" s="13">
        <v>0</v>
      </c>
      <c r="T2132" s="13">
        <v>2746</v>
      </c>
      <c r="U2132" s="13">
        <v>1658</v>
      </c>
      <c r="V2132" s="13">
        <v>0</v>
      </c>
      <c r="W2132" s="37">
        <v>801</v>
      </c>
      <c r="X2132" s="19"/>
      <c r="AG2132" s="16"/>
    </row>
    <row r="2133" spans="2:33">
      <c r="B2133" s="19"/>
      <c r="P2133" s="16"/>
      <c r="Q2133" s="36" t="s">
        <v>41</v>
      </c>
      <c r="R2133" s="13">
        <v>3026</v>
      </c>
      <c r="S2133" s="13">
        <v>1967</v>
      </c>
      <c r="T2133" s="13">
        <v>0</v>
      </c>
      <c r="U2133" s="13">
        <v>0</v>
      </c>
      <c r="V2133" s="13">
        <v>0</v>
      </c>
      <c r="W2133" s="37">
        <v>582</v>
      </c>
      <c r="X2133" s="19"/>
      <c r="AG2133" s="16"/>
    </row>
    <row r="2134" spans="2:33">
      <c r="B2134" s="19"/>
      <c r="P2134" s="16"/>
      <c r="Q2134" s="36" t="s">
        <v>42</v>
      </c>
      <c r="R2134" s="13">
        <v>0</v>
      </c>
      <c r="S2134" s="13">
        <v>0</v>
      </c>
      <c r="T2134" s="13">
        <v>2712</v>
      </c>
      <c r="U2134" s="13">
        <v>1729</v>
      </c>
      <c r="V2134" s="13">
        <v>0</v>
      </c>
      <c r="W2134" s="37">
        <v>637</v>
      </c>
      <c r="X2134" s="19"/>
      <c r="AG2134" s="16"/>
    </row>
    <row r="2135" spans="2:33">
      <c r="B2135" s="19"/>
      <c r="P2135" s="16"/>
      <c r="Q2135" s="36" t="s">
        <v>43</v>
      </c>
      <c r="R2135" s="13">
        <v>0</v>
      </c>
      <c r="S2135" s="13">
        <v>0</v>
      </c>
      <c r="T2135" s="13">
        <v>2643</v>
      </c>
      <c r="U2135" s="13">
        <v>1580</v>
      </c>
      <c r="V2135" s="13">
        <v>0</v>
      </c>
      <c r="W2135" s="37">
        <v>955</v>
      </c>
      <c r="X2135" s="19"/>
      <c r="AG2135" s="16"/>
    </row>
    <row r="2136" spans="2:33">
      <c r="B2136" s="19"/>
      <c r="P2136" s="16"/>
      <c r="Q2136" s="36" t="s">
        <v>44</v>
      </c>
      <c r="R2136" s="13">
        <v>0</v>
      </c>
      <c r="S2136" s="13">
        <v>0</v>
      </c>
      <c r="T2136" s="13">
        <v>0</v>
      </c>
      <c r="U2136" s="13">
        <v>1940</v>
      </c>
      <c r="V2136" s="13">
        <v>1250</v>
      </c>
      <c r="W2136" s="37">
        <v>773</v>
      </c>
      <c r="X2136" s="19"/>
      <c r="AG2136" s="16"/>
    </row>
    <row r="2137" spans="2:33">
      <c r="B2137" s="19"/>
      <c r="P2137" s="16"/>
      <c r="Q2137" s="36" t="s">
        <v>45</v>
      </c>
      <c r="R2137" s="13">
        <v>0</v>
      </c>
      <c r="S2137" s="13">
        <v>1510</v>
      </c>
      <c r="T2137" s="13">
        <v>977</v>
      </c>
      <c r="U2137" s="13">
        <v>0</v>
      </c>
      <c r="V2137" s="13">
        <v>0</v>
      </c>
      <c r="W2137" s="37">
        <v>756</v>
      </c>
      <c r="X2137" s="19"/>
      <c r="AG2137" s="16"/>
    </row>
    <row r="2138" spans="2:33" ht="15" thickBot="1">
      <c r="B2138" s="20"/>
      <c r="C2138" s="15"/>
      <c r="D2138" s="15"/>
      <c r="E2138" s="15"/>
      <c r="F2138" s="15"/>
      <c r="G2138" s="15"/>
      <c r="H2138" s="15"/>
      <c r="I2138" s="15"/>
      <c r="J2138" s="15"/>
      <c r="K2138" s="15"/>
      <c r="L2138" s="15"/>
      <c r="M2138" s="15"/>
      <c r="N2138" s="15"/>
      <c r="O2138" s="15"/>
      <c r="P2138" s="17"/>
      <c r="Q2138" s="36" t="s">
        <v>46</v>
      </c>
      <c r="R2138" s="13">
        <v>1802</v>
      </c>
      <c r="S2138" s="13">
        <v>822</v>
      </c>
      <c r="T2138" s="13">
        <v>0</v>
      </c>
      <c r="U2138" s="13">
        <v>0</v>
      </c>
      <c r="V2138" s="13">
        <v>0</v>
      </c>
      <c r="W2138" s="37">
        <v>599</v>
      </c>
      <c r="X2138" s="20"/>
      <c r="Y2138" s="15"/>
      <c r="Z2138" s="15"/>
      <c r="AA2138" s="15"/>
      <c r="AB2138" s="15"/>
      <c r="AC2138" s="15"/>
      <c r="AD2138" s="15"/>
      <c r="AE2138" s="15"/>
      <c r="AF2138" s="15"/>
      <c r="AG2138" s="17"/>
    </row>
    <row r="2140" spans="2:33" ht="15" thickBot="1">
      <c r="B2140" s="25" t="s">
        <v>974</v>
      </c>
      <c r="C2140" s="26" t="s">
        <v>975</v>
      </c>
      <c r="D2140" s="26" t="s">
        <v>980</v>
      </c>
      <c r="E2140" s="26" t="s">
        <v>981</v>
      </c>
      <c r="F2140" s="26" t="s">
        <v>982</v>
      </c>
      <c r="G2140" s="26" t="s">
        <v>983</v>
      </c>
      <c r="H2140" s="27" t="s">
        <v>984</v>
      </c>
      <c r="I2140" s="26" t="s">
        <v>985</v>
      </c>
      <c r="J2140" s="27" t="s">
        <v>87</v>
      </c>
      <c r="K2140" s="29">
        <v>16</v>
      </c>
      <c r="L2140" s="29">
        <v>16</v>
      </c>
      <c r="M2140" s="29">
        <v>16</v>
      </c>
      <c r="N2140" s="29">
        <v>16</v>
      </c>
      <c r="O2140" s="29">
        <v>16</v>
      </c>
      <c r="P2140" s="40">
        <v>38.099998474121101</v>
      </c>
      <c r="Q2140" s="1" t="s">
        <v>35</v>
      </c>
      <c r="R2140" s="2">
        <v>0</v>
      </c>
      <c r="S2140" s="2">
        <v>0</v>
      </c>
      <c r="T2140" s="2">
        <v>1525</v>
      </c>
      <c r="U2140" s="2">
        <v>826</v>
      </c>
      <c r="V2140" s="2">
        <v>0</v>
      </c>
      <c r="W2140" s="2">
        <v>1132</v>
      </c>
      <c r="X2140" s="43">
        <f>SUM(R2140:W2152)</f>
        <v>47918</v>
      </c>
      <c r="Y2140" s="10">
        <v>46204</v>
      </c>
      <c r="Z2140" s="11">
        <v>0.21915174234314722</v>
      </c>
      <c r="AA2140" s="11">
        <v>0.18274192037163289</v>
      </c>
      <c r="AB2140" s="11">
        <v>0.14726787607165501</v>
      </c>
      <c r="AC2140" s="11">
        <v>0.1287497680516306</v>
      </c>
      <c r="AD2140" s="11">
        <v>0.11447820346270936</v>
      </c>
      <c r="AE2140" s="11">
        <v>0.13149780089791482</v>
      </c>
      <c r="AF2140" s="11">
        <v>0.2</v>
      </c>
      <c r="AG2140" s="11">
        <v>0.23899999999999999</v>
      </c>
    </row>
    <row r="2141" spans="2:33">
      <c r="B2141" s="18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35"/>
      <c r="Q2141" s="36" t="s">
        <v>36</v>
      </c>
      <c r="R2141" s="13">
        <v>0</v>
      </c>
      <c r="S2141" s="13">
        <v>0</v>
      </c>
      <c r="T2141" s="13">
        <v>1492</v>
      </c>
      <c r="U2141" s="13">
        <v>822</v>
      </c>
      <c r="V2141" s="13">
        <v>0</v>
      </c>
      <c r="W2141" s="37">
        <v>1102</v>
      </c>
      <c r="X2141" s="18"/>
      <c r="Y2141" s="14"/>
      <c r="Z2141" s="14"/>
      <c r="AA2141" s="14"/>
      <c r="AB2141" s="14"/>
      <c r="AC2141" s="14"/>
      <c r="AD2141" s="14"/>
      <c r="AE2141" s="14"/>
      <c r="AF2141" s="14"/>
      <c r="AG2141" s="35"/>
    </row>
    <row r="2142" spans="2:33">
      <c r="B2142" s="19"/>
      <c r="P2142" s="16"/>
      <c r="Q2142" s="36" t="s">
        <v>37</v>
      </c>
      <c r="R2142" s="13">
        <v>0</v>
      </c>
      <c r="S2142" s="13">
        <v>0</v>
      </c>
      <c r="T2142" s="13">
        <v>0</v>
      </c>
      <c r="U2142" s="13">
        <v>1422</v>
      </c>
      <c r="V2142" s="13">
        <v>785</v>
      </c>
      <c r="W2142" s="37">
        <v>1065</v>
      </c>
      <c r="X2142" s="19"/>
      <c r="AG2142" s="16"/>
    </row>
    <row r="2143" spans="2:33">
      <c r="B2143" s="19"/>
      <c r="P2143" s="16"/>
      <c r="Q2143" s="36" t="s">
        <v>38</v>
      </c>
      <c r="R2143" s="13">
        <v>0</v>
      </c>
      <c r="S2143" s="13">
        <v>0</v>
      </c>
      <c r="T2143" s="13">
        <v>0</v>
      </c>
      <c r="U2143" s="13">
        <v>1553</v>
      </c>
      <c r="V2143" s="13">
        <v>859</v>
      </c>
      <c r="W2143" s="37">
        <v>1100</v>
      </c>
      <c r="X2143" s="19"/>
      <c r="AG2143" s="16"/>
    </row>
    <row r="2144" spans="2:33">
      <c r="B2144" s="19"/>
      <c r="P2144" s="16"/>
      <c r="Q2144" s="36" t="s">
        <v>39</v>
      </c>
      <c r="R2144" s="13">
        <v>0</v>
      </c>
      <c r="S2144" s="13">
        <v>1773</v>
      </c>
      <c r="T2144" s="13">
        <v>1006</v>
      </c>
      <c r="U2144" s="13">
        <v>0</v>
      </c>
      <c r="V2144" s="13">
        <v>0</v>
      </c>
      <c r="W2144" s="37">
        <v>1460</v>
      </c>
      <c r="X2144" s="19"/>
      <c r="AG2144" s="16"/>
    </row>
    <row r="2145" spans="2:33">
      <c r="B2145" s="19"/>
      <c r="P2145" s="16"/>
      <c r="Q2145" s="36" t="s">
        <v>40</v>
      </c>
      <c r="R2145" s="13">
        <v>1960</v>
      </c>
      <c r="S2145" s="13">
        <v>1179</v>
      </c>
      <c r="T2145" s="13">
        <v>0</v>
      </c>
      <c r="U2145" s="13">
        <v>0</v>
      </c>
      <c r="V2145" s="13">
        <v>0</v>
      </c>
      <c r="W2145" s="37">
        <v>1450</v>
      </c>
      <c r="X2145" s="19"/>
      <c r="AG2145" s="16"/>
    </row>
    <row r="2146" spans="2:33">
      <c r="B2146" s="19"/>
      <c r="P2146" s="16"/>
      <c r="Q2146" s="36" t="s">
        <v>41</v>
      </c>
      <c r="R2146" s="13">
        <v>2169</v>
      </c>
      <c r="S2146" s="13">
        <v>1451</v>
      </c>
      <c r="T2146" s="13">
        <v>0</v>
      </c>
      <c r="U2146" s="13">
        <v>0</v>
      </c>
      <c r="V2146" s="13">
        <v>0</v>
      </c>
      <c r="W2146" s="37">
        <v>1319</v>
      </c>
      <c r="X2146" s="19"/>
      <c r="AG2146" s="16"/>
    </row>
    <row r="2147" spans="2:33">
      <c r="B2147" s="19"/>
      <c r="P2147" s="16"/>
      <c r="Q2147" s="36" t="s">
        <v>42</v>
      </c>
      <c r="R2147" s="13">
        <v>2058</v>
      </c>
      <c r="S2147" s="13">
        <v>1207</v>
      </c>
      <c r="T2147" s="13">
        <v>0</v>
      </c>
      <c r="U2147" s="13">
        <v>0</v>
      </c>
      <c r="V2147" s="13">
        <v>0</v>
      </c>
      <c r="W2147" s="37">
        <v>1444</v>
      </c>
      <c r="X2147" s="19"/>
      <c r="AG2147" s="16"/>
    </row>
    <row r="2148" spans="2:33">
      <c r="B2148" s="19"/>
      <c r="P2148" s="16"/>
      <c r="Q2148" s="36" t="s">
        <v>43</v>
      </c>
      <c r="R2148" s="13">
        <v>1931</v>
      </c>
      <c r="S2148" s="13">
        <v>1335</v>
      </c>
      <c r="T2148" s="13">
        <v>0</v>
      </c>
      <c r="U2148" s="13">
        <v>0</v>
      </c>
      <c r="V2148" s="13">
        <v>0</v>
      </c>
      <c r="W2148" s="37">
        <v>1327</v>
      </c>
      <c r="X2148" s="19"/>
      <c r="AG2148" s="16"/>
    </row>
    <row r="2149" spans="2:33">
      <c r="B2149" s="19"/>
      <c r="P2149" s="16"/>
      <c r="Q2149" s="36" t="s">
        <v>44</v>
      </c>
      <c r="R2149" s="13">
        <v>0</v>
      </c>
      <c r="S2149" s="13">
        <v>1849</v>
      </c>
      <c r="T2149" s="13">
        <v>1261</v>
      </c>
      <c r="U2149" s="13">
        <v>0</v>
      </c>
      <c r="V2149" s="13">
        <v>0</v>
      </c>
      <c r="W2149" s="37">
        <v>1283</v>
      </c>
      <c r="X2149" s="19"/>
      <c r="AG2149" s="16"/>
    </row>
    <row r="2150" spans="2:33">
      <c r="B2150" s="19"/>
      <c r="P2150" s="16"/>
      <c r="Q2150" s="36" t="s">
        <v>986</v>
      </c>
      <c r="R2150" s="13">
        <v>0</v>
      </c>
      <c r="S2150" s="13">
        <v>0</v>
      </c>
      <c r="T2150" s="13">
        <v>0</v>
      </c>
      <c r="U2150" s="13">
        <v>537</v>
      </c>
      <c r="V2150" s="13">
        <v>326</v>
      </c>
      <c r="W2150" s="37">
        <v>499</v>
      </c>
      <c r="X2150" s="19"/>
      <c r="AG2150" s="16"/>
    </row>
    <row r="2151" spans="2:33">
      <c r="B2151" s="19"/>
      <c r="P2151" s="16"/>
      <c r="Q2151" s="36" t="s">
        <v>987</v>
      </c>
      <c r="R2151" s="13">
        <v>0</v>
      </c>
      <c r="S2151" s="13">
        <v>0</v>
      </c>
      <c r="T2151" s="13">
        <v>0</v>
      </c>
      <c r="U2151" s="13">
        <v>868</v>
      </c>
      <c r="V2151" s="13">
        <v>505</v>
      </c>
      <c r="W2151" s="37">
        <v>813</v>
      </c>
      <c r="X2151" s="19"/>
      <c r="AG2151" s="16"/>
    </row>
    <row r="2152" spans="2:33" ht="15" thickBot="1">
      <c r="B2152" s="20"/>
      <c r="C2152" s="15"/>
      <c r="D2152" s="15"/>
      <c r="E2152" s="15"/>
      <c r="F2152" s="15"/>
      <c r="G2152" s="15"/>
      <c r="H2152" s="15"/>
      <c r="I2152" s="15"/>
      <c r="J2152" s="15"/>
      <c r="K2152" s="15"/>
      <c r="L2152" s="15"/>
      <c r="M2152" s="15"/>
      <c r="N2152" s="15"/>
      <c r="O2152" s="15"/>
      <c r="P2152" s="17"/>
      <c r="Q2152" s="36" t="s">
        <v>46</v>
      </c>
      <c r="R2152" s="13">
        <v>0</v>
      </c>
      <c r="S2152" s="13">
        <v>0</v>
      </c>
      <c r="T2152" s="13">
        <v>1301</v>
      </c>
      <c r="U2152" s="13">
        <v>761</v>
      </c>
      <c r="V2152" s="13">
        <v>0</v>
      </c>
      <c r="W2152" s="37">
        <v>1163</v>
      </c>
      <c r="X2152" s="20"/>
      <c r="Y2152" s="15"/>
      <c r="Z2152" s="15"/>
      <c r="AA2152" s="15"/>
      <c r="AB2152" s="15"/>
      <c r="AC2152" s="15"/>
      <c r="AD2152" s="15"/>
      <c r="AE2152" s="15"/>
      <c r="AF2152" s="15"/>
      <c r="AG2152" s="17"/>
    </row>
    <row r="2154" spans="2:33" ht="15" thickBot="1">
      <c r="B2154" s="25" t="s">
        <v>974</v>
      </c>
      <c r="C2154" s="26" t="s">
        <v>975</v>
      </c>
      <c r="D2154" s="26" t="s">
        <v>988</v>
      </c>
      <c r="E2154" s="26" t="s">
        <v>989</v>
      </c>
      <c r="F2154" s="26" t="s">
        <v>990</v>
      </c>
      <c r="G2154" s="26" t="s">
        <v>991</v>
      </c>
      <c r="H2154" s="27" t="s">
        <v>991</v>
      </c>
      <c r="I2154" s="26" t="s">
        <v>992</v>
      </c>
      <c r="J2154" s="27" t="s">
        <v>87</v>
      </c>
      <c r="K2154" s="29">
        <v>19</v>
      </c>
      <c r="L2154" s="29">
        <v>19</v>
      </c>
      <c r="M2154" s="29">
        <v>19</v>
      </c>
      <c r="N2154" s="29">
        <v>19</v>
      </c>
      <c r="O2154" s="29">
        <v>19</v>
      </c>
      <c r="P2154" s="40">
        <v>23</v>
      </c>
      <c r="Q2154" s="1" t="s">
        <v>35</v>
      </c>
      <c r="R2154" s="2">
        <v>1274</v>
      </c>
      <c r="S2154" s="2">
        <v>490</v>
      </c>
      <c r="T2154" s="2">
        <v>0</v>
      </c>
      <c r="U2154" s="2">
        <v>0</v>
      </c>
      <c r="V2154" s="2">
        <v>0</v>
      </c>
      <c r="W2154" s="2">
        <v>474</v>
      </c>
      <c r="X2154" s="43">
        <f>SUM(R2154:W2165)</f>
        <v>27556</v>
      </c>
      <c r="Y2154" s="10">
        <v>46204</v>
      </c>
      <c r="Z2154" s="11">
        <v>0.21915174234314722</v>
      </c>
      <c r="AA2154" s="11">
        <v>0.18274192037163289</v>
      </c>
      <c r="AB2154" s="11">
        <v>0.14726787607165501</v>
      </c>
      <c r="AC2154" s="11">
        <v>0.1287497680516306</v>
      </c>
      <c r="AD2154" s="11">
        <v>0.11447820346270936</v>
      </c>
      <c r="AE2154" s="11">
        <v>0.13149780089791482</v>
      </c>
      <c r="AF2154" s="11">
        <v>0.2</v>
      </c>
      <c r="AG2154" s="11">
        <v>0.23899999999999999</v>
      </c>
    </row>
    <row r="2155" spans="2:33">
      <c r="B2155" s="18"/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35"/>
      <c r="Q2155" s="36" t="s">
        <v>36</v>
      </c>
      <c r="R2155" s="13">
        <v>950</v>
      </c>
      <c r="S2155" s="13">
        <v>419</v>
      </c>
      <c r="T2155" s="13">
        <v>0</v>
      </c>
      <c r="U2155" s="13">
        <v>0</v>
      </c>
      <c r="V2155" s="13">
        <v>0</v>
      </c>
      <c r="W2155" s="37">
        <v>408</v>
      </c>
      <c r="X2155" s="18"/>
      <c r="Y2155" s="14"/>
      <c r="Z2155" s="14"/>
      <c r="AA2155" s="14"/>
      <c r="AB2155" s="14"/>
      <c r="AC2155" s="14"/>
      <c r="AD2155" s="14"/>
      <c r="AE2155" s="14"/>
      <c r="AF2155" s="14"/>
      <c r="AG2155" s="35"/>
    </row>
    <row r="2156" spans="2:33">
      <c r="B2156" s="19"/>
      <c r="P2156" s="16"/>
      <c r="Q2156" s="36" t="s">
        <v>37</v>
      </c>
      <c r="R2156" s="13">
        <v>0</v>
      </c>
      <c r="S2156" s="13">
        <v>908</v>
      </c>
      <c r="T2156" s="13">
        <v>375</v>
      </c>
      <c r="U2156" s="13">
        <v>0</v>
      </c>
      <c r="V2156" s="13">
        <v>0</v>
      </c>
      <c r="W2156" s="37">
        <v>533</v>
      </c>
      <c r="X2156" s="19"/>
      <c r="AG2156" s="16"/>
    </row>
    <row r="2157" spans="2:33">
      <c r="B2157" s="19"/>
      <c r="P2157" s="16"/>
      <c r="Q2157" s="36" t="s">
        <v>38</v>
      </c>
      <c r="R2157" s="13">
        <v>0</v>
      </c>
      <c r="S2157" s="13">
        <v>0</v>
      </c>
      <c r="T2157" s="13">
        <v>0</v>
      </c>
      <c r="U2157" s="13">
        <v>635</v>
      </c>
      <c r="V2157" s="13">
        <v>440</v>
      </c>
      <c r="W2157" s="37">
        <v>323</v>
      </c>
      <c r="X2157" s="19"/>
      <c r="AG2157" s="16"/>
    </row>
    <row r="2158" spans="2:33">
      <c r="B2158" s="19"/>
      <c r="P2158" s="16"/>
      <c r="Q2158" s="36" t="s">
        <v>39</v>
      </c>
      <c r="R2158" s="13">
        <v>0</v>
      </c>
      <c r="S2158" s="13">
        <v>0</v>
      </c>
      <c r="T2158" s="13">
        <v>0</v>
      </c>
      <c r="U2158" s="13">
        <v>826</v>
      </c>
      <c r="V2158" s="13">
        <v>583</v>
      </c>
      <c r="W2158" s="37">
        <v>478</v>
      </c>
      <c r="X2158" s="19"/>
      <c r="AG2158" s="16"/>
    </row>
    <row r="2159" spans="2:33">
      <c r="B2159" s="19"/>
      <c r="P2159" s="16"/>
      <c r="Q2159" s="36" t="s">
        <v>40</v>
      </c>
      <c r="R2159" s="13">
        <v>0</v>
      </c>
      <c r="S2159" s="13">
        <v>0</v>
      </c>
      <c r="T2159" s="13">
        <v>1412</v>
      </c>
      <c r="U2159" s="13">
        <v>963</v>
      </c>
      <c r="V2159" s="13">
        <v>0</v>
      </c>
      <c r="W2159" s="37">
        <v>450</v>
      </c>
      <c r="X2159" s="19"/>
      <c r="AG2159" s="16"/>
    </row>
    <row r="2160" spans="2:33">
      <c r="B2160" s="19"/>
      <c r="P2160" s="16"/>
      <c r="Q2160" s="36" t="s">
        <v>41</v>
      </c>
      <c r="R2160" s="13">
        <v>1789</v>
      </c>
      <c r="S2160" s="13">
        <v>1213</v>
      </c>
      <c r="T2160" s="13">
        <v>0</v>
      </c>
      <c r="U2160" s="13">
        <v>0</v>
      </c>
      <c r="V2160" s="13">
        <v>0</v>
      </c>
      <c r="W2160" s="37">
        <v>437</v>
      </c>
      <c r="X2160" s="19"/>
      <c r="AG2160" s="16"/>
    </row>
    <row r="2161" spans="2:33">
      <c r="B2161" s="19"/>
      <c r="P2161" s="16"/>
      <c r="Q2161" s="36" t="s">
        <v>42</v>
      </c>
      <c r="R2161" s="13">
        <v>0</v>
      </c>
      <c r="S2161" s="13">
        <v>0</v>
      </c>
      <c r="T2161" s="13">
        <v>1537</v>
      </c>
      <c r="U2161" s="13">
        <v>1053</v>
      </c>
      <c r="V2161" s="13">
        <v>0</v>
      </c>
      <c r="W2161" s="37">
        <v>527</v>
      </c>
      <c r="X2161" s="19"/>
      <c r="AG2161" s="16"/>
    </row>
    <row r="2162" spans="2:33">
      <c r="B2162" s="19"/>
      <c r="P2162" s="16"/>
      <c r="Q2162" s="36" t="s">
        <v>43</v>
      </c>
      <c r="R2162" s="13">
        <v>0</v>
      </c>
      <c r="S2162" s="13">
        <v>0</v>
      </c>
      <c r="T2162" s="13">
        <v>1388</v>
      </c>
      <c r="U2162" s="13">
        <v>934</v>
      </c>
      <c r="V2162" s="13">
        <v>0</v>
      </c>
      <c r="W2162" s="37">
        <v>583</v>
      </c>
      <c r="X2162" s="19"/>
      <c r="AG2162" s="16"/>
    </row>
    <row r="2163" spans="2:33">
      <c r="B2163" s="19"/>
      <c r="P2163" s="16"/>
      <c r="Q2163" s="36" t="s">
        <v>44</v>
      </c>
      <c r="R2163" s="13">
        <v>0</v>
      </c>
      <c r="S2163" s="13">
        <v>0</v>
      </c>
      <c r="T2163" s="13">
        <v>0</v>
      </c>
      <c r="U2163" s="13">
        <v>900</v>
      </c>
      <c r="V2163" s="13">
        <v>750</v>
      </c>
      <c r="W2163" s="37">
        <v>426</v>
      </c>
      <c r="X2163" s="19"/>
      <c r="AG2163" s="16"/>
    </row>
    <row r="2164" spans="2:33">
      <c r="B2164" s="19"/>
      <c r="P2164" s="16"/>
      <c r="Q2164" s="36" t="s">
        <v>45</v>
      </c>
      <c r="R2164" s="13">
        <v>0</v>
      </c>
      <c r="S2164" s="13">
        <v>761</v>
      </c>
      <c r="T2164" s="13">
        <v>515</v>
      </c>
      <c r="U2164" s="13">
        <v>0</v>
      </c>
      <c r="V2164" s="13">
        <v>0</v>
      </c>
      <c r="W2164" s="37">
        <v>571</v>
      </c>
      <c r="X2164" s="19"/>
      <c r="AG2164" s="16"/>
    </row>
    <row r="2165" spans="2:33" ht="15" thickBot="1">
      <c r="B2165" s="20"/>
      <c r="C2165" s="15"/>
      <c r="D2165" s="15"/>
      <c r="E2165" s="15"/>
      <c r="F2165" s="15"/>
      <c r="G2165" s="15"/>
      <c r="H2165" s="15"/>
      <c r="I2165" s="15"/>
      <c r="J2165" s="15"/>
      <c r="K2165" s="15"/>
      <c r="L2165" s="15"/>
      <c r="M2165" s="15"/>
      <c r="N2165" s="15"/>
      <c r="O2165" s="15"/>
      <c r="P2165" s="17"/>
      <c r="Q2165" s="36" t="s">
        <v>46</v>
      </c>
      <c r="R2165" s="13">
        <v>1110</v>
      </c>
      <c r="S2165" s="13">
        <v>604</v>
      </c>
      <c r="T2165" s="13">
        <v>0</v>
      </c>
      <c r="U2165" s="13">
        <v>0</v>
      </c>
      <c r="V2165" s="13">
        <v>0</v>
      </c>
      <c r="W2165" s="37">
        <v>517</v>
      </c>
      <c r="X2165" s="20"/>
      <c r="Y2165" s="15"/>
      <c r="Z2165" s="15"/>
      <c r="AA2165" s="15"/>
      <c r="AB2165" s="15"/>
      <c r="AC2165" s="15"/>
      <c r="AD2165" s="15"/>
      <c r="AE2165" s="15"/>
      <c r="AF2165" s="15"/>
      <c r="AG2165" s="17"/>
    </row>
    <row r="2167" spans="2:33" ht="15" thickBot="1">
      <c r="B2167" s="25" t="s">
        <v>974</v>
      </c>
      <c r="C2167" s="26" t="s">
        <v>975</v>
      </c>
      <c r="D2167" s="26" t="s">
        <v>993</v>
      </c>
      <c r="E2167" s="26" t="s">
        <v>994</v>
      </c>
      <c r="F2167" s="26" t="s">
        <v>995</v>
      </c>
      <c r="G2167" s="26" t="s">
        <v>996</v>
      </c>
      <c r="H2167" s="27" t="s">
        <v>996</v>
      </c>
      <c r="I2167" s="26" t="s">
        <v>997</v>
      </c>
      <c r="J2167" s="27" t="s">
        <v>87</v>
      </c>
      <c r="K2167" s="29">
        <v>12</v>
      </c>
      <c r="L2167" s="29">
        <v>12</v>
      </c>
      <c r="M2167" s="29">
        <v>12</v>
      </c>
      <c r="N2167" s="29">
        <v>12</v>
      </c>
      <c r="O2167" s="29">
        <v>12</v>
      </c>
      <c r="P2167" s="40">
        <v>26</v>
      </c>
      <c r="Q2167" s="1" t="s">
        <v>35</v>
      </c>
      <c r="R2167" s="2">
        <v>942</v>
      </c>
      <c r="S2167" s="2">
        <v>319</v>
      </c>
      <c r="T2167" s="2">
        <v>0</v>
      </c>
      <c r="U2167" s="2">
        <v>0</v>
      </c>
      <c r="V2167" s="2">
        <v>0</v>
      </c>
      <c r="W2167" s="2">
        <v>290</v>
      </c>
      <c r="X2167" s="43">
        <f>SUM(R2167:W2178)</f>
        <v>21190</v>
      </c>
      <c r="Y2167" s="10">
        <v>46204</v>
      </c>
      <c r="Z2167" s="11">
        <v>0.21915174234314722</v>
      </c>
      <c r="AA2167" s="11">
        <v>0.18274192037163289</v>
      </c>
      <c r="AB2167" s="11">
        <v>0.14726787607165501</v>
      </c>
      <c r="AC2167" s="11">
        <v>0.1287497680516306</v>
      </c>
      <c r="AD2167" s="11">
        <v>0.11447820346270936</v>
      </c>
      <c r="AE2167" s="11">
        <v>0.13149780089791482</v>
      </c>
      <c r="AF2167" s="11">
        <v>0.2</v>
      </c>
      <c r="AG2167" s="11">
        <v>0.23899999999999999</v>
      </c>
    </row>
    <row r="2168" spans="2:33">
      <c r="B2168" s="18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35"/>
      <c r="Q2168" s="36" t="s">
        <v>36</v>
      </c>
      <c r="R2168" s="13">
        <v>816</v>
      </c>
      <c r="S2168" s="13">
        <v>300</v>
      </c>
      <c r="T2168" s="13">
        <v>0</v>
      </c>
      <c r="U2168" s="13">
        <v>0</v>
      </c>
      <c r="V2168" s="13">
        <v>0</v>
      </c>
      <c r="W2168" s="37">
        <v>251</v>
      </c>
      <c r="X2168" s="18"/>
      <c r="Y2168" s="14"/>
      <c r="Z2168" s="14"/>
      <c r="AA2168" s="14"/>
      <c r="AB2168" s="14"/>
      <c r="AC2168" s="14"/>
      <c r="AD2168" s="14"/>
      <c r="AE2168" s="14"/>
      <c r="AF2168" s="14"/>
      <c r="AG2168" s="35"/>
    </row>
    <row r="2169" spans="2:33">
      <c r="B2169" s="19"/>
      <c r="P2169" s="16"/>
      <c r="Q2169" s="36" t="s">
        <v>37</v>
      </c>
      <c r="R2169" s="13">
        <v>0</v>
      </c>
      <c r="S2169" s="13">
        <v>922</v>
      </c>
      <c r="T2169" s="13">
        <v>340</v>
      </c>
      <c r="U2169" s="13">
        <v>0</v>
      </c>
      <c r="V2169" s="13">
        <v>0</v>
      </c>
      <c r="W2169" s="37">
        <v>273</v>
      </c>
      <c r="X2169" s="19"/>
      <c r="AG2169" s="16"/>
    </row>
    <row r="2170" spans="2:33">
      <c r="B2170" s="19"/>
      <c r="P2170" s="16"/>
      <c r="Q2170" s="36" t="s">
        <v>38</v>
      </c>
      <c r="R2170" s="13">
        <v>0</v>
      </c>
      <c r="S2170" s="13">
        <v>0</v>
      </c>
      <c r="T2170" s="13">
        <v>0</v>
      </c>
      <c r="U2170" s="13">
        <v>892</v>
      </c>
      <c r="V2170" s="13">
        <v>322</v>
      </c>
      <c r="W2170" s="37">
        <v>252</v>
      </c>
      <c r="X2170" s="19"/>
      <c r="AG2170" s="16"/>
    </row>
    <row r="2171" spans="2:33">
      <c r="B2171" s="19"/>
      <c r="P2171" s="16"/>
      <c r="Q2171" s="36" t="s">
        <v>39</v>
      </c>
      <c r="R2171" s="13">
        <v>0</v>
      </c>
      <c r="S2171" s="13">
        <v>0</v>
      </c>
      <c r="T2171" s="13">
        <v>0</v>
      </c>
      <c r="U2171" s="13">
        <v>1055</v>
      </c>
      <c r="V2171" s="13">
        <v>420</v>
      </c>
      <c r="W2171" s="37">
        <v>277</v>
      </c>
      <c r="X2171" s="19"/>
      <c r="AG2171" s="16"/>
    </row>
    <row r="2172" spans="2:33">
      <c r="B2172" s="19"/>
      <c r="P2172" s="16"/>
      <c r="Q2172" s="36" t="s">
        <v>40</v>
      </c>
      <c r="R2172" s="13">
        <v>0</v>
      </c>
      <c r="S2172" s="13">
        <v>0</v>
      </c>
      <c r="T2172" s="13">
        <v>1343</v>
      </c>
      <c r="U2172" s="13">
        <v>591</v>
      </c>
      <c r="V2172" s="13">
        <v>0</v>
      </c>
      <c r="W2172" s="37">
        <v>298</v>
      </c>
      <c r="X2172" s="19"/>
      <c r="AG2172" s="16"/>
    </row>
    <row r="2173" spans="2:33">
      <c r="B2173" s="19"/>
      <c r="P2173" s="16"/>
      <c r="Q2173" s="36" t="s">
        <v>41</v>
      </c>
      <c r="R2173" s="13">
        <v>1506</v>
      </c>
      <c r="S2173" s="13">
        <v>615</v>
      </c>
      <c r="T2173" s="13">
        <v>0</v>
      </c>
      <c r="U2173" s="13">
        <v>0</v>
      </c>
      <c r="V2173" s="13">
        <v>0</v>
      </c>
      <c r="W2173" s="37">
        <v>288</v>
      </c>
      <c r="X2173" s="19"/>
      <c r="AG2173" s="16"/>
    </row>
    <row r="2174" spans="2:33">
      <c r="B2174" s="19"/>
      <c r="P2174" s="16"/>
      <c r="Q2174" s="36" t="s">
        <v>42</v>
      </c>
      <c r="R2174" s="13">
        <v>0</v>
      </c>
      <c r="S2174" s="13">
        <v>0</v>
      </c>
      <c r="T2174" s="13">
        <v>1302</v>
      </c>
      <c r="U2174" s="13">
        <v>503</v>
      </c>
      <c r="V2174" s="13">
        <v>0</v>
      </c>
      <c r="W2174" s="37">
        <v>404</v>
      </c>
      <c r="X2174" s="19"/>
      <c r="AG2174" s="16"/>
    </row>
    <row r="2175" spans="2:33">
      <c r="B2175" s="19"/>
      <c r="P2175" s="16"/>
      <c r="Q2175" s="36" t="s">
        <v>43</v>
      </c>
      <c r="R2175" s="13">
        <v>0</v>
      </c>
      <c r="S2175" s="13">
        <v>0</v>
      </c>
      <c r="T2175" s="13">
        <v>1283</v>
      </c>
      <c r="U2175" s="13">
        <v>526</v>
      </c>
      <c r="V2175" s="13">
        <v>0</v>
      </c>
      <c r="W2175" s="37">
        <v>284</v>
      </c>
      <c r="X2175" s="19"/>
      <c r="AG2175" s="16"/>
    </row>
    <row r="2176" spans="2:33">
      <c r="B2176" s="19"/>
      <c r="P2176" s="16"/>
      <c r="Q2176" s="36" t="s">
        <v>44</v>
      </c>
      <c r="R2176" s="13">
        <v>0</v>
      </c>
      <c r="S2176" s="13">
        <v>0</v>
      </c>
      <c r="T2176" s="13">
        <v>0</v>
      </c>
      <c r="U2176" s="13">
        <v>1199</v>
      </c>
      <c r="V2176" s="13">
        <v>480</v>
      </c>
      <c r="W2176" s="37">
        <v>283</v>
      </c>
      <c r="X2176" s="19"/>
      <c r="AG2176" s="16"/>
    </row>
    <row r="2177" spans="2:33">
      <c r="B2177" s="19"/>
      <c r="P2177" s="16"/>
      <c r="Q2177" s="36" t="s">
        <v>998</v>
      </c>
      <c r="R2177" s="13">
        <v>0</v>
      </c>
      <c r="S2177" s="13">
        <v>795</v>
      </c>
      <c r="T2177" s="13">
        <v>299</v>
      </c>
      <c r="U2177" s="13">
        <v>0</v>
      </c>
      <c r="V2177" s="13">
        <v>0</v>
      </c>
      <c r="W2177" s="37">
        <v>207</v>
      </c>
      <c r="X2177" s="19"/>
      <c r="AG2177" s="16"/>
    </row>
    <row r="2178" spans="2:33" ht="15" thickBot="1">
      <c r="B2178" s="20"/>
      <c r="C2178" s="15"/>
      <c r="D2178" s="15"/>
      <c r="E2178" s="15"/>
      <c r="F2178" s="15"/>
      <c r="G2178" s="15"/>
      <c r="H2178" s="15"/>
      <c r="I2178" s="15"/>
      <c r="J2178" s="15"/>
      <c r="K2178" s="15"/>
      <c r="L2178" s="15"/>
      <c r="M2178" s="15"/>
      <c r="N2178" s="15"/>
      <c r="O2178" s="15"/>
      <c r="P2178" s="17"/>
      <c r="Q2178" s="36" t="s">
        <v>999</v>
      </c>
      <c r="R2178" s="13">
        <v>748</v>
      </c>
      <c r="S2178" s="13">
        <v>294</v>
      </c>
      <c r="T2178" s="13">
        <v>11</v>
      </c>
      <c r="U2178" s="13">
        <v>0</v>
      </c>
      <c r="V2178" s="13">
        <v>0</v>
      </c>
      <c r="W2178" s="37">
        <v>260</v>
      </c>
      <c r="X2178" s="20"/>
      <c r="Y2178" s="15"/>
      <c r="Z2178" s="15"/>
      <c r="AA2178" s="15"/>
      <c r="AB2178" s="15"/>
      <c r="AC2178" s="15"/>
      <c r="AD2178" s="15"/>
      <c r="AE2178" s="15"/>
      <c r="AF2178" s="15"/>
      <c r="AG2178" s="17"/>
    </row>
    <row r="2180" spans="2:33" ht="15" thickBot="1">
      <c r="B2180" s="25" t="s">
        <v>974</v>
      </c>
      <c r="C2180" s="26" t="s">
        <v>975</v>
      </c>
      <c r="D2180" s="26" t="s">
        <v>1000</v>
      </c>
      <c r="E2180" s="26" t="s">
        <v>1001</v>
      </c>
      <c r="F2180" s="26" t="s">
        <v>1002</v>
      </c>
      <c r="G2180" s="26" t="s">
        <v>518</v>
      </c>
      <c r="H2180" s="27" t="s">
        <v>518</v>
      </c>
      <c r="I2180" s="26" t="s">
        <v>1003</v>
      </c>
      <c r="J2180" s="27" t="s">
        <v>87</v>
      </c>
      <c r="K2180" s="29">
        <v>29</v>
      </c>
      <c r="L2180" s="29">
        <v>29</v>
      </c>
      <c r="M2180" s="29">
        <v>29</v>
      </c>
      <c r="N2180" s="29">
        <v>29</v>
      </c>
      <c r="O2180" s="29">
        <v>29</v>
      </c>
      <c r="P2180" s="40">
        <v>29</v>
      </c>
      <c r="Q2180" s="1" t="s">
        <v>1004</v>
      </c>
      <c r="R2180" s="2">
        <v>2394</v>
      </c>
      <c r="S2180" s="2">
        <v>800</v>
      </c>
      <c r="T2180" s="2">
        <v>0</v>
      </c>
      <c r="U2180" s="2">
        <v>0</v>
      </c>
      <c r="V2180" s="2">
        <v>0</v>
      </c>
      <c r="W2180" s="2">
        <v>883</v>
      </c>
      <c r="X2180" s="43">
        <f>SUM(R2180:W2192)</f>
        <v>42579</v>
      </c>
      <c r="Y2180" s="10">
        <v>46204</v>
      </c>
      <c r="Z2180" s="11">
        <v>0.21915174234314722</v>
      </c>
      <c r="AA2180" s="11">
        <v>0.18274192037163289</v>
      </c>
      <c r="AB2180" s="11">
        <v>0.14726787607165501</v>
      </c>
      <c r="AC2180" s="11">
        <v>0.1287497680516306</v>
      </c>
      <c r="AD2180" s="11">
        <v>0.11447820346270936</v>
      </c>
      <c r="AE2180" s="11">
        <v>0.13149780089791482</v>
      </c>
      <c r="AF2180" s="11">
        <v>0.2</v>
      </c>
      <c r="AG2180" s="11">
        <v>0.23899999999999999</v>
      </c>
    </row>
    <row r="2181" spans="2:33">
      <c r="B2181" s="18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35"/>
      <c r="Q2181" s="36" t="s">
        <v>1005</v>
      </c>
      <c r="R2181" s="13">
        <v>1178</v>
      </c>
      <c r="S2181" s="13">
        <v>1182</v>
      </c>
      <c r="T2181" s="13">
        <v>280</v>
      </c>
      <c r="U2181" s="13">
        <v>0</v>
      </c>
      <c r="V2181" s="13">
        <v>0</v>
      </c>
      <c r="W2181" s="37">
        <v>725</v>
      </c>
      <c r="X2181" s="18"/>
      <c r="Y2181" s="14"/>
      <c r="Z2181" s="14"/>
      <c r="AA2181" s="14"/>
      <c r="AB2181" s="14"/>
      <c r="AC2181" s="14"/>
      <c r="AD2181" s="14"/>
      <c r="AE2181" s="14"/>
      <c r="AF2181" s="14"/>
      <c r="AG2181" s="35"/>
    </row>
    <row r="2182" spans="2:33">
      <c r="B2182" s="19"/>
      <c r="P2182" s="16"/>
      <c r="Q2182" s="36" t="s">
        <v>1006</v>
      </c>
      <c r="R2182" s="13">
        <v>0</v>
      </c>
      <c r="S2182" s="13">
        <v>593</v>
      </c>
      <c r="T2182" s="13">
        <v>215</v>
      </c>
      <c r="U2182" s="13">
        <v>0</v>
      </c>
      <c r="V2182" s="13">
        <v>0</v>
      </c>
      <c r="W2182" s="37">
        <v>469</v>
      </c>
      <c r="X2182" s="19"/>
      <c r="AG2182" s="16"/>
    </row>
    <row r="2183" spans="2:33">
      <c r="B2183" s="19"/>
      <c r="P2183" s="16"/>
      <c r="Q2183" s="36" t="s">
        <v>1007</v>
      </c>
      <c r="R2183" s="13">
        <v>0</v>
      </c>
      <c r="S2183" s="13">
        <v>0</v>
      </c>
      <c r="T2183" s="13">
        <v>0</v>
      </c>
      <c r="U2183" s="13">
        <v>1160</v>
      </c>
      <c r="V2183" s="13">
        <v>794</v>
      </c>
      <c r="W2183" s="37">
        <v>1286</v>
      </c>
      <c r="X2183" s="19"/>
      <c r="AG2183" s="16"/>
    </row>
    <row r="2184" spans="2:33">
      <c r="B2184" s="19"/>
      <c r="P2184" s="16"/>
      <c r="Q2184" s="36" t="s">
        <v>1008</v>
      </c>
      <c r="R2184" s="13">
        <v>0</v>
      </c>
      <c r="S2184" s="13">
        <v>0</v>
      </c>
      <c r="T2184" s="13">
        <v>0</v>
      </c>
      <c r="U2184" s="13">
        <v>1457</v>
      </c>
      <c r="V2184" s="13">
        <v>543</v>
      </c>
      <c r="W2184" s="37">
        <v>728</v>
      </c>
      <c r="X2184" s="19"/>
      <c r="AG2184" s="16"/>
    </row>
    <row r="2185" spans="2:33">
      <c r="B2185" s="19"/>
      <c r="P2185" s="16"/>
      <c r="Q2185" s="36" t="s">
        <v>1009</v>
      </c>
      <c r="R2185" s="13">
        <v>0</v>
      </c>
      <c r="S2185" s="13">
        <v>0</v>
      </c>
      <c r="T2185" s="13">
        <v>709</v>
      </c>
      <c r="U2185" s="13">
        <v>1340</v>
      </c>
      <c r="V2185" s="13">
        <v>422</v>
      </c>
      <c r="W2185" s="37">
        <v>696</v>
      </c>
      <c r="X2185" s="19"/>
      <c r="AG2185" s="16"/>
    </row>
    <row r="2186" spans="2:33">
      <c r="B2186" s="19"/>
      <c r="P2186" s="16"/>
      <c r="Q2186" s="36" t="s">
        <v>1010</v>
      </c>
      <c r="R2186" s="13">
        <v>1107</v>
      </c>
      <c r="S2186" s="13">
        <v>402</v>
      </c>
      <c r="T2186" s="13">
        <v>1395</v>
      </c>
      <c r="U2186" s="13">
        <v>491</v>
      </c>
      <c r="V2186" s="13">
        <v>0</v>
      </c>
      <c r="W2186" s="37">
        <v>965</v>
      </c>
      <c r="X2186" s="19"/>
      <c r="AG2186" s="16"/>
    </row>
    <row r="2187" spans="2:33">
      <c r="B2187" s="19"/>
      <c r="P2187" s="16"/>
      <c r="Q2187" s="36" t="s">
        <v>1011</v>
      </c>
      <c r="R2187" s="13">
        <v>1351</v>
      </c>
      <c r="S2187" s="13">
        <v>585</v>
      </c>
      <c r="T2187" s="13">
        <v>732</v>
      </c>
      <c r="U2187" s="13">
        <v>278</v>
      </c>
      <c r="V2187" s="13">
        <v>0</v>
      </c>
      <c r="W2187" s="37">
        <v>629</v>
      </c>
      <c r="X2187" s="19"/>
      <c r="AG2187" s="16"/>
    </row>
    <row r="2188" spans="2:33">
      <c r="B2188" s="19"/>
      <c r="P2188" s="16"/>
      <c r="Q2188" s="36" t="s">
        <v>1012</v>
      </c>
      <c r="R2188" s="13">
        <v>0</v>
      </c>
      <c r="S2188" s="13">
        <v>0</v>
      </c>
      <c r="T2188" s="13">
        <v>2747</v>
      </c>
      <c r="U2188" s="13">
        <v>1198</v>
      </c>
      <c r="V2188" s="13">
        <v>0</v>
      </c>
      <c r="W2188" s="37">
        <v>831</v>
      </c>
      <c r="X2188" s="19"/>
      <c r="AG2188" s="16"/>
    </row>
    <row r="2189" spans="2:33">
      <c r="B2189" s="19"/>
      <c r="P2189" s="16"/>
      <c r="Q2189" s="36" t="s">
        <v>1013</v>
      </c>
      <c r="R2189" s="13">
        <v>0</v>
      </c>
      <c r="S2189" s="13">
        <v>0</v>
      </c>
      <c r="T2189" s="13">
        <v>1293</v>
      </c>
      <c r="U2189" s="13">
        <v>1399</v>
      </c>
      <c r="V2189" s="13">
        <v>363</v>
      </c>
      <c r="W2189" s="37">
        <v>829</v>
      </c>
      <c r="X2189" s="19"/>
      <c r="AG2189" s="16"/>
    </row>
    <row r="2190" spans="2:33">
      <c r="B2190" s="19"/>
      <c r="P2190" s="16"/>
      <c r="Q2190" s="36" t="s">
        <v>1014</v>
      </c>
      <c r="R2190" s="13">
        <v>0</v>
      </c>
      <c r="S2190" s="13">
        <v>484</v>
      </c>
      <c r="T2190" s="13">
        <v>197</v>
      </c>
      <c r="U2190" s="13">
        <v>939</v>
      </c>
      <c r="V2190" s="13">
        <v>378</v>
      </c>
      <c r="W2190" s="37">
        <v>669</v>
      </c>
      <c r="X2190" s="19"/>
      <c r="AG2190" s="16"/>
    </row>
    <row r="2191" spans="2:33">
      <c r="B2191" s="19"/>
      <c r="P2191" s="16"/>
      <c r="Q2191" s="36" t="s">
        <v>1015</v>
      </c>
      <c r="R2191" s="13">
        <v>512</v>
      </c>
      <c r="S2191" s="13">
        <v>950</v>
      </c>
      <c r="T2191" s="13">
        <v>332</v>
      </c>
      <c r="U2191" s="13">
        <v>0</v>
      </c>
      <c r="V2191" s="13">
        <v>0</v>
      </c>
      <c r="W2191" s="37">
        <v>612</v>
      </c>
      <c r="X2191" s="19"/>
      <c r="AG2191" s="16"/>
    </row>
    <row r="2192" spans="2:33" ht="15" thickBot="1">
      <c r="B2192" s="20"/>
      <c r="C2192" s="15"/>
      <c r="D2192" s="15"/>
      <c r="E2192" s="15"/>
      <c r="F2192" s="15"/>
      <c r="G2192" s="15"/>
      <c r="H2192" s="15"/>
      <c r="I2192" s="15"/>
      <c r="J2192" s="15"/>
      <c r="K2192" s="15"/>
      <c r="L2192" s="15"/>
      <c r="M2192" s="15"/>
      <c r="N2192" s="15"/>
      <c r="O2192" s="15"/>
      <c r="P2192" s="17"/>
      <c r="Q2192" s="36" t="s">
        <v>1016</v>
      </c>
      <c r="R2192" s="13">
        <v>1522</v>
      </c>
      <c r="S2192" s="13">
        <v>531</v>
      </c>
      <c r="T2192" s="13">
        <v>0</v>
      </c>
      <c r="U2192" s="13">
        <v>0</v>
      </c>
      <c r="V2192" s="13">
        <v>0</v>
      </c>
      <c r="W2192" s="37">
        <v>1004</v>
      </c>
      <c r="X2192" s="20"/>
      <c r="Y2192" s="15"/>
      <c r="Z2192" s="15"/>
      <c r="AA2192" s="15"/>
      <c r="AB2192" s="15"/>
      <c r="AC2192" s="15"/>
      <c r="AD2192" s="15"/>
      <c r="AE2192" s="15"/>
      <c r="AF2192" s="15"/>
      <c r="AG2192" s="17"/>
    </row>
    <row r="2194" spans="2:33" ht="15" thickBot="1">
      <c r="B2194" s="25" t="s">
        <v>974</v>
      </c>
      <c r="C2194" s="26" t="s">
        <v>975</v>
      </c>
      <c r="D2194" s="26" t="s">
        <v>1017</v>
      </c>
      <c r="E2194" s="26" t="s">
        <v>1018</v>
      </c>
      <c r="F2194" s="26" t="s">
        <v>1019</v>
      </c>
      <c r="G2194" s="26" t="s">
        <v>33</v>
      </c>
      <c r="H2194" s="27" t="s">
        <v>33</v>
      </c>
      <c r="I2194" s="26" t="s">
        <v>1020</v>
      </c>
      <c r="J2194" s="27" t="s">
        <v>87</v>
      </c>
      <c r="K2194" s="29">
        <v>25</v>
      </c>
      <c r="L2194" s="29">
        <v>25</v>
      </c>
      <c r="M2194" s="29">
        <v>25</v>
      </c>
      <c r="N2194" s="29">
        <v>25</v>
      </c>
      <c r="O2194" s="29">
        <v>25</v>
      </c>
      <c r="P2194" s="40">
        <v>30</v>
      </c>
      <c r="Q2194" s="1" t="s">
        <v>1021</v>
      </c>
      <c r="R2194" s="2">
        <v>2115</v>
      </c>
      <c r="S2194" s="2">
        <v>1177</v>
      </c>
      <c r="T2194" s="2">
        <v>0</v>
      </c>
      <c r="U2194" s="2">
        <v>0</v>
      </c>
      <c r="V2194" s="2">
        <v>0</v>
      </c>
      <c r="W2194" s="2">
        <v>1518</v>
      </c>
      <c r="X2194" s="43">
        <f>SUM(R2194:W2205)</f>
        <v>55509</v>
      </c>
      <c r="Y2194" s="10">
        <v>46204</v>
      </c>
      <c r="Z2194" s="11">
        <v>0.21915174234314722</v>
      </c>
      <c r="AA2194" s="11">
        <v>0.18274192037163289</v>
      </c>
      <c r="AB2194" s="11">
        <v>0.14726787607165501</v>
      </c>
      <c r="AC2194" s="11">
        <v>0.1287497680516306</v>
      </c>
      <c r="AD2194" s="11">
        <v>0.11447820346270936</v>
      </c>
      <c r="AE2194" s="11">
        <v>0.13149780089791482</v>
      </c>
      <c r="AF2194" s="11">
        <v>0.2</v>
      </c>
      <c r="AG2194" s="11">
        <v>0.23899999999999999</v>
      </c>
    </row>
    <row r="2195" spans="2:33">
      <c r="B2195" s="18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35"/>
      <c r="Q2195" s="36" t="s">
        <v>1022</v>
      </c>
      <c r="R2195" s="13">
        <v>1430</v>
      </c>
      <c r="S2195" s="13">
        <v>829</v>
      </c>
      <c r="T2195" s="13">
        <v>0</v>
      </c>
      <c r="U2195" s="13">
        <v>0</v>
      </c>
      <c r="V2195" s="13">
        <v>0</v>
      </c>
      <c r="W2195" s="37">
        <v>834</v>
      </c>
      <c r="X2195" s="18"/>
      <c r="Y2195" s="14"/>
      <c r="Z2195" s="14"/>
      <c r="AA2195" s="14"/>
      <c r="AB2195" s="14"/>
      <c r="AC2195" s="14"/>
      <c r="AD2195" s="14"/>
      <c r="AE2195" s="14"/>
      <c r="AF2195" s="14"/>
      <c r="AG2195" s="35"/>
    </row>
    <row r="2196" spans="2:33">
      <c r="B2196" s="19"/>
      <c r="P2196" s="16"/>
      <c r="Q2196" s="36" t="s">
        <v>37</v>
      </c>
      <c r="R2196" s="13">
        <v>0</v>
      </c>
      <c r="S2196" s="13">
        <v>1573</v>
      </c>
      <c r="T2196" s="13">
        <v>973</v>
      </c>
      <c r="U2196" s="13">
        <v>0</v>
      </c>
      <c r="V2196" s="13">
        <v>0</v>
      </c>
      <c r="W2196" s="37">
        <v>1275</v>
      </c>
      <c r="X2196" s="19"/>
      <c r="AG2196" s="16"/>
    </row>
    <row r="2197" spans="2:33">
      <c r="B2197" s="19"/>
      <c r="P2197" s="16"/>
      <c r="Q2197" s="36" t="s">
        <v>38</v>
      </c>
      <c r="R2197" s="13">
        <v>0</v>
      </c>
      <c r="S2197" s="13">
        <v>0</v>
      </c>
      <c r="T2197" s="13">
        <v>0</v>
      </c>
      <c r="U2197" s="13">
        <v>1714</v>
      </c>
      <c r="V2197" s="13">
        <v>1073</v>
      </c>
      <c r="W2197" s="37">
        <v>1161</v>
      </c>
      <c r="X2197" s="19"/>
      <c r="AG2197" s="16"/>
    </row>
    <row r="2198" spans="2:33">
      <c r="B2198" s="19"/>
      <c r="P2198" s="16"/>
      <c r="Q2198" s="36" t="s">
        <v>39</v>
      </c>
      <c r="R2198" s="13">
        <v>0</v>
      </c>
      <c r="S2198" s="13">
        <v>0</v>
      </c>
      <c r="T2198" s="13">
        <v>0</v>
      </c>
      <c r="U2198" s="13">
        <v>1909</v>
      </c>
      <c r="V2198" s="13">
        <v>1249</v>
      </c>
      <c r="W2198" s="37">
        <v>1413</v>
      </c>
      <c r="X2198" s="19"/>
      <c r="AG2198" s="16"/>
    </row>
    <row r="2199" spans="2:33">
      <c r="B2199" s="19"/>
      <c r="P2199" s="16"/>
      <c r="Q2199" s="36" t="s">
        <v>40</v>
      </c>
      <c r="R2199" s="13">
        <v>0</v>
      </c>
      <c r="S2199" s="13">
        <v>0</v>
      </c>
      <c r="T2199" s="13">
        <v>2509</v>
      </c>
      <c r="U2199" s="13">
        <v>1566</v>
      </c>
      <c r="V2199" s="13">
        <v>0</v>
      </c>
      <c r="W2199" s="37">
        <v>1742</v>
      </c>
      <c r="X2199" s="19"/>
      <c r="AG2199" s="16"/>
    </row>
    <row r="2200" spans="2:33">
      <c r="B2200" s="19"/>
      <c r="P2200" s="16"/>
      <c r="Q2200" s="36" t="s">
        <v>41</v>
      </c>
      <c r="R2200" s="13">
        <v>2746</v>
      </c>
      <c r="S2200" s="13">
        <v>1720</v>
      </c>
      <c r="T2200" s="13">
        <v>0</v>
      </c>
      <c r="U2200" s="13">
        <v>0</v>
      </c>
      <c r="V2200" s="13">
        <v>0</v>
      </c>
      <c r="W2200" s="37">
        <v>1532</v>
      </c>
      <c r="X2200" s="19"/>
      <c r="AG2200" s="16"/>
    </row>
    <row r="2201" spans="2:33">
      <c r="B2201" s="19"/>
      <c r="P2201" s="16"/>
      <c r="Q2201" s="36" t="s">
        <v>42</v>
      </c>
      <c r="R2201" s="13">
        <v>0</v>
      </c>
      <c r="S2201" s="13">
        <v>0</v>
      </c>
      <c r="T2201" s="13">
        <v>2407</v>
      </c>
      <c r="U2201" s="13">
        <v>1494</v>
      </c>
      <c r="V2201" s="13">
        <v>0</v>
      </c>
      <c r="W2201" s="37">
        <v>1969</v>
      </c>
      <c r="X2201" s="19"/>
      <c r="AG2201" s="16"/>
    </row>
    <row r="2202" spans="2:33">
      <c r="B2202" s="19"/>
      <c r="P2202" s="16"/>
      <c r="Q2202" s="36" t="s">
        <v>43</v>
      </c>
      <c r="R2202" s="13">
        <v>0</v>
      </c>
      <c r="S2202" s="13">
        <v>0</v>
      </c>
      <c r="T2202" s="13">
        <v>2283</v>
      </c>
      <c r="U2202" s="13">
        <v>1500</v>
      </c>
      <c r="V2202" s="13">
        <v>0</v>
      </c>
      <c r="W2202" s="37">
        <v>1471</v>
      </c>
      <c r="X2202" s="19"/>
      <c r="AG2202" s="16"/>
    </row>
    <row r="2203" spans="2:33">
      <c r="B2203" s="19"/>
      <c r="P2203" s="16"/>
      <c r="Q2203" s="36" t="s">
        <v>44</v>
      </c>
      <c r="R2203" s="13">
        <v>0</v>
      </c>
      <c r="S2203" s="13">
        <v>0</v>
      </c>
      <c r="T2203" s="13">
        <v>0</v>
      </c>
      <c r="U2203" s="13">
        <v>2047</v>
      </c>
      <c r="V2203" s="13">
        <v>1329</v>
      </c>
      <c r="W2203" s="37">
        <v>1326</v>
      </c>
      <c r="X2203" s="19"/>
      <c r="AG2203" s="16"/>
    </row>
    <row r="2204" spans="2:33">
      <c r="B2204" s="19"/>
      <c r="P2204" s="16"/>
      <c r="Q2204" s="36" t="s">
        <v>45</v>
      </c>
      <c r="R2204" s="13">
        <v>0</v>
      </c>
      <c r="S2204" s="13">
        <v>1501</v>
      </c>
      <c r="T2204" s="13">
        <v>903</v>
      </c>
      <c r="U2204" s="13">
        <v>0</v>
      </c>
      <c r="V2204" s="13">
        <v>0</v>
      </c>
      <c r="W2204" s="37">
        <v>1262</v>
      </c>
      <c r="X2204" s="19"/>
      <c r="AG2204" s="16"/>
    </row>
    <row r="2205" spans="2:33" ht="15" thickBot="1">
      <c r="B2205" s="20"/>
      <c r="C2205" s="15"/>
      <c r="D2205" s="15"/>
      <c r="E2205" s="15"/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7"/>
      <c r="Q2205" s="36" t="s">
        <v>46</v>
      </c>
      <c r="R2205" s="13">
        <v>1806</v>
      </c>
      <c r="S2205" s="13">
        <v>941</v>
      </c>
      <c r="T2205" s="13">
        <v>0</v>
      </c>
      <c r="U2205" s="13">
        <v>0</v>
      </c>
      <c r="V2205" s="13">
        <v>0</v>
      </c>
      <c r="W2205" s="37">
        <v>1212</v>
      </c>
      <c r="X2205" s="20"/>
      <c r="Y2205" s="15"/>
      <c r="Z2205" s="15"/>
      <c r="AA2205" s="15"/>
      <c r="AB2205" s="15"/>
      <c r="AC2205" s="15"/>
      <c r="AD2205" s="15"/>
      <c r="AE2205" s="15"/>
      <c r="AF2205" s="15"/>
      <c r="AG2205" s="17"/>
    </row>
    <row r="2207" spans="2:33" ht="15" thickBot="1">
      <c r="B2207" s="25" t="s">
        <v>974</v>
      </c>
      <c r="C2207" s="26" t="s">
        <v>975</v>
      </c>
      <c r="D2207" s="26" t="s">
        <v>1023</v>
      </c>
      <c r="E2207" s="26" t="s">
        <v>1024</v>
      </c>
      <c r="F2207" s="26" t="s">
        <v>327</v>
      </c>
      <c r="G2207" s="26" t="s">
        <v>33</v>
      </c>
      <c r="H2207" s="27" t="s">
        <v>33</v>
      </c>
      <c r="I2207" s="26" t="s">
        <v>1025</v>
      </c>
      <c r="J2207" s="27" t="s">
        <v>87</v>
      </c>
      <c r="K2207" s="29">
        <v>21</v>
      </c>
      <c r="L2207" s="29">
        <v>21</v>
      </c>
      <c r="M2207" s="29">
        <v>21</v>
      </c>
      <c r="N2207" s="29">
        <v>21</v>
      </c>
      <c r="O2207" s="29">
        <v>21</v>
      </c>
      <c r="P2207" s="40">
        <v>59</v>
      </c>
      <c r="Q2207" s="1" t="s">
        <v>1026</v>
      </c>
      <c r="R2207" s="2">
        <v>3006</v>
      </c>
      <c r="S2207" s="2">
        <v>1921</v>
      </c>
      <c r="T2207" s="2">
        <v>0</v>
      </c>
      <c r="U2207" s="2">
        <v>0</v>
      </c>
      <c r="V2207" s="2">
        <v>0</v>
      </c>
      <c r="W2207" s="2">
        <v>3087</v>
      </c>
      <c r="X2207" s="43">
        <f>SUM(R2207:W2218)</f>
        <v>85308</v>
      </c>
      <c r="Y2207" s="10">
        <v>46204</v>
      </c>
      <c r="Z2207" s="11">
        <v>0.21915174234314722</v>
      </c>
      <c r="AA2207" s="11">
        <v>0.18274192037163289</v>
      </c>
      <c r="AB2207" s="11">
        <v>0.14726787607165501</v>
      </c>
      <c r="AC2207" s="11">
        <v>0.1287497680516306</v>
      </c>
      <c r="AD2207" s="11">
        <v>0.11447820346270936</v>
      </c>
      <c r="AE2207" s="11">
        <v>0.13149780089791482</v>
      </c>
      <c r="AF2207" s="11">
        <v>0.2</v>
      </c>
      <c r="AG2207" s="11">
        <v>0.23899999999999999</v>
      </c>
    </row>
    <row r="2208" spans="2:33">
      <c r="B2208" s="18"/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35"/>
      <c r="Q2208" s="36" t="s">
        <v>1027</v>
      </c>
      <c r="R2208" s="13">
        <v>1452</v>
      </c>
      <c r="S2208" s="13">
        <v>1690</v>
      </c>
      <c r="T2208" s="13">
        <v>493</v>
      </c>
      <c r="U2208" s="13">
        <v>0</v>
      </c>
      <c r="V2208" s="13">
        <v>0</v>
      </c>
      <c r="W2208" s="37">
        <v>2422</v>
      </c>
      <c r="X2208" s="18"/>
      <c r="Y2208" s="14"/>
      <c r="Z2208" s="14"/>
      <c r="AA2208" s="14"/>
      <c r="AB2208" s="14"/>
      <c r="AC2208" s="14"/>
      <c r="AD2208" s="14"/>
      <c r="AE2208" s="14"/>
      <c r="AF2208" s="14"/>
      <c r="AG2208" s="35"/>
    </row>
    <row r="2209" spans="2:33">
      <c r="B2209" s="19"/>
      <c r="P2209" s="16"/>
      <c r="Q2209" s="36" t="s">
        <v>793</v>
      </c>
      <c r="R2209" s="13">
        <v>0</v>
      </c>
      <c r="S2209" s="13">
        <v>2216</v>
      </c>
      <c r="T2209" s="13">
        <v>1439</v>
      </c>
      <c r="U2209" s="13">
        <v>0</v>
      </c>
      <c r="V2209" s="13">
        <v>0</v>
      </c>
      <c r="W2209" s="37">
        <v>2657</v>
      </c>
      <c r="X2209" s="19"/>
      <c r="AG2209" s="16"/>
    </row>
    <row r="2210" spans="2:33">
      <c r="B2210" s="19"/>
      <c r="P2210" s="16"/>
      <c r="Q2210" s="36" t="s">
        <v>1028</v>
      </c>
      <c r="R2210" s="13">
        <v>0</v>
      </c>
      <c r="S2210" s="13">
        <v>0</v>
      </c>
      <c r="T2210" s="13">
        <v>0</v>
      </c>
      <c r="U2210" s="13">
        <v>1785</v>
      </c>
      <c r="V2210" s="13">
        <v>1224</v>
      </c>
      <c r="W2210" s="37">
        <v>1992</v>
      </c>
      <c r="X2210" s="19"/>
      <c r="AG2210" s="16"/>
    </row>
    <row r="2211" spans="2:33">
      <c r="B2211" s="19"/>
      <c r="P2211" s="16"/>
      <c r="Q2211" s="36" t="s">
        <v>1029</v>
      </c>
      <c r="R2211" s="13">
        <v>0</v>
      </c>
      <c r="S2211" s="13">
        <v>0</v>
      </c>
      <c r="T2211" s="13">
        <v>214</v>
      </c>
      <c r="U2211" s="13">
        <v>2035</v>
      </c>
      <c r="V2211" s="13">
        <v>1305</v>
      </c>
      <c r="W2211" s="37">
        <v>2462</v>
      </c>
      <c r="X2211" s="19"/>
      <c r="AG2211" s="16"/>
    </row>
    <row r="2212" spans="2:33">
      <c r="B2212" s="19"/>
      <c r="P2212" s="16"/>
      <c r="Q2212" s="36" t="s">
        <v>1030</v>
      </c>
      <c r="R2212" s="13">
        <v>905</v>
      </c>
      <c r="S2212" s="13">
        <v>633</v>
      </c>
      <c r="T2212" s="13">
        <v>2793</v>
      </c>
      <c r="U2212" s="13">
        <v>1951</v>
      </c>
      <c r="V2212" s="13">
        <v>0</v>
      </c>
      <c r="W2212" s="37">
        <v>4622</v>
      </c>
      <c r="X2212" s="19"/>
      <c r="AG2212" s="16"/>
    </row>
    <row r="2213" spans="2:33">
      <c r="B2213" s="19"/>
      <c r="P2213" s="16"/>
      <c r="Q2213" s="36" t="s">
        <v>1031</v>
      </c>
      <c r="R2213" s="13">
        <v>2231</v>
      </c>
      <c r="S2213" s="13">
        <v>1561</v>
      </c>
      <c r="T2213" s="13">
        <v>524</v>
      </c>
      <c r="U2213" s="13">
        <v>367</v>
      </c>
      <c r="V2213" s="13">
        <v>0</v>
      </c>
      <c r="W2213" s="37">
        <v>3066</v>
      </c>
      <c r="X2213" s="19"/>
      <c r="AG2213" s="16"/>
    </row>
    <row r="2214" spans="2:33">
      <c r="B2214" s="19"/>
      <c r="P2214" s="16"/>
      <c r="Q2214" s="36" t="s">
        <v>1032</v>
      </c>
      <c r="R2214" s="13">
        <v>0</v>
      </c>
      <c r="S2214" s="13">
        <v>0</v>
      </c>
      <c r="T2214" s="13">
        <v>2678</v>
      </c>
      <c r="U2214" s="13">
        <v>1871</v>
      </c>
      <c r="V2214" s="13">
        <v>0</v>
      </c>
      <c r="W2214" s="37">
        <v>3565</v>
      </c>
      <c r="X2214" s="19"/>
      <c r="AG2214" s="16"/>
    </row>
    <row r="2215" spans="2:33">
      <c r="B2215" s="19"/>
      <c r="P2215" s="16"/>
      <c r="Q2215" s="36" t="s">
        <v>1033</v>
      </c>
      <c r="R2215" s="13">
        <v>0</v>
      </c>
      <c r="S2215" s="13">
        <v>0</v>
      </c>
      <c r="T2215" s="13">
        <v>2242</v>
      </c>
      <c r="U2215" s="13">
        <v>2088</v>
      </c>
      <c r="V2215" s="13">
        <v>369</v>
      </c>
      <c r="W2215" s="37">
        <v>3208</v>
      </c>
      <c r="X2215" s="19"/>
      <c r="AG2215" s="16"/>
    </row>
    <row r="2216" spans="2:33">
      <c r="B2216" s="19"/>
      <c r="P2216" s="16"/>
      <c r="Q2216" s="36" t="s">
        <v>1034</v>
      </c>
      <c r="R2216" s="13">
        <v>0</v>
      </c>
      <c r="S2216" s="13">
        <v>788</v>
      </c>
      <c r="T2216" s="13">
        <v>508</v>
      </c>
      <c r="U2216" s="13">
        <v>1873</v>
      </c>
      <c r="V2216" s="13">
        <v>1267</v>
      </c>
      <c r="W2216" s="37">
        <v>2893</v>
      </c>
      <c r="X2216" s="19"/>
      <c r="AG2216" s="16"/>
    </row>
    <row r="2217" spans="2:33">
      <c r="B2217" s="19"/>
      <c r="P2217" s="16"/>
      <c r="Q2217" s="36" t="s">
        <v>1035</v>
      </c>
      <c r="R2217" s="13">
        <v>648</v>
      </c>
      <c r="S2217" s="13">
        <v>1844</v>
      </c>
      <c r="T2217" s="13">
        <v>916</v>
      </c>
      <c r="U2217" s="13">
        <v>0</v>
      </c>
      <c r="V2217" s="13">
        <v>0</v>
      </c>
      <c r="W2217" s="37">
        <v>2540</v>
      </c>
      <c r="X2217" s="19"/>
      <c r="AG2217" s="16"/>
    </row>
    <row r="2218" spans="2:33" ht="15" thickBot="1">
      <c r="B2218" s="20"/>
      <c r="C2218" s="15"/>
      <c r="D2218" s="15"/>
      <c r="E2218" s="15"/>
      <c r="F2218" s="15"/>
      <c r="G2218" s="15"/>
      <c r="H2218" s="15"/>
      <c r="I2218" s="15"/>
      <c r="J2218" s="15"/>
      <c r="K2218" s="15"/>
      <c r="L2218" s="15"/>
      <c r="M2218" s="15"/>
      <c r="N2218" s="15"/>
      <c r="O2218" s="15"/>
      <c r="P2218" s="17"/>
      <c r="Q2218" s="36" t="s">
        <v>1036</v>
      </c>
      <c r="R2218" s="13">
        <v>2073</v>
      </c>
      <c r="S2218" s="13">
        <v>1344</v>
      </c>
      <c r="T2218" s="13">
        <v>0</v>
      </c>
      <c r="U2218" s="13">
        <v>0</v>
      </c>
      <c r="V2218" s="13">
        <v>0</v>
      </c>
      <c r="W2218" s="37">
        <v>2540</v>
      </c>
      <c r="X2218" s="20"/>
      <c r="Y2218" s="15"/>
      <c r="Z2218" s="15"/>
      <c r="AA2218" s="15"/>
      <c r="AB2218" s="15"/>
      <c r="AC2218" s="15"/>
      <c r="AD2218" s="15"/>
      <c r="AE2218" s="15"/>
      <c r="AF2218" s="15"/>
      <c r="AG2218" s="17"/>
    </row>
    <row r="2220" spans="2:33" ht="15" thickBot="1">
      <c r="B2220" s="25" t="s">
        <v>974</v>
      </c>
      <c r="C2220" s="26" t="s">
        <v>975</v>
      </c>
      <c r="D2220" s="26" t="s">
        <v>1037</v>
      </c>
      <c r="E2220" s="26" t="s">
        <v>1038</v>
      </c>
      <c r="F2220" s="26" t="s">
        <v>1039</v>
      </c>
      <c r="G2220" s="26" t="s">
        <v>1040</v>
      </c>
      <c r="H2220" s="27" t="s">
        <v>498</v>
      </c>
      <c r="I2220" s="26" t="s">
        <v>1041</v>
      </c>
      <c r="J2220" s="27" t="s">
        <v>87</v>
      </c>
      <c r="K2220" s="29">
        <v>22</v>
      </c>
      <c r="L2220" s="29">
        <v>22</v>
      </c>
      <c r="M2220" s="29">
        <v>22</v>
      </c>
      <c r="N2220" s="29">
        <v>22</v>
      </c>
      <c r="O2220" s="29">
        <v>22</v>
      </c>
      <c r="P2220" s="40">
        <v>40</v>
      </c>
      <c r="Q2220" s="1" t="s">
        <v>35</v>
      </c>
      <c r="R2220" s="2">
        <v>1848</v>
      </c>
      <c r="S2220" s="2">
        <v>556</v>
      </c>
      <c r="T2220" s="2">
        <v>0</v>
      </c>
      <c r="U2220" s="2">
        <v>0</v>
      </c>
      <c r="V2220" s="2">
        <v>0</v>
      </c>
      <c r="W2220" s="2">
        <v>680</v>
      </c>
      <c r="X2220" s="43">
        <f>SUM(R2220:W2231)</f>
        <v>29430</v>
      </c>
      <c r="Y2220" s="10">
        <v>46204</v>
      </c>
      <c r="Z2220" s="11">
        <v>0.21915174234314722</v>
      </c>
      <c r="AA2220" s="11">
        <v>0.18274192037163289</v>
      </c>
      <c r="AB2220" s="11">
        <v>0.14726787607165501</v>
      </c>
      <c r="AC2220" s="11">
        <v>0.1287497680516306</v>
      </c>
      <c r="AD2220" s="11">
        <v>0.11447820346270936</v>
      </c>
      <c r="AE2220" s="11">
        <v>0.13149780089791482</v>
      </c>
      <c r="AF2220" s="11">
        <v>0.2</v>
      </c>
      <c r="AG2220" s="11">
        <v>0.23899999999999999</v>
      </c>
    </row>
    <row r="2221" spans="2:33">
      <c r="B2221" s="18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35"/>
      <c r="Q2221" s="36" t="s">
        <v>36</v>
      </c>
      <c r="R2221" s="13">
        <v>1563</v>
      </c>
      <c r="S2221" s="13">
        <v>457</v>
      </c>
      <c r="T2221" s="13">
        <v>0</v>
      </c>
      <c r="U2221" s="13">
        <v>0</v>
      </c>
      <c r="V2221" s="13">
        <v>0</v>
      </c>
      <c r="W2221" s="37">
        <v>690</v>
      </c>
      <c r="X2221" s="18"/>
      <c r="Y2221" s="14"/>
      <c r="Z2221" s="14"/>
      <c r="AA2221" s="14"/>
      <c r="AB2221" s="14"/>
      <c r="AC2221" s="14"/>
      <c r="AD2221" s="14"/>
      <c r="AE2221" s="14"/>
      <c r="AF2221" s="14"/>
      <c r="AG2221" s="35"/>
    </row>
    <row r="2222" spans="2:33">
      <c r="B2222" s="19"/>
      <c r="P2222" s="16"/>
      <c r="Q2222" s="36" t="s">
        <v>37</v>
      </c>
      <c r="R2222" s="13">
        <v>0</v>
      </c>
      <c r="S2222" s="13">
        <v>1565</v>
      </c>
      <c r="T2222" s="13">
        <v>456</v>
      </c>
      <c r="U2222" s="13">
        <v>0</v>
      </c>
      <c r="V2222" s="13">
        <v>0</v>
      </c>
      <c r="W2222" s="37">
        <v>855</v>
      </c>
      <c r="X2222" s="19"/>
      <c r="AG2222" s="16"/>
    </row>
    <row r="2223" spans="2:33">
      <c r="B2223" s="19"/>
      <c r="P2223" s="16"/>
      <c r="Q2223" s="36" t="s">
        <v>38</v>
      </c>
      <c r="R2223" s="13">
        <v>0</v>
      </c>
      <c r="S2223" s="13">
        <v>0</v>
      </c>
      <c r="T2223" s="13">
        <v>0</v>
      </c>
      <c r="U2223" s="13">
        <v>1134</v>
      </c>
      <c r="V2223" s="13">
        <v>342</v>
      </c>
      <c r="W2223" s="37">
        <v>617</v>
      </c>
      <c r="X2223" s="19"/>
      <c r="AG2223" s="16"/>
    </row>
    <row r="2224" spans="2:33">
      <c r="B2224" s="19"/>
      <c r="P2224" s="16"/>
      <c r="Q2224" s="36" t="s">
        <v>39</v>
      </c>
      <c r="R2224" s="13">
        <v>0</v>
      </c>
      <c r="S2224" s="13">
        <v>0</v>
      </c>
      <c r="T2224" s="13">
        <v>0</v>
      </c>
      <c r="U2224" s="13">
        <v>1033</v>
      </c>
      <c r="V2224" s="13">
        <v>350</v>
      </c>
      <c r="W2224" s="37">
        <v>554</v>
      </c>
      <c r="X2224" s="19"/>
      <c r="AG2224" s="16"/>
    </row>
    <row r="2225" spans="2:33">
      <c r="B2225" s="19"/>
      <c r="P2225" s="16"/>
      <c r="Q2225" s="36" t="s">
        <v>40</v>
      </c>
      <c r="R2225" s="13">
        <v>0</v>
      </c>
      <c r="S2225" s="13">
        <v>0</v>
      </c>
      <c r="T2225" s="13">
        <v>1300</v>
      </c>
      <c r="U2225" s="13">
        <v>455</v>
      </c>
      <c r="V2225" s="13">
        <v>0</v>
      </c>
      <c r="W2225" s="37">
        <v>567</v>
      </c>
      <c r="X2225" s="19"/>
      <c r="AG2225" s="16"/>
    </row>
    <row r="2226" spans="2:33">
      <c r="B2226" s="19"/>
      <c r="P2226" s="16"/>
      <c r="Q2226" s="36" t="s">
        <v>41</v>
      </c>
      <c r="R2226" s="13">
        <v>1527</v>
      </c>
      <c r="S2226" s="13">
        <v>510</v>
      </c>
      <c r="T2226" s="13">
        <v>0</v>
      </c>
      <c r="U2226" s="13">
        <v>0</v>
      </c>
      <c r="V2226" s="13">
        <v>0</v>
      </c>
      <c r="W2226" s="37">
        <v>415</v>
      </c>
      <c r="X2226" s="19"/>
      <c r="AG2226" s="16"/>
    </row>
    <row r="2227" spans="2:33">
      <c r="B2227" s="19"/>
      <c r="P2227" s="16"/>
      <c r="Q2227" s="36" t="s">
        <v>42</v>
      </c>
      <c r="R2227" s="13">
        <v>0</v>
      </c>
      <c r="S2227" s="13">
        <v>0</v>
      </c>
      <c r="T2227" s="13">
        <v>1553</v>
      </c>
      <c r="U2227" s="13">
        <v>522</v>
      </c>
      <c r="V2227" s="13">
        <v>0</v>
      </c>
      <c r="W2227" s="37">
        <v>490</v>
      </c>
      <c r="X2227" s="19"/>
      <c r="AG2227" s="16"/>
    </row>
    <row r="2228" spans="2:33">
      <c r="B2228" s="19"/>
      <c r="P2228" s="16"/>
      <c r="Q2228" s="36" t="s">
        <v>43</v>
      </c>
      <c r="R2228" s="13">
        <v>0</v>
      </c>
      <c r="S2228" s="13">
        <v>0</v>
      </c>
      <c r="T2228" s="13">
        <v>1268</v>
      </c>
      <c r="U2228" s="13">
        <v>521</v>
      </c>
      <c r="V2228" s="13">
        <v>0</v>
      </c>
      <c r="W2228" s="37">
        <v>488</v>
      </c>
      <c r="X2228" s="19"/>
      <c r="AG2228" s="16"/>
    </row>
    <row r="2229" spans="2:33">
      <c r="B2229" s="19"/>
      <c r="P2229" s="16"/>
      <c r="Q2229" s="36" t="s">
        <v>44</v>
      </c>
      <c r="R2229" s="13">
        <v>0</v>
      </c>
      <c r="S2229" s="13">
        <v>0</v>
      </c>
      <c r="T2229" s="13">
        <v>0</v>
      </c>
      <c r="U2229" s="13">
        <v>1055</v>
      </c>
      <c r="V2229" s="13">
        <v>354</v>
      </c>
      <c r="W2229" s="37">
        <v>486</v>
      </c>
      <c r="X2229" s="19"/>
      <c r="AG2229" s="16"/>
    </row>
    <row r="2230" spans="2:33">
      <c r="B2230" s="19"/>
      <c r="P2230" s="16"/>
      <c r="Q2230" s="36" t="s">
        <v>45</v>
      </c>
      <c r="R2230" s="13">
        <v>0</v>
      </c>
      <c r="S2230" s="13">
        <v>1215</v>
      </c>
      <c r="T2230" s="13">
        <v>408</v>
      </c>
      <c r="U2230" s="13">
        <v>0</v>
      </c>
      <c r="V2230" s="13">
        <v>0</v>
      </c>
      <c r="W2230" s="37">
        <v>604</v>
      </c>
      <c r="X2230" s="19"/>
      <c r="AG2230" s="16"/>
    </row>
    <row r="2231" spans="2:33" ht="15" thickBot="1">
      <c r="B2231" s="20"/>
      <c r="C2231" s="15"/>
      <c r="D2231" s="15"/>
      <c r="E2231" s="15"/>
      <c r="F2231" s="15"/>
      <c r="G2231" s="15"/>
      <c r="H2231" s="15"/>
      <c r="I2231" s="15"/>
      <c r="J2231" s="15"/>
      <c r="K2231" s="15"/>
      <c r="L2231" s="15"/>
      <c r="M2231" s="15"/>
      <c r="N2231" s="15"/>
      <c r="O2231" s="15"/>
      <c r="P2231" s="17"/>
      <c r="Q2231" s="36" t="s">
        <v>46</v>
      </c>
      <c r="R2231" s="13">
        <v>1821</v>
      </c>
      <c r="S2231" s="13">
        <v>482</v>
      </c>
      <c r="T2231" s="13">
        <v>0</v>
      </c>
      <c r="U2231" s="13">
        <v>0</v>
      </c>
      <c r="V2231" s="13">
        <v>0</v>
      </c>
      <c r="W2231" s="37">
        <v>689</v>
      </c>
      <c r="X2231" s="20"/>
      <c r="Y2231" s="15"/>
      <c r="Z2231" s="15"/>
      <c r="AA2231" s="15"/>
      <c r="AB2231" s="15"/>
      <c r="AC2231" s="15"/>
      <c r="AD2231" s="15"/>
      <c r="AE2231" s="15"/>
      <c r="AF2231" s="15"/>
      <c r="AG2231" s="17"/>
    </row>
    <row r="2233" spans="2:33" ht="15" thickBot="1">
      <c r="B2233" s="25" t="s">
        <v>974</v>
      </c>
      <c r="C2233" s="26" t="s">
        <v>975</v>
      </c>
      <c r="D2233" s="26" t="s">
        <v>1042</v>
      </c>
      <c r="E2233" s="26" t="s">
        <v>1043</v>
      </c>
      <c r="F2233" s="26" t="s">
        <v>1044</v>
      </c>
      <c r="G2233" s="26" t="s">
        <v>253</v>
      </c>
      <c r="H2233" s="27" t="s">
        <v>253</v>
      </c>
      <c r="I2233" s="26" t="s">
        <v>1045</v>
      </c>
      <c r="J2233" s="27" t="s">
        <v>87</v>
      </c>
      <c r="K2233" s="29">
        <v>21</v>
      </c>
      <c r="L2233" s="29">
        <v>21</v>
      </c>
      <c r="M2233" s="29">
        <v>21</v>
      </c>
      <c r="N2233" s="29">
        <v>21</v>
      </c>
      <c r="O2233" s="29">
        <v>21</v>
      </c>
      <c r="P2233" s="40">
        <v>30</v>
      </c>
      <c r="Q2233" s="1" t="s">
        <v>35</v>
      </c>
      <c r="R2233" s="2">
        <v>987</v>
      </c>
      <c r="S2233" s="2">
        <v>584</v>
      </c>
      <c r="T2233" s="2">
        <v>0</v>
      </c>
      <c r="U2233" s="2">
        <v>0</v>
      </c>
      <c r="V2233" s="2">
        <v>0</v>
      </c>
      <c r="W2233" s="2">
        <v>489</v>
      </c>
      <c r="X2233" s="43">
        <f>SUM(R2233:W2243)</f>
        <v>32711</v>
      </c>
      <c r="Y2233" s="10">
        <v>46204</v>
      </c>
      <c r="Z2233" s="11">
        <v>0.21915174234314722</v>
      </c>
      <c r="AA2233" s="11">
        <v>0.18274192037163289</v>
      </c>
      <c r="AB2233" s="11">
        <v>0.14726787607165501</v>
      </c>
      <c r="AC2233" s="11">
        <v>0.1287497680516306</v>
      </c>
      <c r="AD2233" s="11">
        <v>0.11447820346270936</v>
      </c>
      <c r="AE2233" s="11">
        <v>0.13149780089791482</v>
      </c>
      <c r="AF2233" s="11">
        <v>0.2</v>
      </c>
      <c r="AG2233" s="11">
        <v>0.23899999999999999</v>
      </c>
    </row>
    <row r="2234" spans="2:33">
      <c r="B2234" s="18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35"/>
      <c r="Q2234" s="36" t="s">
        <v>36</v>
      </c>
      <c r="R2234" s="13">
        <v>932</v>
      </c>
      <c r="S2234" s="13">
        <v>567</v>
      </c>
      <c r="T2234" s="13">
        <v>0</v>
      </c>
      <c r="U2234" s="13">
        <v>0</v>
      </c>
      <c r="V2234" s="13">
        <v>0</v>
      </c>
      <c r="W2234" s="37">
        <v>447</v>
      </c>
      <c r="X2234" s="18"/>
      <c r="Y2234" s="14"/>
      <c r="Z2234" s="14"/>
      <c r="AA2234" s="14"/>
      <c r="AB2234" s="14"/>
      <c r="AC2234" s="14"/>
      <c r="AD2234" s="14"/>
      <c r="AE2234" s="14"/>
      <c r="AF2234" s="14"/>
      <c r="AG2234" s="35"/>
    </row>
    <row r="2235" spans="2:33">
      <c r="B2235" s="19"/>
      <c r="P2235" s="16"/>
      <c r="Q2235" s="36" t="s">
        <v>37</v>
      </c>
      <c r="R2235" s="13">
        <v>0</v>
      </c>
      <c r="S2235" s="13">
        <v>914</v>
      </c>
      <c r="T2235" s="13">
        <v>576</v>
      </c>
      <c r="U2235" s="13">
        <v>0</v>
      </c>
      <c r="V2235" s="13">
        <v>0</v>
      </c>
      <c r="W2235" s="37">
        <v>543</v>
      </c>
      <c r="X2235" s="19"/>
      <c r="AG2235" s="16"/>
    </row>
    <row r="2236" spans="2:33">
      <c r="B2236" s="19"/>
      <c r="P2236" s="16"/>
      <c r="Q2236" s="36" t="s">
        <v>38</v>
      </c>
      <c r="R2236" s="13">
        <v>0</v>
      </c>
      <c r="S2236" s="13">
        <v>0</v>
      </c>
      <c r="T2236" s="13">
        <v>0</v>
      </c>
      <c r="U2236" s="13">
        <v>932</v>
      </c>
      <c r="V2236" s="13">
        <v>646</v>
      </c>
      <c r="W2236" s="37">
        <v>523</v>
      </c>
      <c r="X2236" s="19"/>
      <c r="AG2236" s="16"/>
    </row>
    <row r="2237" spans="2:33">
      <c r="B2237" s="19"/>
      <c r="P2237" s="16"/>
      <c r="Q2237" s="36" t="s">
        <v>39</v>
      </c>
      <c r="R2237" s="13">
        <v>0</v>
      </c>
      <c r="S2237" s="13">
        <v>0</v>
      </c>
      <c r="T2237" s="13">
        <v>0</v>
      </c>
      <c r="U2237" s="13">
        <v>1241</v>
      </c>
      <c r="V2237" s="13">
        <v>840</v>
      </c>
      <c r="W2237" s="37">
        <v>673</v>
      </c>
      <c r="X2237" s="19"/>
      <c r="AG2237" s="16"/>
    </row>
    <row r="2238" spans="2:33">
      <c r="B2238" s="19"/>
      <c r="P2238" s="16"/>
      <c r="Q2238" s="36" t="s">
        <v>40</v>
      </c>
      <c r="R2238" s="13">
        <v>0</v>
      </c>
      <c r="S2238" s="13">
        <v>0</v>
      </c>
      <c r="T2238" s="13">
        <v>1892</v>
      </c>
      <c r="U2238" s="13">
        <v>1276</v>
      </c>
      <c r="V2238" s="13">
        <v>0</v>
      </c>
      <c r="W2238" s="37">
        <v>655</v>
      </c>
      <c r="X2238" s="19"/>
      <c r="AG2238" s="16"/>
    </row>
    <row r="2239" spans="2:33">
      <c r="B2239" s="19"/>
      <c r="P2239" s="16"/>
      <c r="Q2239" s="36" t="s">
        <v>41</v>
      </c>
      <c r="R2239" s="13">
        <v>2816</v>
      </c>
      <c r="S2239" s="13">
        <v>1947</v>
      </c>
      <c r="T2239" s="13">
        <v>0</v>
      </c>
      <c r="U2239" s="13">
        <v>0</v>
      </c>
      <c r="V2239" s="13">
        <v>0</v>
      </c>
      <c r="W2239" s="37">
        <v>668</v>
      </c>
      <c r="X2239" s="19"/>
      <c r="AG2239" s="16"/>
    </row>
    <row r="2240" spans="2:33">
      <c r="B2240" s="19"/>
      <c r="P2240" s="16"/>
      <c r="Q2240" s="36" t="s">
        <v>42</v>
      </c>
      <c r="R2240" s="13">
        <v>0</v>
      </c>
      <c r="S2240" s="13">
        <v>0</v>
      </c>
      <c r="T2240" s="13">
        <v>2210</v>
      </c>
      <c r="U2240" s="13">
        <v>1467</v>
      </c>
      <c r="V2240" s="13">
        <v>0</v>
      </c>
      <c r="W2240" s="37">
        <v>631</v>
      </c>
      <c r="X2240" s="19"/>
      <c r="AG2240" s="16"/>
    </row>
    <row r="2241" spans="2:33">
      <c r="B2241" s="19"/>
      <c r="P2241" s="16"/>
      <c r="Q2241" s="36" t="s">
        <v>43</v>
      </c>
      <c r="R2241" s="13">
        <v>0</v>
      </c>
      <c r="S2241" s="13">
        <v>0</v>
      </c>
      <c r="T2241" s="13">
        <v>2009</v>
      </c>
      <c r="U2241" s="13">
        <v>1332</v>
      </c>
      <c r="V2241" s="13">
        <v>0</v>
      </c>
      <c r="W2241" s="37">
        <v>687</v>
      </c>
      <c r="X2241" s="19"/>
      <c r="AG2241" s="16"/>
    </row>
    <row r="2242" spans="2:33">
      <c r="B2242" s="19"/>
      <c r="P2242" s="16"/>
      <c r="Q2242" s="36" t="s">
        <v>45</v>
      </c>
      <c r="R2242" s="13">
        <v>0</v>
      </c>
      <c r="S2242" s="13">
        <v>966</v>
      </c>
      <c r="T2242" s="13">
        <v>604</v>
      </c>
      <c r="U2242" s="13">
        <v>0</v>
      </c>
      <c r="V2242" s="13">
        <v>0</v>
      </c>
      <c r="W2242" s="37">
        <v>511</v>
      </c>
      <c r="X2242" s="19"/>
      <c r="AG2242" s="16"/>
    </row>
    <row r="2243" spans="2:33" ht="15" thickBot="1">
      <c r="B2243" s="20"/>
      <c r="C2243" s="15"/>
      <c r="D2243" s="15"/>
      <c r="E2243" s="15"/>
      <c r="F2243" s="15"/>
      <c r="G2243" s="15"/>
      <c r="H2243" s="15"/>
      <c r="I2243" s="15"/>
      <c r="J2243" s="15"/>
      <c r="K2243" s="15"/>
      <c r="L2243" s="15"/>
      <c r="M2243" s="15"/>
      <c r="N2243" s="15"/>
      <c r="O2243" s="15"/>
      <c r="P2243" s="17"/>
      <c r="Q2243" s="36" t="s">
        <v>46</v>
      </c>
      <c r="R2243" s="13">
        <v>1067</v>
      </c>
      <c r="S2243" s="13">
        <v>604</v>
      </c>
      <c r="T2243" s="13">
        <v>0</v>
      </c>
      <c r="U2243" s="13">
        <v>0</v>
      </c>
      <c r="V2243" s="13">
        <v>0</v>
      </c>
      <c r="W2243" s="37">
        <v>475</v>
      </c>
      <c r="X2243" s="20"/>
      <c r="Y2243" s="15"/>
      <c r="Z2243" s="15"/>
      <c r="AA2243" s="15"/>
      <c r="AB2243" s="15"/>
      <c r="AC2243" s="15"/>
      <c r="AD2243" s="15"/>
      <c r="AE2243" s="15"/>
      <c r="AF2243" s="15"/>
      <c r="AG2243" s="17"/>
    </row>
    <row r="2245" spans="2:33" ht="15" thickBot="1">
      <c r="B2245" s="25" t="s">
        <v>974</v>
      </c>
      <c r="C2245" s="26" t="s">
        <v>975</v>
      </c>
      <c r="D2245" s="26" t="s">
        <v>1046</v>
      </c>
      <c r="E2245" s="26" t="s">
        <v>1047</v>
      </c>
      <c r="F2245" s="26" t="s">
        <v>1048</v>
      </c>
      <c r="G2245" s="26" t="s">
        <v>703</v>
      </c>
      <c r="H2245" s="27" t="s">
        <v>704</v>
      </c>
      <c r="I2245" s="26" t="s">
        <v>1049</v>
      </c>
      <c r="J2245" s="27" t="s">
        <v>87</v>
      </c>
      <c r="K2245" s="29">
        <v>12</v>
      </c>
      <c r="L2245" s="29">
        <v>15.0100002288818</v>
      </c>
      <c r="M2245" s="29">
        <v>15.0100002288818</v>
      </c>
      <c r="N2245" s="29">
        <v>15.0100002288818</v>
      </c>
      <c r="O2245" s="29">
        <v>15.0100002288818</v>
      </c>
      <c r="P2245" s="40">
        <v>15.0100002288818</v>
      </c>
      <c r="Q2245" s="1" t="s">
        <v>35</v>
      </c>
      <c r="R2245" s="2">
        <v>950</v>
      </c>
      <c r="S2245" s="2">
        <v>461</v>
      </c>
      <c r="T2245" s="2">
        <v>0</v>
      </c>
      <c r="U2245" s="2">
        <v>0</v>
      </c>
      <c r="V2245" s="2">
        <v>0</v>
      </c>
      <c r="W2245" s="2">
        <v>327</v>
      </c>
      <c r="X2245" s="43">
        <f>SUM(R2245:W2256)</f>
        <v>18638</v>
      </c>
      <c r="Y2245" s="10">
        <v>46204</v>
      </c>
      <c r="Z2245" s="11">
        <v>0.21915174234314722</v>
      </c>
      <c r="AA2245" s="11">
        <v>0.18274192037163289</v>
      </c>
      <c r="AB2245" s="11">
        <v>0.14726787607165501</v>
      </c>
      <c r="AC2245" s="11">
        <v>0.1287497680516306</v>
      </c>
      <c r="AD2245" s="11">
        <v>0.11447820346270936</v>
      </c>
      <c r="AE2245" s="11">
        <v>0.13149780089791482</v>
      </c>
      <c r="AF2245" s="11">
        <v>0.2</v>
      </c>
      <c r="AG2245" s="11">
        <v>0.23899999999999999</v>
      </c>
    </row>
    <row r="2246" spans="2:33">
      <c r="B2246" s="18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35"/>
      <c r="Q2246" s="36" t="s">
        <v>36</v>
      </c>
      <c r="R2246" s="13">
        <v>810</v>
      </c>
      <c r="S2246" s="13">
        <v>370</v>
      </c>
      <c r="T2246" s="13">
        <v>0</v>
      </c>
      <c r="U2246" s="13">
        <v>0</v>
      </c>
      <c r="V2246" s="13">
        <v>0</v>
      </c>
      <c r="W2246" s="37">
        <v>346</v>
      </c>
      <c r="X2246" s="18"/>
      <c r="Y2246" s="14"/>
      <c r="Z2246" s="14"/>
      <c r="AA2246" s="14"/>
      <c r="AB2246" s="14"/>
      <c r="AC2246" s="14"/>
      <c r="AD2246" s="14"/>
      <c r="AE2246" s="14"/>
      <c r="AF2246" s="14"/>
      <c r="AG2246" s="35"/>
    </row>
    <row r="2247" spans="2:33">
      <c r="B2247" s="19"/>
      <c r="P2247" s="16"/>
      <c r="Q2247" s="36" t="s">
        <v>37</v>
      </c>
      <c r="R2247" s="13">
        <v>0</v>
      </c>
      <c r="S2247" s="13">
        <v>792</v>
      </c>
      <c r="T2247" s="13">
        <v>382</v>
      </c>
      <c r="U2247" s="13">
        <v>0</v>
      </c>
      <c r="V2247" s="13">
        <v>0</v>
      </c>
      <c r="W2247" s="37">
        <v>385</v>
      </c>
      <c r="X2247" s="19"/>
      <c r="AG2247" s="16"/>
    </row>
    <row r="2248" spans="2:33">
      <c r="B2248" s="19"/>
      <c r="P2248" s="16"/>
      <c r="Q2248" s="36" t="s">
        <v>38</v>
      </c>
      <c r="R2248" s="13">
        <v>0</v>
      </c>
      <c r="S2248" s="13">
        <v>0</v>
      </c>
      <c r="T2248" s="13">
        <v>0</v>
      </c>
      <c r="U2248" s="13">
        <v>670</v>
      </c>
      <c r="V2248" s="13">
        <v>316</v>
      </c>
      <c r="W2248" s="37">
        <v>261</v>
      </c>
      <c r="X2248" s="19"/>
      <c r="AG2248" s="16"/>
    </row>
    <row r="2249" spans="2:33">
      <c r="B2249" s="19"/>
      <c r="P2249" s="16"/>
      <c r="Q2249" s="36" t="s">
        <v>39</v>
      </c>
      <c r="R2249" s="13">
        <v>0</v>
      </c>
      <c r="S2249" s="13">
        <v>0</v>
      </c>
      <c r="T2249" s="13">
        <v>0</v>
      </c>
      <c r="U2249" s="13">
        <v>758</v>
      </c>
      <c r="V2249" s="13">
        <v>385</v>
      </c>
      <c r="W2249" s="37">
        <v>351</v>
      </c>
      <c r="X2249" s="19"/>
      <c r="AG2249" s="16"/>
    </row>
    <row r="2250" spans="2:33">
      <c r="B2250" s="19"/>
      <c r="P2250" s="16"/>
      <c r="Q2250" s="36" t="s">
        <v>40</v>
      </c>
      <c r="R2250" s="13">
        <v>0</v>
      </c>
      <c r="S2250" s="13">
        <v>0</v>
      </c>
      <c r="T2250" s="13">
        <v>998</v>
      </c>
      <c r="U2250" s="13">
        <v>503</v>
      </c>
      <c r="V2250" s="13">
        <v>0</v>
      </c>
      <c r="W2250" s="37">
        <v>337</v>
      </c>
      <c r="X2250" s="19"/>
      <c r="AG2250" s="16"/>
    </row>
    <row r="2251" spans="2:33">
      <c r="B2251" s="19"/>
      <c r="P2251" s="16"/>
      <c r="Q2251" s="36" t="s">
        <v>41</v>
      </c>
      <c r="R2251" s="13">
        <v>1049</v>
      </c>
      <c r="S2251" s="13">
        <v>513</v>
      </c>
      <c r="T2251" s="13">
        <v>0</v>
      </c>
      <c r="U2251" s="13">
        <v>0</v>
      </c>
      <c r="V2251" s="13">
        <v>0</v>
      </c>
      <c r="W2251" s="37">
        <v>290</v>
      </c>
      <c r="X2251" s="19"/>
      <c r="AG2251" s="16"/>
    </row>
    <row r="2252" spans="2:33">
      <c r="B2252" s="19"/>
      <c r="P2252" s="16"/>
      <c r="Q2252" s="36" t="s">
        <v>42</v>
      </c>
      <c r="R2252" s="13">
        <v>0</v>
      </c>
      <c r="S2252" s="13">
        <v>0</v>
      </c>
      <c r="T2252" s="13">
        <v>833</v>
      </c>
      <c r="U2252" s="13">
        <v>494</v>
      </c>
      <c r="V2252" s="13">
        <v>0</v>
      </c>
      <c r="W2252" s="37">
        <v>239</v>
      </c>
      <c r="X2252" s="19"/>
      <c r="AG2252" s="16"/>
    </row>
    <row r="2253" spans="2:33">
      <c r="B2253" s="19"/>
      <c r="P2253" s="16"/>
      <c r="Q2253" s="36" t="s">
        <v>43</v>
      </c>
      <c r="R2253" s="13">
        <v>0</v>
      </c>
      <c r="S2253" s="13">
        <v>0</v>
      </c>
      <c r="T2253" s="13">
        <v>890</v>
      </c>
      <c r="U2253" s="13">
        <v>412</v>
      </c>
      <c r="V2253" s="13">
        <v>0</v>
      </c>
      <c r="W2253" s="37">
        <v>241</v>
      </c>
      <c r="X2253" s="19"/>
      <c r="AG2253" s="16"/>
    </row>
    <row r="2254" spans="2:33">
      <c r="B2254" s="19"/>
      <c r="P2254" s="16"/>
      <c r="Q2254" s="36" t="s">
        <v>44</v>
      </c>
      <c r="R2254" s="13">
        <v>0</v>
      </c>
      <c r="S2254" s="13">
        <v>0</v>
      </c>
      <c r="T2254" s="13">
        <v>0</v>
      </c>
      <c r="U2254" s="13">
        <v>710</v>
      </c>
      <c r="V2254" s="13">
        <v>330</v>
      </c>
      <c r="W2254" s="37">
        <v>291</v>
      </c>
      <c r="X2254" s="19"/>
      <c r="AG2254" s="16"/>
    </row>
    <row r="2255" spans="2:33">
      <c r="B2255" s="19"/>
      <c r="P2255" s="16"/>
      <c r="Q2255" s="36" t="s">
        <v>45</v>
      </c>
      <c r="R2255" s="13">
        <v>0</v>
      </c>
      <c r="S2255" s="13">
        <v>656</v>
      </c>
      <c r="T2255" s="13">
        <v>324</v>
      </c>
      <c r="U2255" s="13">
        <v>0</v>
      </c>
      <c r="V2255" s="13">
        <v>0</v>
      </c>
      <c r="W2255" s="37">
        <v>372</v>
      </c>
      <c r="X2255" s="19"/>
      <c r="AG2255" s="16"/>
    </row>
    <row r="2256" spans="2:33" ht="15" thickBot="1">
      <c r="B2256" s="20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5"/>
      <c r="O2256" s="15"/>
      <c r="P2256" s="17"/>
      <c r="Q2256" s="36" t="s">
        <v>46</v>
      </c>
      <c r="R2256" s="13">
        <v>909</v>
      </c>
      <c r="S2256" s="13">
        <v>363</v>
      </c>
      <c r="T2256" s="13">
        <v>0</v>
      </c>
      <c r="U2256" s="13">
        <v>0</v>
      </c>
      <c r="V2256" s="13">
        <v>0</v>
      </c>
      <c r="W2256" s="37">
        <v>320</v>
      </c>
      <c r="X2256" s="20"/>
      <c r="Y2256" s="15"/>
      <c r="Z2256" s="15"/>
      <c r="AA2256" s="15"/>
      <c r="AB2256" s="15"/>
      <c r="AC2256" s="15"/>
      <c r="AD2256" s="15"/>
      <c r="AE2256" s="15"/>
      <c r="AF2256" s="15"/>
      <c r="AG2256" s="17"/>
    </row>
    <row r="2258" spans="2:33" ht="15" thickBot="1">
      <c r="B2258" s="25" t="s">
        <v>974</v>
      </c>
      <c r="C2258" s="26" t="s">
        <v>975</v>
      </c>
      <c r="D2258" s="26" t="s">
        <v>1050</v>
      </c>
      <c r="E2258" s="26" t="s">
        <v>1051</v>
      </c>
      <c r="F2258" s="26" t="s">
        <v>1052</v>
      </c>
      <c r="G2258" s="26" t="s">
        <v>55</v>
      </c>
      <c r="H2258" s="27" t="s">
        <v>55</v>
      </c>
      <c r="I2258" s="26" t="s">
        <v>1053</v>
      </c>
      <c r="J2258" s="27" t="s">
        <v>87</v>
      </c>
      <c r="K2258" s="29">
        <v>13</v>
      </c>
      <c r="L2258" s="29">
        <v>19.799999237060501</v>
      </c>
      <c r="M2258" s="29">
        <v>19.799999237060501</v>
      </c>
      <c r="N2258" s="29">
        <v>19.799999237060501</v>
      </c>
      <c r="O2258" s="29">
        <v>19.799999237060501</v>
      </c>
      <c r="P2258" s="40">
        <v>19.799999237060501</v>
      </c>
      <c r="Q2258" s="1" t="s">
        <v>35</v>
      </c>
      <c r="R2258" s="2">
        <v>1264</v>
      </c>
      <c r="S2258" s="2">
        <v>370</v>
      </c>
      <c r="T2258" s="2">
        <v>0</v>
      </c>
      <c r="U2258" s="2">
        <v>0</v>
      </c>
      <c r="V2258" s="2">
        <v>0</v>
      </c>
      <c r="W2258" s="2">
        <v>363</v>
      </c>
      <c r="X2258" s="43">
        <f>SUM(R2258:W2269)</f>
        <v>17300</v>
      </c>
      <c r="Y2258" s="10">
        <v>46204</v>
      </c>
      <c r="Z2258" s="11">
        <v>0.21915174234314722</v>
      </c>
      <c r="AA2258" s="11">
        <v>0.18274192037163289</v>
      </c>
      <c r="AB2258" s="11">
        <v>0.14726787607165501</v>
      </c>
      <c r="AC2258" s="11">
        <v>0.1287497680516306</v>
      </c>
      <c r="AD2258" s="11">
        <v>0.11447820346270936</v>
      </c>
      <c r="AE2258" s="11">
        <v>0.13149780089791482</v>
      </c>
      <c r="AF2258" s="11">
        <v>0.2</v>
      </c>
      <c r="AG2258" s="11">
        <v>0.23899999999999999</v>
      </c>
    </row>
    <row r="2259" spans="2:33">
      <c r="B2259" s="18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35"/>
      <c r="Q2259" s="36" t="s">
        <v>36</v>
      </c>
      <c r="R2259" s="13">
        <v>1128</v>
      </c>
      <c r="S2259" s="13">
        <v>330</v>
      </c>
      <c r="T2259" s="13">
        <v>0</v>
      </c>
      <c r="U2259" s="13">
        <v>0</v>
      </c>
      <c r="V2259" s="13">
        <v>0</v>
      </c>
      <c r="W2259" s="37">
        <v>372</v>
      </c>
      <c r="X2259" s="18"/>
      <c r="Y2259" s="14"/>
      <c r="Z2259" s="14"/>
      <c r="AA2259" s="14"/>
      <c r="AB2259" s="14"/>
      <c r="AC2259" s="14"/>
      <c r="AD2259" s="14"/>
      <c r="AE2259" s="14"/>
      <c r="AF2259" s="14"/>
      <c r="AG2259" s="35"/>
    </row>
    <row r="2260" spans="2:33">
      <c r="B2260" s="19"/>
      <c r="P2260" s="16"/>
      <c r="Q2260" s="36" t="s">
        <v>37</v>
      </c>
      <c r="R2260" s="13">
        <v>0</v>
      </c>
      <c r="S2260" s="13">
        <v>1153</v>
      </c>
      <c r="T2260" s="13">
        <v>345</v>
      </c>
      <c r="U2260" s="13">
        <v>0</v>
      </c>
      <c r="V2260" s="13">
        <v>0</v>
      </c>
      <c r="W2260" s="37">
        <v>429</v>
      </c>
      <c r="X2260" s="19"/>
      <c r="AG2260" s="16"/>
    </row>
    <row r="2261" spans="2:33">
      <c r="B2261" s="19"/>
      <c r="P2261" s="16"/>
      <c r="Q2261" s="36" t="s">
        <v>38</v>
      </c>
      <c r="R2261" s="13">
        <v>0</v>
      </c>
      <c r="S2261" s="13">
        <v>0</v>
      </c>
      <c r="T2261" s="13">
        <v>0</v>
      </c>
      <c r="U2261" s="13">
        <v>806</v>
      </c>
      <c r="V2261" s="13">
        <v>286</v>
      </c>
      <c r="W2261" s="37">
        <v>295</v>
      </c>
      <c r="X2261" s="19"/>
      <c r="AG2261" s="16"/>
    </row>
    <row r="2262" spans="2:33">
      <c r="B2262" s="19"/>
      <c r="P2262" s="16"/>
      <c r="Q2262" s="36" t="s">
        <v>39</v>
      </c>
      <c r="R2262" s="13">
        <v>0</v>
      </c>
      <c r="S2262" s="13">
        <v>0</v>
      </c>
      <c r="T2262" s="13">
        <v>0</v>
      </c>
      <c r="U2262" s="13">
        <v>825</v>
      </c>
      <c r="V2262" s="13">
        <v>301</v>
      </c>
      <c r="W2262" s="37">
        <v>348</v>
      </c>
      <c r="X2262" s="19"/>
      <c r="AG2262" s="16"/>
    </row>
    <row r="2263" spans="2:33">
      <c r="B2263" s="19"/>
      <c r="P2263" s="16"/>
      <c r="Q2263" s="36" t="s">
        <v>40</v>
      </c>
      <c r="R2263" s="13">
        <v>0</v>
      </c>
      <c r="S2263" s="13">
        <v>0</v>
      </c>
      <c r="T2263" s="13">
        <v>990</v>
      </c>
      <c r="U2263" s="13">
        <v>370</v>
      </c>
      <c r="V2263" s="13">
        <v>0</v>
      </c>
      <c r="W2263" s="37">
        <v>318</v>
      </c>
      <c r="X2263" s="19"/>
      <c r="AG2263" s="16"/>
    </row>
    <row r="2264" spans="2:33">
      <c r="B2264" s="19"/>
      <c r="P2264" s="16"/>
      <c r="Q2264" s="36" t="s">
        <v>41</v>
      </c>
      <c r="R2264" s="13">
        <v>1070</v>
      </c>
      <c r="S2264" s="13">
        <v>430</v>
      </c>
      <c r="T2264" s="13">
        <v>0</v>
      </c>
      <c r="U2264" s="13">
        <v>0</v>
      </c>
      <c r="V2264" s="13">
        <v>0</v>
      </c>
      <c r="W2264" s="37">
        <v>238</v>
      </c>
      <c r="X2264" s="19"/>
      <c r="AG2264" s="16"/>
    </row>
    <row r="2265" spans="2:33">
      <c r="B2265" s="19"/>
      <c r="P2265" s="16"/>
      <c r="Q2265" s="36" t="s">
        <v>42</v>
      </c>
      <c r="R2265" s="13">
        <v>0</v>
      </c>
      <c r="S2265" s="13">
        <v>0</v>
      </c>
      <c r="T2265" s="13">
        <v>940</v>
      </c>
      <c r="U2265" s="13">
        <v>364</v>
      </c>
      <c r="V2265" s="13">
        <v>0</v>
      </c>
      <c r="W2265" s="37">
        <v>271</v>
      </c>
      <c r="X2265" s="19"/>
      <c r="AG2265" s="16"/>
    </row>
    <row r="2266" spans="2:33">
      <c r="B2266" s="19"/>
      <c r="P2266" s="16"/>
      <c r="Q2266" s="36" t="s">
        <v>43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37">
        <v>0</v>
      </c>
      <c r="X2266" s="19"/>
      <c r="AG2266" s="16"/>
    </row>
    <row r="2267" spans="2:33">
      <c r="B2267" s="19"/>
      <c r="P2267" s="16"/>
      <c r="Q2267" s="36" t="s">
        <v>44</v>
      </c>
      <c r="R2267" s="13">
        <v>0</v>
      </c>
      <c r="S2267" s="13">
        <v>0</v>
      </c>
      <c r="T2267" s="13">
        <v>0</v>
      </c>
      <c r="U2267" s="13">
        <v>0</v>
      </c>
      <c r="V2267" s="13">
        <v>0</v>
      </c>
      <c r="W2267" s="37">
        <v>0</v>
      </c>
      <c r="X2267" s="19"/>
      <c r="AG2267" s="16"/>
    </row>
    <row r="2268" spans="2:33">
      <c r="B2268" s="19"/>
      <c r="P2268" s="16"/>
      <c r="Q2268" s="36" t="s">
        <v>45</v>
      </c>
      <c r="R2268" s="13">
        <v>0</v>
      </c>
      <c r="S2268" s="13">
        <v>824</v>
      </c>
      <c r="T2268" s="13">
        <v>453</v>
      </c>
      <c r="U2268" s="13">
        <v>0</v>
      </c>
      <c r="V2268" s="13">
        <v>0</v>
      </c>
      <c r="W2268" s="37">
        <v>326</v>
      </c>
      <c r="X2268" s="19"/>
      <c r="AG2268" s="16"/>
    </row>
    <row r="2269" spans="2:33" ht="15" thickBot="1">
      <c r="B2269" s="20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5"/>
      <c r="O2269" s="15"/>
      <c r="P2269" s="17"/>
      <c r="Q2269" s="36" t="s">
        <v>46</v>
      </c>
      <c r="R2269" s="13">
        <v>1156</v>
      </c>
      <c r="S2269" s="13">
        <v>588</v>
      </c>
      <c r="T2269" s="13">
        <v>0</v>
      </c>
      <c r="U2269" s="13">
        <v>0</v>
      </c>
      <c r="V2269" s="13">
        <v>0</v>
      </c>
      <c r="W2269" s="37">
        <v>347</v>
      </c>
      <c r="X2269" s="20"/>
      <c r="Y2269" s="15"/>
      <c r="Z2269" s="15"/>
      <c r="AA2269" s="15"/>
      <c r="AB2269" s="15"/>
      <c r="AC2269" s="15"/>
      <c r="AD2269" s="15"/>
      <c r="AE2269" s="15"/>
      <c r="AF2269" s="15"/>
      <c r="AG2269" s="17"/>
    </row>
    <row r="2271" spans="2:33" ht="15" thickBot="1">
      <c r="B2271" s="25" t="s">
        <v>974</v>
      </c>
      <c r="C2271" s="26" t="s">
        <v>975</v>
      </c>
      <c r="D2271" s="26" t="s">
        <v>1054</v>
      </c>
      <c r="E2271" s="26" t="s">
        <v>1055</v>
      </c>
      <c r="F2271" s="26" t="s">
        <v>906</v>
      </c>
      <c r="G2271" s="26" t="s">
        <v>779</v>
      </c>
      <c r="H2271" s="27" t="s">
        <v>683</v>
      </c>
      <c r="I2271" s="26" t="s">
        <v>1056</v>
      </c>
      <c r="J2271" s="27" t="s">
        <v>87</v>
      </c>
      <c r="K2271" s="29">
        <v>20</v>
      </c>
      <c r="L2271" s="29">
        <v>20</v>
      </c>
      <c r="M2271" s="29">
        <v>20</v>
      </c>
      <c r="N2271" s="29">
        <v>20</v>
      </c>
      <c r="O2271" s="29">
        <v>20</v>
      </c>
      <c r="P2271" s="40">
        <v>42.299999237060497</v>
      </c>
      <c r="Q2271" s="1" t="s">
        <v>35</v>
      </c>
      <c r="R2271" s="2">
        <v>1857</v>
      </c>
      <c r="S2271" s="2">
        <v>1031</v>
      </c>
      <c r="T2271" s="2">
        <v>0</v>
      </c>
      <c r="U2271" s="2">
        <v>0</v>
      </c>
      <c r="V2271" s="2">
        <v>0</v>
      </c>
      <c r="W2271" s="2">
        <v>618</v>
      </c>
      <c r="X2271" s="43">
        <f>SUM(R2271:W2282)</f>
        <v>19912</v>
      </c>
      <c r="Y2271" s="10">
        <v>46204</v>
      </c>
      <c r="Z2271" s="11">
        <v>0.21915174234314722</v>
      </c>
      <c r="AA2271" s="11">
        <v>0.18274192037163289</v>
      </c>
      <c r="AB2271" s="11">
        <v>0.14726787607165501</v>
      </c>
      <c r="AC2271" s="11">
        <v>0.1287497680516306</v>
      </c>
      <c r="AD2271" s="11">
        <v>0.11447820346270936</v>
      </c>
      <c r="AE2271" s="11">
        <v>0.13149780089791482</v>
      </c>
      <c r="AF2271" s="11">
        <v>0.2</v>
      </c>
      <c r="AG2271" s="11">
        <v>0.23899999999999999</v>
      </c>
    </row>
    <row r="2272" spans="2:33">
      <c r="B2272" s="18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35"/>
      <c r="Q2272" s="36" t="s">
        <v>36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37">
        <v>0</v>
      </c>
      <c r="X2272" s="18"/>
      <c r="Y2272" s="14"/>
      <c r="Z2272" s="14"/>
      <c r="AA2272" s="14"/>
      <c r="AB2272" s="14"/>
      <c r="AC2272" s="14"/>
      <c r="AD2272" s="14"/>
      <c r="AE2272" s="14"/>
      <c r="AF2272" s="14"/>
      <c r="AG2272" s="35"/>
    </row>
    <row r="2273" spans="2:33">
      <c r="B2273" s="19"/>
      <c r="P2273" s="16"/>
      <c r="Q2273" s="36" t="s">
        <v>37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37">
        <v>0</v>
      </c>
      <c r="X2273" s="19"/>
      <c r="AG2273" s="16"/>
    </row>
    <row r="2274" spans="2:33">
      <c r="B2274" s="19"/>
      <c r="P2274" s="16"/>
      <c r="Q2274" s="36" t="s">
        <v>38</v>
      </c>
      <c r="R2274" s="13">
        <v>0</v>
      </c>
      <c r="S2274" s="13">
        <v>0</v>
      </c>
      <c r="T2274" s="13">
        <v>0</v>
      </c>
      <c r="U2274" s="13">
        <v>1409</v>
      </c>
      <c r="V2274" s="13">
        <v>780</v>
      </c>
      <c r="W2274" s="37">
        <v>474</v>
      </c>
      <c r="X2274" s="19"/>
      <c r="AG2274" s="16"/>
    </row>
    <row r="2275" spans="2:33">
      <c r="B2275" s="19"/>
      <c r="P2275" s="16"/>
      <c r="Q2275" s="36" t="s">
        <v>39</v>
      </c>
      <c r="R2275" s="13">
        <v>0</v>
      </c>
      <c r="S2275" s="13">
        <v>0</v>
      </c>
      <c r="T2275" s="13">
        <v>0</v>
      </c>
      <c r="U2275" s="13">
        <v>1391</v>
      </c>
      <c r="V2275" s="13">
        <v>711</v>
      </c>
      <c r="W2275" s="37">
        <v>563</v>
      </c>
      <c r="X2275" s="19"/>
      <c r="AG2275" s="16"/>
    </row>
    <row r="2276" spans="2:33">
      <c r="B2276" s="19"/>
      <c r="P2276" s="16"/>
      <c r="Q2276" s="36" t="s">
        <v>40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37">
        <v>0</v>
      </c>
      <c r="X2276" s="19"/>
      <c r="AG2276" s="16"/>
    </row>
    <row r="2277" spans="2:33">
      <c r="B2277" s="19"/>
      <c r="P2277" s="16"/>
      <c r="Q2277" s="36" t="s">
        <v>41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37">
        <v>0</v>
      </c>
      <c r="X2277" s="19"/>
      <c r="AG2277" s="16"/>
    </row>
    <row r="2278" spans="2:33">
      <c r="B2278" s="19"/>
      <c r="P2278" s="16"/>
      <c r="Q2278" s="36" t="s">
        <v>42</v>
      </c>
      <c r="R2278" s="13">
        <v>0</v>
      </c>
      <c r="S2278" s="13">
        <v>0</v>
      </c>
      <c r="T2278" s="13">
        <v>0</v>
      </c>
      <c r="U2278" s="13">
        <v>0</v>
      </c>
      <c r="V2278" s="13">
        <v>0</v>
      </c>
      <c r="W2278" s="37">
        <v>0</v>
      </c>
      <c r="X2278" s="19"/>
      <c r="AG2278" s="16"/>
    </row>
    <row r="2279" spans="2:33">
      <c r="B2279" s="19"/>
      <c r="P2279" s="16"/>
      <c r="Q2279" s="36" t="s">
        <v>43</v>
      </c>
      <c r="R2279" s="13">
        <v>0</v>
      </c>
      <c r="S2279" s="13">
        <v>0</v>
      </c>
      <c r="T2279" s="13">
        <v>1824</v>
      </c>
      <c r="U2279" s="13">
        <v>996</v>
      </c>
      <c r="V2279" s="13">
        <v>0</v>
      </c>
      <c r="W2279" s="37">
        <v>558</v>
      </c>
      <c r="X2279" s="19"/>
      <c r="AG2279" s="16"/>
    </row>
    <row r="2280" spans="2:33">
      <c r="B2280" s="19"/>
      <c r="P2280" s="16"/>
      <c r="Q2280" s="36" t="s">
        <v>44</v>
      </c>
      <c r="R2280" s="13">
        <v>0</v>
      </c>
      <c r="S2280" s="13">
        <v>0</v>
      </c>
      <c r="T2280" s="13">
        <v>0</v>
      </c>
      <c r="U2280" s="13">
        <v>1413</v>
      </c>
      <c r="V2280" s="13">
        <v>727</v>
      </c>
      <c r="W2280" s="37">
        <v>445</v>
      </c>
      <c r="X2280" s="19"/>
      <c r="AG2280" s="16"/>
    </row>
    <row r="2281" spans="2:33">
      <c r="B2281" s="19"/>
      <c r="P2281" s="16"/>
      <c r="Q2281" s="36" t="s">
        <v>45</v>
      </c>
      <c r="R2281" s="13">
        <v>0</v>
      </c>
      <c r="S2281" s="13">
        <v>1357</v>
      </c>
      <c r="T2281" s="13">
        <v>688</v>
      </c>
      <c r="U2281" s="13">
        <v>0</v>
      </c>
      <c r="V2281" s="13">
        <v>0</v>
      </c>
      <c r="W2281" s="37">
        <v>516</v>
      </c>
      <c r="X2281" s="19"/>
      <c r="AG2281" s="16"/>
    </row>
    <row r="2282" spans="2:33" ht="15" thickBot="1">
      <c r="B2282" s="20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5"/>
      <c r="O2282" s="15"/>
      <c r="P2282" s="17"/>
      <c r="Q2282" s="36" t="s">
        <v>46</v>
      </c>
      <c r="R2282" s="13">
        <v>1348</v>
      </c>
      <c r="S2282" s="13">
        <v>733</v>
      </c>
      <c r="T2282" s="13">
        <v>0</v>
      </c>
      <c r="U2282" s="13">
        <v>0</v>
      </c>
      <c r="V2282" s="13">
        <v>0</v>
      </c>
      <c r="W2282" s="37">
        <v>473</v>
      </c>
      <c r="X2282" s="20"/>
      <c r="Y2282" s="15"/>
      <c r="Z2282" s="15"/>
      <c r="AA2282" s="15"/>
      <c r="AB2282" s="15"/>
      <c r="AC2282" s="15"/>
      <c r="AD2282" s="15"/>
      <c r="AE2282" s="15"/>
      <c r="AF2282" s="15"/>
      <c r="AG2282" s="17"/>
    </row>
    <row r="2284" spans="2:33" ht="15" thickBot="1">
      <c r="B2284" s="25" t="s">
        <v>974</v>
      </c>
      <c r="C2284" s="26" t="s">
        <v>975</v>
      </c>
      <c r="D2284" s="26" t="s">
        <v>1057</v>
      </c>
      <c r="E2284" s="26" t="s">
        <v>981</v>
      </c>
      <c r="F2284" s="26" t="s">
        <v>982</v>
      </c>
      <c r="G2284" s="26" t="s">
        <v>983</v>
      </c>
      <c r="H2284" s="27" t="s">
        <v>984</v>
      </c>
      <c r="I2284" s="26" t="s">
        <v>1058</v>
      </c>
      <c r="J2284" s="27" t="s">
        <v>87</v>
      </c>
      <c r="K2284" s="29">
        <v>15</v>
      </c>
      <c r="L2284" s="29">
        <v>15</v>
      </c>
      <c r="M2284" s="29">
        <v>15</v>
      </c>
      <c r="N2284" s="29">
        <v>15</v>
      </c>
      <c r="O2284" s="29">
        <v>15</v>
      </c>
      <c r="P2284" s="40">
        <v>28.600000381469702</v>
      </c>
      <c r="Q2284" s="1" t="s">
        <v>35</v>
      </c>
      <c r="R2284" s="2">
        <v>0</v>
      </c>
      <c r="S2284" s="2">
        <v>0</v>
      </c>
      <c r="T2284" s="2">
        <v>236</v>
      </c>
      <c r="U2284" s="2">
        <v>103</v>
      </c>
      <c r="V2284" s="2">
        <v>0</v>
      </c>
      <c r="W2284" s="2">
        <v>122</v>
      </c>
      <c r="X2284" s="43">
        <f>SUM(R2284:W2295)</f>
        <v>16241.000011444092</v>
      </c>
      <c r="Y2284" s="10">
        <v>46204</v>
      </c>
      <c r="Z2284" s="11">
        <v>0.21915174234314722</v>
      </c>
      <c r="AA2284" s="11">
        <v>0.18274192037163289</v>
      </c>
      <c r="AB2284" s="11">
        <v>0.14726787607165501</v>
      </c>
      <c r="AC2284" s="11">
        <v>0.1287497680516306</v>
      </c>
      <c r="AD2284" s="11">
        <v>0.11447820346270936</v>
      </c>
      <c r="AE2284" s="11">
        <v>0.13149780089791482</v>
      </c>
      <c r="AF2284" s="11">
        <v>0.2</v>
      </c>
      <c r="AG2284" s="11">
        <v>0.23899999999999999</v>
      </c>
    </row>
    <row r="2285" spans="2:33">
      <c r="B2285" s="18"/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35"/>
      <c r="Q2285" s="36" t="s">
        <v>36</v>
      </c>
      <c r="R2285" s="13">
        <v>0</v>
      </c>
      <c r="S2285" s="13">
        <v>0</v>
      </c>
      <c r="T2285" s="13">
        <v>206</v>
      </c>
      <c r="U2285" s="13">
        <v>87</v>
      </c>
      <c r="V2285" s="13">
        <v>0</v>
      </c>
      <c r="W2285" s="37">
        <v>122</v>
      </c>
      <c r="X2285" s="18"/>
      <c r="Y2285" s="14"/>
      <c r="Z2285" s="14"/>
      <c r="AA2285" s="14"/>
      <c r="AB2285" s="14"/>
      <c r="AC2285" s="14"/>
      <c r="AD2285" s="14"/>
      <c r="AE2285" s="14"/>
      <c r="AF2285" s="14"/>
      <c r="AG2285" s="35"/>
    </row>
    <row r="2286" spans="2:33">
      <c r="B2286" s="19"/>
      <c r="P2286" s="16"/>
      <c r="Q2286" s="36" t="s">
        <v>37</v>
      </c>
      <c r="R2286" s="13">
        <v>0</v>
      </c>
      <c r="S2286" s="13">
        <v>0</v>
      </c>
      <c r="T2286" s="13">
        <v>0</v>
      </c>
      <c r="U2286" s="13">
        <v>145</v>
      </c>
      <c r="V2286" s="13">
        <v>64</v>
      </c>
      <c r="W2286" s="37">
        <v>109</v>
      </c>
      <c r="X2286" s="19"/>
      <c r="AG2286" s="16"/>
    </row>
    <row r="2287" spans="2:33">
      <c r="B2287" s="19"/>
      <c r="P2287" s="16"/>
      <c r="Q2287" s="36" t="s">
        <v>38</v>
      </c>
      <c r="R2287" s="13">
        <v>0</v>
      </c>
      <c r="S2287" s="13">
        <v>0</v>
      </c>
      <c r="T2287" s="13">
        <v>0</v>
      </c>
      <c r="U2287" s="13">
        <v>201</v>
      </c>
      <c r="V2287" s="13">
        <v>109</v>
      </c>
      <c r="W2287" s="37">
        <v>119</v>
      </c>
      <c r="X2287" s="19"/>
      <c r="AG2287" s="16"/>
    </row>
    <row r="2288" spans="2:33">
      <c r="B2288" s="19"/>
      <c r="P2288" s="16"/>
      <c r="Q2288" s="36" t="s">
        <v>39</v>
      </c>
      <c r="R2288" s="13">
        <v>0</v>
      </c>
      <c r="S2288" s="13">
        <v>530</v>
      </c>
      <c r="T2288" s="13">
        <v>299</v>
      </c>
      <c r="U2288" s="13">
        <v>0</v>
      </c>
      <c r="V2288" s="13">
        <v>0</v>
      </c>
      <c r="W2288" s="37">
        <v>264</v>
      </c>
      <c r="X2288" s="19"/>
      <c r="AG2288" s="16"/>
    </row>
    <row r="2289" spans="2:33">
      <c r="B2289" s="19"/>
      <c r="P2289" s="16"/>
      <c r="Q2289" s="36" t="s">
        <v>40</v>
      </c>
      <c r="R2289" s="13">
        <v>1334</v>
      </c>
      <c r="S2289" s="13">
        <v>736</v>
      </c>
      <c r="T2289" s="13">
        <v>0</v>
      </c>
      <c r="U2289" s="13">
        <v>0</v>
      </c>
      <c r="V2289" s="13">
        <v>0</v>
      </c>
      <c r="W2289" s="37">
        <v>502</v>
      </c>
      <c r="X2289" s="19"/>
      <c r="AG2289" s="16"/>
    </row>
    <row r="2290" spans="2:33">
      <c r="B2290" s="19"/>
      <c r="P2290" s="16"/>
      <c r="Q2290" s="36" t="s">
        <v>41</v>
      </c>
      <c r="R2290" s="13">
        <v>1790</v>
      </c>
      <c r="S2290" s="13">
        <v>1166</v>
      </c>
      <c r="T2290" s="13">
        <v>0</v>
      </c>
      <c r="U2290" s="13">
        <v>0</v>
      </c>
      <c r="V2290" s="13">
        <v>0</v>
      </c>
      <c r="W2290" s="37">
        <v>518</v>
      </c>
      <c r="X2290" s="19"/>
      <c r="AG2290" s="16"/>
    </row>
    <row r="2291" spans="2:33">
      <c r="B2291" s="19"/>
      <c r="P2291" s="16"/>
      <c r="Q2291" s="36" t="s">
        <v>42</v>
      </c>
      <c r="R2291" s="13">
        <v>1490</v>
      </c>
      <c r="S2291" s="13">
        <v>927</v>
      </c>
      <c r="T2291" s="13">
        <v>0</v>
      </c>
      <c r="U2291" s="13">
        <v>0</v>
      </c>
      <c r="V2291" s="13">
        <v>0</v>
      </c>
      <c r="W2291" s="37">
        <v>385</v>
      </c>
      <c r="X2291" s="19"/>
      <c r="AG2291" s="16"/>
    </row>
    <row r="2292" spans="2:33">
      <c r="B2292" s="19"/>
      <c r="P2292" s="16"/>
      <c r="Q2292" s="36" t="s">
        <v>43</v>
      </c>
      <c r="R2292" s="13">
        <v>1194</v>
      </c>
      <c r="S2292" s="13">
        <v>780</v>
      </c>
      <c r="T2292" s="13">
        <v>0</v>
      </c>
      <c r="U2292" s="13">
        <v>0</v>
      </c>
      <c r="V2292" s="13">
        <v>0</v>
      </c>
      <c r="W2292" s="37">
        <v>397</v>
      </c>
      <c r="X2292" s="19"/>
      <c r="AG2292" s="16"/>
    </row>
    <row r="2293" spans="2:33">
      <c r="B2293" s="19"/>
      <c r="P2293" s="16"/>
      <c r="Q2293" s="36" t="s">
        <v>1059</v>
      </c>
      <c r="R2293" s="13">
        <v>0</v>
      </c>
      <c r="S2293" s="13">
        <v>558</v>
      </c>
      <c r="T2293" s="13">
        <v>386</v>
      </c>
      <c r="U2293" s="13">
        <v>0</v>
      </c>
      <c r="V2293" s="13">
        <v>0</v>
      </c>
      <c r="W2293" s="37">
        <v>286</v>
      </c>
      <c r="X2293" s="19"/>
      <c r="AG2293" s="16"/>
    </row>
    <row r="2294" spans="2:33">
      <c r="B2294" s="19"/>
      <c r="P2294" s="16"/>
      <c r="Q2294" s="36" t="s">
        <v>1060</v>
      </c>
      <c r="R2294" s="13">
        <v>0</v>
      </c>
      <c r="S2294" s="13">
        <v>230</v>
      </c>
      <c r="T2294" s="13">
        <v>147</v>
      </c>
      <c r="U2294" s="13">
        <v>52</v>
      </c>
      <c r="V2294" s="13">
        <v>38</v>
      </c>
      <c r="W2294" s="37">
        <v>196</v>
      </c>
      <c r="X2294" s="19"/>
      <c r="AG2294" s="16"/>
    </row>
    <row r="2295" spans="2:33" ht="15" thickBot="1">
      <c r="B2295" s="20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5"/>
      <c r="O2295" s="15"/>
      <c r="P2295" s="17"/>
      <c r="Q2295" s="36" t="s">
        <v>46</v>
      </c>
      <c r="R2295" s="13">
        <v>0</v>
      </c>
      <c r="S2295" s="13">
        <v>0</v>
      </c>
      <c r="T2295" s="13">
        <v>92.540000915527344</v>
      </c>
      <c r="U2295" s="13">
        <v>63.729999542236328</v>
      </c>
      <c r="V2295" s="13">
        <v>0</v>
      </c>
      <c r="W2295" s="37">
        <v>256.73001098632813</v>
      </c>
      <c r="X2295" s="20"/>
      <c r="Y2295" s="15"/>
      <c r="Z2295" s="15"/>
      <c r="AA2295" s="15"/>
      <c r="AB2295" s="15"/>
      <c r="AC2295" s="15"/>
      <c r="AD2295" s="15"/>
      <c r="AE2295" s="15"/>
      <c r="AF2295" s="15"/>
      <c r="AG2295" s="17"/>
    </row>
    <row r="2297" spans="2:33" ht="15" thickBot="1">
      <c r="B2297" s="25" t="s">
        <v>974</v>
      </c>
      <c r="C2297" s="26" t="s">
        <v>975</v>
      </c>
      <c r="D2297" s="26" t="s">
        <v>1061</v>
      </c>
      <c r="E2297" s="26" t="s">
        <v>1062</v>
      </c>
      <c r="F2297" s="26" t="s">
        <v>1063</v>
      </c>
      <c r="G2297" s="26" t="s">
        <v>99</v>
      </c>
      <c r="H2297" s="27" t="s">
        <v>99</v>
      </c>
      <c r="I2297" s="26" t="s">
        <v>1064</v>
      </c>
      <c r="J2297" s="27" t="s">
        <v>87</v>
      </c>
      <c r="K2297" s="29">
        <v>19</v>
      </c>
      <c r="L2297" s="29">
        <v>19</v>
      </c>
      <c r="M2297" s="29">
        <v>19</v>
      </c>
      <c r="N2297" s="29">
        <v>19</v>
      </c>
      <c r="O2297" s="29">
        <v>19</v>
      </c>
      <c r="P2297" s="40">
        <v>28.575000762939499</v>
      </c>
      <c r="Q2297" s="1" t="s">
        <v>35</v>
      </c>
      <c r="R2297" s="2">
        <v>1869</v>
      </c>
      <c r="S2297" s="2">
        <v>1023</v>
      </c>
      <c r="T2297" s="2">
        <v>0</v>
      </c>
      <c r="U2297" s="2">
        <v>0</v>
      </c>
      <c r="V2297" s="2">
        <v>0</v>
      </c>
      <c r="W2297" s="2">
        <v>1188</v>
      </c>
      <c r="X2297" s="43">
        <f>SUM(R2297:W2308)</f>
        <v>62765</v>
      </c>
      <c r="Y2297" s="10">
        <v>46204</v>
      </c>
      <c r="Z2297" s="11">
        <v>0.21915174234314722</v>
      </c>
      <c r="AA2297" s="11">
        <v>0.18274192037163289</v>
      </c>
      <c r="AB2297" s="11">
        <v>0.14726787607165501</v>
      </c>
      <c r="AC2297" s="11">
        <v>0.1287497680516306</v>
      </c>
      <c r="AD2297" s="11">
        <v>0.11447820346270936</v>
      </c>
      <c r="AE2297" s="11">
        <v>0.13149780089791482</v>
      </c>
      <c r="AF2297" s="11">
        <v>0.2</v>
      </c>
      <c r="AG2297" s="11">
        <v>0.23899999999999999</v>
      </c>
    </row>
    <row r="2298" spans="2:33">
      <c r="B2298" s="18"/>
      <c r="C2298" s="14"/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35"/>
      <c r="Q2298" s="36" t="s">
        <v>36</v>
      </c>
      <c r="R2298" s="13">
        <v>1677</v>
      </c>
      <c r="S2298" s="13">
        <v>941</v>
      </c>
      <c r="T2298" s="13">
        <v>0</v>
      </c>
      <c r="U2298" s="13">
        <v>0</v>
      </c>
      <c r="V2298" s="13">
        <v>0</v>
      </c>
      <c r="W2298" s="37">
        <v>914</v>
      </c>
      <c r="X2298" s="18"/>
      <c r="Y2298" s="14"/>
      <c r="Z2298" s="14"/>
      <c r="AA2298" s="14"/>
      <c r="AB2298" s="14"/>
      <c r="AC2298" s="14"/>
      <c r="AD2298" s="14"/>
      <c r="AE2298" s="14"/>
      <c r="AF2298" s="14"/>
      <c r="AG2298" s="35"/>
    </row>
    <row r="2299" spans="2:33">
      <c r="B2299" s="19"/>
      <c r="P2299" s="16"/>
      <c r="Q2299" s="36" t="s">
        <v>37</v>
      </c>
      <c r="R2299" s="13">
        <v>0</v>
      </c>
      <c r="S2299" s="13">
        <v>1734</v>
      </c>
      <c r="T2299" s="13">
        <v>981</v>
      </c>
      <c r="U2299" s="13">
        <v>0</v>
      </c>
      <c r="V2299" s="13">
        <v>0</v>
      </c>
      <c r="W2299" s="37">
        <v>1181</v>
      </c>
      <c r="X2299" s="19"/>
      <c r="AG2299" s="16"/>
    </row>
    <row r="2300" spans="2:33">
      <c r="B2300" s="19"/>
      <c r="P2300" s="16"/>
      <c r="Q2300" s="36" t="s">
        <v>38</v>
      </c>
      <c r="R2300" s="13">
        <v>0</v>
      </c>
      <c r="S2300" s="13">
        <v>0</v>
      </c>
      <c r="T2300" s="13">
        <v>0</v>
      </c>
      <c r="U2300" s="13">
        <v>2111</v>
      </c>
      <c r="V2300" s="13">
        <v>1277</v>
      </c>
      <c r="W2300" s="37">
        <v>1301</v>
      </c>
      <c r="X2300" s="19"/>
      <c r="AG2300" s="16"/>
    </row>
    <row r="2301" spans="2:33">
      <c r="B2301" s="19"/>
      <c r="P2301" s="16"/>
      <c r="Q2301" s="36" t="s">
        <v>39</v>
      </c>
      <c r="R2301" s="13">
        <v>0</v>
      </c>
      <c r="S2301" s="13">
        <v>0</v>
      </c>
      <c r="T2301" s="13">
        <v>0</v>
      </c>
      <c r="U2301" s="13">
        <v>2618</v>
      </c>
      <c r="V2301" s="13">
        <v>1477</v>
      </c>
      <c r="W2301" s="37">
        <v>1637</v>
      </c>
      <c r="X2301" s="19"/>
      <c r="AG2301" s="16"/>
    </row>
    <row r="2302" spans="2:33">
      <c r="B2302" s="19"/>
      <c r="P2302" s="16"/>
      <c r="Q2302" s="36" t="s">
        <v>40</v>
      </c>
      <c r="R2302" s="13">
        <v>0</v>
      </c>
      <c r="S2302" s="13">
        <v>0</v>
      </c>
      <c r="T2302" s="13">
        <v>3262</v>
      </c>
      <c r="U2302" s="13">
        <v>1855</v>
      </c>
      <c r="V2302" s="13">
        <v>0</v>
      </c>
      <c r="W2302" s="37">
        <v>1593</v>
      </c>
      <c r="X2302" s="19"/>
      <c r="AG2302" s="16"/>
    </row>
    <row r="2303" spans="2:33">
      <c r="B2303" s="19"/>
      <c r="P2303" s="16"/>
      <c r="Q2303" s="36" t="s">
        <v>41</v>
      </c>
      <c r="R2303" s="13">
        <v>3789</v>
      </c>
      <c r="S2303" s="13">
        <v>2049</v>
      </c>
      <c r="T2303" s="13">
        <v>0</v>
      </c>
      <c r="U2303" s="13">
        <v>0</v>
      </c>
      <c r="V2303" s="13">
        <v>0</v>
      </c>
      <c r="W2303" s="37">
        <v>1225</v>
      </c>
      <c r="X2303" s="19"/>
      <c r="AG2303" s="16"/>
    </row>
    <row r="2304" spans="2:33">
      <c r="B2304" s="19"/>
      <c r="P2304" s="16"/>
      <c r="Q2304" s="36" t="s">
        <v>42</v>
      </c>
      <c r="R2304" s="13">
        <v>0</v>
      </c>
      <c r="S2304" s="13">
        <v>0</v>
      </c>
      <c r="T2304" s="13">
        <v>3383</v>
      </c>
      <c r="U2304" s="13">
        <v>1825</v>
      </c>
      <c r="V2304" s="13">
        <v>0</v>
      </c>
      <c r="W2304" s="37">
        <v>1514</v>
      </c>
      <c r="X2304" s="19"/>
      <c r="AG2304" s="16"/>
    </row>
    <row r="2305" spans="2:33">
      <c r="B2305" s="19"/>
      <c r="P2305" s="16"/>
      <c r="Q2305" s="36" t="s">
        <v>43</v>
      </c>
      <c r="R2305" s="13">
        <v>0</v>
      </c>
      <c r="S2305" s="13">
        <v>0</v>
      </c>
      <c r="T2305" s="13">
        <v>1947</v>
      </c>
      <c r="U2305" s="13">
        <v>1479</v>
      </c>
      <c r="V2305" s="13">
        <v>0</v>
      </c>
      <c r="W2305" s="37">
        <v>2800</v>
      </c>
      <c r="X2305" s="19"/>
      <c r="AG2305" s="16"/>
    </row>
    <row r="2306" spans="2:33">
      <c r="B2306" s="19"/>
      <c r="P2306" s="16"/>
      <c r="Q2306" s="36" t="s">
        <v>44</v>
      </c>
      <c r="R2306" s="13">
        <v>0</v>
      </c>
      <c r="S2306" s="13">
        <v>0</v>
      </c>
      <c r="T2306" s="13">
        <v>0</v>
      </c>
      <c r="U2306" s="13">
        <v>1845</v>
      </c>
      <c r="V2306" s="13">
        <v>1351</v>
      </c>
      <c r="W2306" s="37">
        <v>2493</v>
      </c>
      <c r="X2306" s="19"/>
      <c r="AG2306" s="16"/>
    </row>
    <row r="2307" spans="2:33">
      <c r="B2307" s="19"/>
      <c r="P2307" s="16"/>
      <c r="Q2307" s="36" t="s">
        <v>45</v>
      </c>
      <c r="R2307" s="13">
        <v>0</v>
      </c>
      <c r="S2307" s="13">
        <v>1993</v>
      </c>
      <c r="T2307" s="13">
        <v>1111</v>
      </c>
      <c r="U2307" s="13">
        <v>0</v>
      </c>
      <c r="V2307" s="13">
        <v>0</v>
      </c>
      <c r="W2307" s="37">
        <v>1263</v>
      </c>
      <c r="X2307" s="19"/>
      <c r="AG2307" s="16"/>
    </row>
    <row r="2308" spans="2:33" ht="15" thickBot="1">
      <c r="B2308" s="20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5"/>
      <c r="O2308" s="15"/>
      <c r="P2308" s="17"/>
      <c r="Q2308" s="36" t="s">
        <v>46</v>
      </c>
      <c r="R2308" s="13">
        <v>1838</v>
      </c>
      <c r="S2308" s="13">
        <v>985</v>
      </c>
      <c r="T2308" s="13">
        <v>0</v>
      </c>
      <c r="U2308" s="13">
        <v>0</v>
      </c>
      <c r="V2308" s="13">
        <v>0</v>
      </c>
      <c r="W2308" s="37">
        <v>1236</v>
      </c>
      <c r="X2308" s="20"/>
      <c r="Y2308" s="15"/>
      <c r="Z2308" s="15"/>
      <c r="AA2308" s="15"/>
      <c r="AB2308" s="15"/>
      <c r="AC2308" s="15"/>
      <c r="AD2308" s="15"/>
      <c r="AE2308" s="15"/>
      <c r="AF2308" s="15"/>
      <c r="AG2308" s="17"/>
    </row>
    <row r="2310" spans="2:33" ht="15" thickBot="1">
      <c r="B2310" s="25" t="s">
        <v>974</v>
      </c>
      <c r="C2310" s="26" t="s">
        <v>975</v>
      </c>
      <c r="D2310" s="26" t="s">
        <v>1065</v>
      </c>
      <c r="E2310" s="26" t="s">
        <v>1066</v>
      </c>
      <c r="F2310" s="26" t="s">
        <v>1067</v>
      </c>
      <c r="G2310" s="26" t="s">
        <v>71</v>
      </c>
      <c r="H2310" s="27" t="s">
        <v>71</v>
      </c>
      <c r="I2310" s="26" t="s">
        <v>1068</v>
      </c>
      <c r="J2310" s="27" t="s">
        <v>87</v>
      </c>
      <c r="K2310" s="29">
        <v>7</v>
      </c>
      <c r="L2310" s="29">
        <v>7</v>
      </c>
      <c r="M2310" s="29">
        <v>9</v>
      </c>
      <c r="N2310" s="29">
        <v>9</v>
      </c>
      <c r="O2310" s="29">
        <v>9</v>
      </c>
      <c r="P2310" s="40">
        <v>15.0100002288818</v>
      </c>
      <c r="Q2310" s="1" t="s">
        <v>35</v>
      </c>
      <c r="R2310" s="2">
        <v>76</v>
      </c>
      <c r="S2310" s="2">
        <v>54</v>
      </c>
      <c r="T2310" s="2">
        <v>0</v>
      </c>
      <c r="U2310" s="2">
        <v>0</v>
      </c>
      <c r="V2310" s="2">
        <v>0</v>
      </c>
      <c r="W2310" s="2">
        <v>153</v>
      </c>
      <c r="X2310" s="43">
        <f>SUM(R2310:W2321)</f>
        <v>3627</v>
      </c>
      <c r="Y2310" s="10">
        <v>46204</v>
      </c>
      <c r="Z2310" s="11">
        <v>0.21915174234314722</v>
      </c>
      <c r="AA2310" s="11">
        <v>0.18274192037163289</v>
      </c>
      <c r="AB2310" s="11">
        <v>0.14726787607165501</v>
      </c>
      <c r="AC2310" s="11">
        <v>0.1287497680516306</v>
      </c>
      <c r="AD2310" s="11">
        <v>0.11447820346270936</v>
      </c>
      <c r="AE2310" s="11">
        <v>0.13149780089791482</v>
      </c>
      <c r="AF2310" s="11">
        <v>0.2</v>
      </c>
      <c r="AG2310" s="11">
        <v>0.23899999999999999</v>
      </c>
    </row>
    <row r="2311" spans="2:33">
      <c r="B2311" s="18"/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35"/>
      <c r="Q2311" s="36" t="s">
        <v>36</v>
      </c>
      <c r="R2311" s="13">
        <v>62</v>
      </c>
      <c r="S2311" s="13">
        <v>68</v>
      </c>
      <c r="T2311" s="13">
        <v>0</v>
      </c>
      <c r="U2311" s="13">
        <v>0</v>
      </c>
      <c r="V2311" s="13">
        <v>0</v>
      </c>
      <c r="W2311" s="37">
        <v>130</v>
      </c>
      <c r="X2311" s="18"/>
      <c r="Y2311" s="14"/>
      <c r="Z2311" s="14"/>
      <c r="AA2311" s="14"/>
      <c r="AB2311" s="14"/>
      <c r="AC2311" s="14"/>
      <c r="AD2311" s="14"/>
      <c r="AE2311" s="14"/>
      <c r="AF2311" s="14"/>
      <c r="AG2311" s="35"/>
    </row>
    <row r="2312" spans="2:33">
      <c r="B2312" s="19"/>
      <c r="P2312" s="16"/>
      <c r="Q2312" s="36" t="s">
        <v>37</v>
      </c>
      <c r="R2312" s="13">
        <v>0</v>
      </c>
      <c r="S2312" s="13">
        <v>78</v>
      </c>
      <c r="T2312" s="13">
        <v>61</v>
      </c>
      <c r="U2312" s="13">
        <v>0</v>
      </c>
      <c r="V2312" s="13">
        <v>0</v>
      </c>
      <c r="W2312" s="37">
        <v>153</v>
      </c>
      <c r="X2312" s="19"/>
      <c r="AG2312" s="16"/>
    </row>
    <row r="2313" spans="2:33">
      <c r="B2313" s="19"/>
      <c r="P2313" s="16"/>
      <c r="Q2313" s="36" t="s">
        <v>38</v>
      </c>
      <c r="R2313" s="13">
        <v>0</v>
      </c>
      <c r="S2313" s="13">
        <v>0</v>
      </c>
      <c r="T2313" s="13">
        <v>0</v>
      </c>
      <c r="U2313" s="13">
        <v>112</v>
      </c>
      <c r="V2313" s="13">
        <v>62</v>
      </c>
      <c r="W2313" s="37">
        <v>140</v>
      </c>
      <c r="X2313" s="19"/>
      <c r="AG2313" s="16"/>
    </row>
    <row r="2314" spans="2:33">
      <c r="B2314" s="19"/>
      <c r="P2314" s="16"/>
      <c r="Q2314" s="36" t="s">
        <v>39</v>
      </c>
      <c r="R2314" s="13">
        <v>0</v>
      </c>
      <c r="S2314" s="13">
        <v>0</v>
      </c>
      <c r="T2314" s="13">
        <v>0</v>
      </c>
      <c r="U2314" s="13">
        <v>111</v>
      </c>
      <c r="V2314" s="13">
        <v>54</v>
      </c>
      <c r="W2314" s="37">
        <v>153</v>
      </c>
      <c r="X2314" s="19"/>
      <c r="AG2314" s="16"/>
    </row>
    <row r="2315" spans="2:33">
      <c r="B2315" s="19"/>
      <c r="P2315" s="16"/>
      <c r="Q2315" s="36" t="s">
        <v>40</v>
      </c>
      <c r="R2315" s="13">
        <v>0</v>
      </c>
      <c r="S2315" s="13">
        <v>0</v>
      </c>
      <c r="T2315" s="13">
        <v>112</v>
      </c>
      <c r="U2315" s="13">
        <v>75</v>
      </c>
      <c r="V2315" s="13">
        <v>0</v>
      </c>
      <c r="W2315" s="37">
        <v>163</v>
      </c>
      <c r="X2315" s="19"/>
      <c r="AG2315" s="16"/>
    </row>
    <row r="2316" spans="2:33">
      <c r="B2316" s="19"/>
      <c r="P2316" s="16"/>
      <c r="Q2316" s="36" t="s">
        <v>41</v>
      </c>
      <c r="R2316" s="13">
        <v>98</v>
      </c>
      <c r="S2316" s="13">
        <v>65</v>
      </c>
      <c r="T2316" s="13">
        <v>0</v>
      </c>
      <c r="U2316" s="13">
        <v>0</v>
      </c>
      <c r="V2316" s="13">
        <v>0</v>
      </c>
      <c r="W2316" s="37">
        <v>141</v>
      </c>
      <c r="X2316" s="19"/>
      <c r="AG2316" s="16"/>
    </row>
    <row r="2317" spans="2:33">
      <c r="B2317" s="19"/>
      <c r="P2317" s="16"/>
      <c r="Q2317" s="36" t="s">
        <v>42</v>
      </c>
      <c r="R2317" s="13">
        <v>0</v>
      </c>
      <c r="S2317" s="13">
        <v>0</v>
      </c>
      <c r="T2317" s="13">
        <v>89</v>
      </c>
      <c r="U2317" s="13">
        <v>50</v>
      </c>
      <c r="V2317" s="13">
        <v>0</v>
      </c>
      <c r="W2317" s="37">
        <v>162</v>
      </c>
      <c r="X2317" s="19"/>
      <c r="AG2317" s="16"/>
    </row>
    <row r="2318" spans="2:33">
      <c r="B2318" s="19"/>
      <c r="P2318" s="16"/>
      <c r="Q2318" s="36" t="s">
        <v>43</v>
      </c>
      <c r="R2318" s="13">
        <v>0</v>
      </c>
      <c r="S2318" s="13">
        <v>0</v>
      </c>
      <c r="T2318" s="13">
        <v>80</v>
      </c>
      <c r="U2318" s="13">
        <v>52</v>
      </c>
      <c r="V2318" s="13">
        <v>0</v>
      </c>
      <c r="W2318" s="37">
        <v>140</v>
      </c>
      <c r="X2318" s="19"/>
      <c r="AG2318" s="16"/>
    </row>
    <row r="2319" spans="2:33">
      <c r="B2319" s="19"/>
      <c r="P2319" s="16"/>
      <c r="Q2319" s="36" t="s">
        <v>44</v>
      </c>
      <c r="R2319" s="13">
        <v>0</v>
      </c>
      <c r="S2319" s="13">
        <v>0</v>
      </c>
      <c r="T2319" s="13">
        <v>0</v>
      </c>
      <c r="U2319" s="13">
        <v>109</v>
      </c>
      <c r="V2319" s="13">
        <v>67</v>
      </c>
      <c r="W2319" s="37">
        <v>142</v>
      </c>
      <c r="X2319" s="19"/>
      <c r="AG2319" s="16"/>
    </row>
    <row r="2320" spans="2:33">
      <c r="B2320" s="19"/>
      <c r="P2320" s="16"/>
      <c r="Q2320" s="36" t="s">
        <v>45</v>
      </c>
      <c r="R2320" s="13">
        <v>0</v>
      </c>
      <c r="S2320" s="13">
        <v>97</v>
      </c>
      <c r="T2320" s="13">
        <v>48</v>
      </c>
      <c r="U2320" s="13">
        <v>0</v>
      </c>
      <c r="V2320" s="13">
        <v>0</v>
      </c>
      <c r="W2320" s="37">
        <v>127</v>
      </c>
      <c r="X2320" s="19"/>
      <c r="AG2320" s="16"/>
    </row>
    <row r="2321" spans="2:33" ht="15" thickBot="1">
      <c r="B2321" s="20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17"/>
      <c r="Q2321" s="36" t="s">
        <v>46</v>
      </c>
      <c r="R2321" s="13">
        <v>89</v>
      </c>
      <c r="S2321" s="13">
        <v>73</v>
      </c>
      <c r="T2321" s="13">
        <v>0</v>
      </c>
      <c r="U2321" s="13">
        <v>0</v>
      </c>
      <c r="V2321" s="13">
        <v>0</v>
      </c>
      <c r="W2321" s="37">
        <v>181</v>
      </c>
      <c r="X2321" s="20"/>
      <c r="Y2321" s="15"/>
      <c r="Z2321" s="15"/>
      <c r="AA2321" s="15"/>
      <c r="AB2321" s="15"/>
      <c r="AC2321" s="15"/>
      <c r="AD2321" s="15"/>
      <c r="AE2321" s="15"/>
      <c r="AF2321" s="15"/>
      <c r="AG2321" s="17"/>
    </row>
    <row r="2323" spans="2:33" ht="15" thickBot="1">
      <c r="B2323" s="25" t="s">
        <v>974</v>
      </c>
      <c r="C2323" s="26" t="s">
        <v>975</v>
      </c>
      <c r="D2323" s="26" t="s">
        <v>1069</v>
      </c>
      <c r="E2323" s="26" t="s">
        <v>1070</v>
      </c>
      <c r="F2323" s="26" t="s">
        <v>80</v>
      </c>
      <c r="G2323" s="26" t="s">
        <v>81</v>
      </c>
      <c r="H2323" s="27" t="s">
        <v>81</v>
      </c>
      <c r="I2323" s="26" t="s">
        <v>1071</v>
      </c>
      <c r="J2323" s="27" t="s">
        <v>87</v>
      </c>
      <c r="K2323" s="29">
        <v>22.940000534057599</v>
      </c>
      <c r="L2323" s="29">
        <v>22.940000534057599</v>
      </c>
      <c r="M2323" s="29">
        <v>22.940000534057599</v>
      </c>
      <c r="N2323" s="29">
        <v>22.940000534057599</v>
      </c>
      <c r="O2323" s="29">
        <v>22.940000534057599</v>
      </c>
      <c r="P2323" s="40">
        <v>22.940000534057599</v>
      </c>
      <c r="Q2323" s="1" t="s">
        <v>35</v>
      </c>
      <c r="R2323" s="2">
        <v>1869</v>
      </c>
      <c r="S2323" s="2">
        <v>1071</v>
      </c>
      <c r="T2323" s="2">
        <v>0</v>
      </c>
      <c r="U2323" s="2">
        <v>0</v>
      </c>
      <c r="V2323" s="2">
        <v>0</v>
      </c>
      <c r="W2323" s="2">
        <v>560</v>
      </c>
      <c r="X2323" s="43">
        <f>SUM(R2323:W2334)</f>
        <v>42610</v>
      </c>
      <c r="Y2323" s="10">
        <v>46204</v>
      </c>
      <c r="Z2323" s="11">
        <v>0.21915174234314722</v>
      </c>
      <c r="AA2323" s="11">
        <v>0.18274192037163289</v>
      </c>
      <c r="AB2323" s="11">
        <v>0.14726787607165501</v>
      </c>
      <c r="AC2323" s="11">
        <v>0.1287497680516306</v>
      </c>
      <c r="AD2323" s="11">
        <v>0.11447820346270936</v>
      </c>
      <c r="AE2323" s="11">
        <v>0.13149780089791482</v>
      </c>
      <c r="AF2323" s="11">
        <v>0.2</v>
      </c>
      <c r="AG2323" s="11">
        <v>0.23899999999999999</v>
      </c>
    </row>
    <row r="2324" spans="2:33">
      <c r="B2324" s="18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35"/>
      <c r="Q2324" s="36" t="s">
        <v>36</v>
      </c>
      <c r="R2324" s="13">
        <v>1521</v>
      </c>
      <c r="S2324" s="13">
        <v>700</v>
      </c>
      <c r="T2324" s="13">
        <v>0</v>
      </c>
      <c r="U2324" s="13">
        <v>0</v>
      </c>
      <c r="V2324" s="13">
        <v>0</v>
      </c>
      <c r="W2324" s="37">
        <v>544</v>
      </c>
      <c r="X2324" s="18"/>
      <c r="Y2324" s="14"/>
      <c r="Z2324" s="14"/>
      <c r="AA2324" s="14"/>
      <c r="AB2324" s="14"/>
      <c r="AC2324" s="14"/>
      <c r="AD2324" s="14"/>
      <c r="AE2324" s="14"/>
      <c r="AF2324" s="14"/>
      <c r="AG2324" s="35"/>
    </row>
    <row r="2325" spans="2:33">
      <c r="B2325" s="19"/>
      <c r="P2325" s="16"/>
      <c r="Q2325" s="36" t="s">
        <v>37</v>
      </c>
      <c r="R2325" s="13">
        <v>0</v>
      </c>
      <c r="S2325" s="13">
        <v>1642</v>
      </c>
      <c r="T2325" s="13">
        <v>851</v>
      </c>
      <c r="U2325" s="13">
        <v>0</v>
      </c>
      <c r="V2325" s="13">
        <v>0</v>
      </c>
      <c r="W2325" s="37">
        <v>685</v>
      </c>
      <c r="X2325" s="19"/>
      <c r="AG2325" s="16"/>
    </row>
    <row r="2326" spans="2:33">
      <c r="B2326" s="19"/>
      <c r="P2326" s="16"/>
      <c r="Q2326" s="36" t="s">
        <v>38</v>
      </c>
      <c r="R2326" s="13">
        <v>0</v>
      </c>
      <c r="S2326" s="13">
        <v>0</v>
      </c>
      <c r="T2326" s="13">
        <v>0</v>
      </c>
      <c r="U2326" s="13">
        <v>1070</v>
      </c>
      <c r="V2326" s="13">
        <v>664</v>
      </c>
      <c r="W2326" s="37">
        <v>481</v>
      </c>
      <c r="X2326" s="19"/>
      <c r="AG2326" s="16"/>
    </row>
    <row r="2327" spans="2:33">
      <c r="B2327" s="19"/>
      <c r="P2327" s="16"/>
      <c r="Q2327" s="36" t="s">
        <v>39</v>
      </c>
      <c r="R2327" s="13">
        <v>0</v>
      </c>
      <c r="S2327" s="13">
        <v>0</v>
      </c>
      <c r="T2327" s="13">
        <v>0</v>
      </c>
      <c r="U2327" s="13">
        <v>1366</v>
      </c>
      <c r="V2327" s="13">
        <v>879</v>
      </c>
      <c r="W2327" s="37">
        <v>555</v>
      </c>
      <c r="X2327" s="19"/>
      <c r="AG2327" s="16"/>
    </row>
    <row r="2328" spans="2:33">
      <c r="B2328" s="19"/>
      <c r="P2328" s="16"/>
      <c r="Q2328" s="36" t="s">
        <v>40</v>
      </c>
      <c r="R2328" s="13">
        <v>0</v>
      </c>
      <c r="S2328" s="13">
        <v>0</v>
      </c>
      <c r="T2328" s="13">
        <v>2364</v>
      </c>
      <c r="U2328" s="13">
        <v>1293</v>
      </c>
      <c r="V2328" s="13">
        <v>0</v>
      </c>
      <c r="W2328" s="37">
        <v>695</v>
      </c>
      <c r="X2328" s="19"/>
      <c r="AG2328" s="16"/>
    </row>
    <row r="2329" spans="2:33">
      <c r="B2329" s="19"/>
      <c r="P2329" s="16"/>
      <c r="Q2329" s="36" t="s">
        <v>41</v>
      </c>
      <c r="R2329" s="13">
        <v>3077</v>
      </c>
      <c r="S2329" s="13">
        <v>1732</v>
      </c>
      <c r="T2329" s="13">
        <v>0</v>
      </c>
      <c r="U2329" s="13">
        <v>0</v>
      </c>
      <c r="V2329" s="13">
        <v>0</v>
      </c>
      <c r="W2329" s="37">
        <v>630</v>
      </c>
      <c r="X2329" s="19"/>
      <c r="AG2329" s="16"/>
    </row>
    <row r="2330" spans="2:33">
      <c r="B2330" s="19"/>
      <c r="P2330" s="16"/>
      <c r="Q2330" s="36" t="s">
        <v>42</v>
      </c>
      <c r="R2330" s="13">
        <v>0</v>
      </c>
      <c r="S2330" s="13">
        <v>0</v>
      </c>
      <c r="T2330" s="13">
        <v>1948</v>
      </c>
      <c r="U2330" s="13">
        <v>1459</v>
      </c>
      <c r="V2330" s="13">
        <v>0</v>
      </c>
      <c r="W2330" s="37">
        <v>803</v>
      </c>
      <c r="X2330" s="19"/>
      <c r="AG2330" s="16"/>
    </row>
    <row r="2331" spans="2:33">
      <c r="B2331" s="19"/>
      <c r="P2331" s="16"/>
      <c r="Q2331" s="36" t="s">
        <v>43</v>
      </c>
      <c r="R2331" s="13">
        <v>0</v>
      </c>
      <c r="S2331" s="13">
        <v>0</v>
      </c>
      <c r="T2331" s="13">
        <v>2349</v>
      </c>
      <c r="U2331" s="13">
        <v>1370</v>
      </c>
      <c r="V2331" s="13">
        <v>0</v>
      </c>
      <c r="W2331" s="37">
        <v>825</v>
      </c>
      <c r="X2331" s="19"/>
      <c r="AG2331" s="16"/>
    </row>
    <row r="2332" spans="2:33">
      <c r="B2332" s="19"/>
      <c r="P2332" s="16"/>
      <c r="Q2332" s="36" t="s">
        <v>44</v>
      </c>
      <c r="R2332" s="13">
        <v>0</v>
      </c>
      <c r="S2332" s="13">
        <v>0</v>
      </c>
      <c r="T2332" s="13">
        <v>0</v>
      </c>
      <c r="U2332" s="13">
        <v>1735</v>
      </c>
      <c r="V2332" s="13">
        <v>1195</v>
      </c>
      <c r="W2332" s="37">
        <v>742</v>
      </c>
      <c r="X2332" s="19"/>
      <c r="AG2332" s="16"/>
    </row>
    <row r="2333" spans="2:33">
      <c r="B2333" s="19"/>
      <c r="P2333" s="16"/>
      <c r="Q2333" s="36" t="s">
        <v>45</v>
      </c>
      <c r="R2333" s="13">
        <v>0</v>
      </c>
      <c r="S2333" s="13">
        <v>1454</v>
      </c>
      <c r="T2333" s="13">
        <v>664</v>
      </c>
      <c r="U2333" s="13">
        <v>0</v>
      </c>
      <c r="V2333" s="13">
        <v>0</v>
      </c>
      <c r="W2333" s="37">
        <v>601</v>
      </c>
      <c r="X2333" s="19"/>
      <c r="AG2333" s="16"/>
    </row>
    <row r="2334" spans="2:33" ht="15" thickBot="1">
      <c r="B2334" s="20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5"/>
      <c r="O2334" s="15"/>
      <c r="P2334" s="17"/>
      <c r="Q2334" s="36" t="s">
        <v>46</v>
      </c>
      <c r="R2334" s="13">
        <v>1813</v>
      </c>
      <c r="S2334" s="13">
        <v>817</v>
      </c>
      <c r="T2334" s="13">
        <v>0</v>
      </c>
      <c r="U2334" s="13">
        <v>0</v>
      </c>
      <c r="V2334" s="13">
        <v>0</v>
      </c>
      <c r="W2334" s="37">
        <v>586</v>
      </c>
      <c r="X2334" s="20"/>
      <c r="Y2334" s="15"/>
      <c r="Z2334" s="15"/>
      <c r="AA2334" s="15"/>
      <c r="AB2334" s="15"/>
      <c r="AC2334" s="15"/>
      <c r="AD2334" s="15"/>
      <c r="AE2334" s="15"/>
      <c r="AF2334" s="15"/>
      <c r="AG2334" s="17"/>
    </row>
    <row r="2336" spans="2:33" ht="15" thickBot="1">
      <c r="B2336" s="25" t="s">
        <v>974</v>
      </c>
      <c r="C2336" s="26" t="s">
        <v>975</v>
      </c>
      <c r="D2336" s="26" t="s">
        <v>1072</v>
      </c>
      <c r="E2336" s="26" t="s">
        <v>1073</v>
      </c>
      <c r="F2336" s="26" t="s">
        <v>1074</v>
      </c>
      <c r="G2336" s="26" t="s">
        <v>47</v>
      </c>
      <c r="H2336" s="27" t="s">
        <v>47</v>
      </c>
      <c r="I2336" s="26" t="s">
        <v>1075</v>
      </c>
      <c r="J2336" s="27" t="s">
        <v>87</v>
      </c>
      <c r="K2336" s="29">
        <v>18</v>
      </c>
      <c r="L2336" s="29">
        <v>18</v>
      </c>
      <c r="M2336" s="29">
        <v>18</v>
      </c>
      <c r="N2336" s="29">
        <v>18</v>
      </c>
      <c r="O2336" s="29">
        <v>18</v>
      </c>
      <c r="P2336" s="40">
        <v>30</v>
      </c>
      <c r="Q2336" s="1" t="s">
        <v>35</v>
      </c>
      <c r="R2336" s="2">
        <v>1408</v>
      </c>
      <c r="S2336" s="2">
        <v>948</v>
      </c>
      <c r="T2336" s="2">
        <v>0</v>
      </c>
      <c r="U2336" s="2">
        <v>0</v>
      </c>
      <c r="V2336" s="2">
        <v>0</v>
      </c>
      <c r="W2336" s="2">
        <v>563</v>
      </c>
      <c r="X2336" s="43">
        <f>SUM(R2336:W2348)</f>
        <v>40734</v>
      </c>
      <c r="Y2336" s="10">
        <v>46204</v>
      </c>
      <c r="Z2336" s="11">
        <v>0.21915174234314722</v>
      </c>
      <c r="AA2336" s="11">
        <v>0.18274192037163289</v>
      </c>
      <c r="AB2336" s="11">
        <v>0.14726787607165501</v>
      </c>
      <c r="AC2336" s="11">
        <v>0.1287497680516306</v>
      </c>
      <c r="AD2336" s="11">
        <v>0.11447820346270936</v>
      </c>
      <c r="AE2336" s="11">
        <v>0.13149780089791482</v>
      </c>
      <c r="AF2336" s="11">
        <v>0.2</v>
      </c>
      <c r="AG2336" s="11">
        <v>0.23899999999999999</v>
      </c>
    </row>
    <row r="2337" spans="2:33">
      <c r="B2337" s="18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35"/>
      <c r="Q2337" s="36" t="s">
        <v>36</v>
      </c>
      <c r="R2337" s="13">
        <v>1140</v>
      </c>
      <c r="S2337" s="13">
        <v>788</v>
      </c>
      <c r="T2337" s="13">
        <v>0</v>
      </c>
      <c r="U2337" s="13">
        <v>0</v>
      </c>
      <c r="V2337" s="13">
        <v>0</v>
      </c>
      <c r="W2337" s="37">
        <v>527</v>
      </c>
      <c r="X2337" s="18"/>
      <c r="Y2337" s="14"/>
      <c r="Z2337" s="14"/>
      <c r="AA2337" s="14"/>
      <c r="AB2337" s="14"/>
      <c r="AC2337" s="14"/>
      <c r="AD2337" s="14"/>
      <c r="AE2337" s="14"/>
      <c r="AF2337" s="14"/>
      <c r="AG2337" s="35"/>
    </row>
    <row r="2338" spans="2:33">
      <c r="B2338" s="19"/>
      <c r="P2338" s="16"/>
      <c r="Q2338" s="36" t="s">
        <v>37</v>
      </c>
      <c r="R2338" s="13">
        <v>0</v>
      </c>
      <c r="S2338" s="13">
        <v>1009</v>
      </c>
      <c r="T2338" s="13">
        <v>662</v>
      </c>
      <c r="U2338" s="13">
        <v>0</v>
      </c>
      <c r="V2338" s="13">
        <v>0</v>
      </c>
      <c r="W2338" s="37">
        <v>545</v>
      </c>
      <c r="X2338" s="19"/>
      <c r="AG2338" s="16"/>
    </row>
    <row r="2339" spans="2:33">
      <c r="B2339" s="19"/>
      <c r="P2339" s="16"/>
      <c r="Q2339" s="36" t="s">
        <v>38</v>
      </c>
      <c r="R2339" s="13">
        <v>0</v>
      </c>
      <c r="S2339" s="13">
        <v>0</v>
      </c>
      <c r="T2339" s="13">
        <v>0</v>
      </c>
      <c r="U2339" s="13">
        <v>792</v>
      </c>
      <c r="V2339" s="13">
        <v>593</v>
      </c>
      <c r="W2339" s="37">
        <v>420</v>
      </c>
      <c r="X2339" s="19"/>
      <c r="AG2339" s="16"/>
    </row>
    <row r="2340" spans="2:33">
      <c r="B2340" s="19"/>
      <c r="P2340" s="16"/>
      <c r="Q2340" s="36" t="s">
        <v>39</v>
      </c>
      <c r="R2340" s="13">
        <v>0</v>
      </c>
      <c r="S2340" s="13">
        <v>0</v>
      </c>
      <c r="T2340" s="13">
        <v>0</v>
      </c>
      <c r="U2340" s="13">
        <v>1073</v>
      </c>
      <c r="V2340" s="13">
        <v>856</v>
      </c>
      <c r="W2340" s="37">
        <v>613</v>
      </c>
      <c r="X2340" s="19"/>
      <c r="AG2340" s="16"/>
    </row>
    <row r="2341" spans="2:33">
      <c r="B2341" s="19"/>
      <c r="P2341" s="16"/>
      <c r="Q2341" s="36" t="s">
        <v>40</v>
      </c>
      <c r="R2341" s="13">
        <v>0</v>
      </c>
      <c r="S2341" s="13">
        <v>0</v>
      </c>
      <c r="T2341" s="13">
        <v>1943</v>
      </c>
      <c r="U2341" s="13">
        <v>1571</v>
      </c>
      <c r="V2341" s="13">
        <v>0</v>
      </c>
      <c r="W2341" s="37">
        <v>832</v>
      </c>
      <c r="X2341" s="19"/>
      <c r="AG2341" s="16"/>
    </row>
    <row r="2342" spans="2:33">
      <c r="B2342" s="19"/>
      <c r="P2342" s="16"/>
      <c r="Q2342" s="36" t="s">
        <v>41</v>
      </c>
      <c r="R2342" s="13">
        <v>3051</v>
      </c>
      <c r="S2342" s="13">
        <v>2315</v>
      </c>
      <c r="T2342" s="13">
        <v>0</v>
      </c>
      <c r="U2342" s="13">
        <v>0</v>
      </c>
      <c r="V2342" s="13">
        <v>0</v>
      </c>
      <c r="W2342" s="37">
        <v>592</v>
      </c>
      <c r="X2342" s="19"/>
      <c r="AG2342" s="16"/>
    </row>
    <row r="2343" spans="2:33">
      <c r="B2343" s="19"/>
      <c r="P2343" s="16"/>
      <c r="Q2343" s="36" t="s">
        <v>42</v>
      </c>
      <c r="R2343" s="13">
        <v>0</v>
      </c>
      <c r="S2343" s="13">
        <v>0</v>
      </c>
      <c r="T2343" s="13">
        <v>2938</v>
      </c>
      <c r="U2343" s="13">
        <v>2196</v>
      </c>
      <c r="V2343" s="13">
        <v>0</v>
      </c>
      <c r="W2343" s="37">
        <v>683</v>
      </c>
      <c r="X2343" s="19"/>
      <c r="AG2343" s="16"/>
    </row>
    <row r="2344" spans="2:33">
      <c r="B2344" s="19"/>
      <c r="P2344" s="16"/>
      <c r="Q2344" s="36" t="s">
        <v>43</v>
      </c>
      <c r="R2344" s="13">
        <v>0</v>
      </c>
      <c r="S2344" s="13">
        <v>0</v>
      </c>
      <c r="T2344" s="13">
        <v>2555</v>
      </c>
      <c r="U2344" s="13">
        <v>1922</v>
      </c>
      <c r="V2344" s="13">
        <v>0</v>
      </c>
      <c r="W2344" s="37">
        <v>937</v>
      </c>
      <c r="X2344" s="19"/>
      <c r="AG2344" s="16"/>
    </row>
    <row r="2345" spans="2:33">
      <c r="B2345" s="19"/>
      <c r="P2345" s="16"/>
      <c r="Q2345" s="36" t="s">
        <v>1076</v>
      </c>
      <c r="R2345" s="13">
        <v>0</v>
      </c>
      <c r="S2345" s="13">
        <v>0</v>
      </c>
      <c r="T2345" s="13">
        <v>0</v>
      </c>
      <c r="U2345" s="13">
        <v>588</v>
      </c>
      <c r="V2345" s="13">
        <v>447</v>
      </c>
      <c r="W2345" s="37">
        <v>293</v>
      </c>
      <c r="X2345" s="19"/>
      <c r="AG2345" s="16"/>
    </row>
    <row r="2346" spans="2:33">
      <c r="B2346" s="19"/>
      <c r="P2346" s="16"/>
      <c r="Q2346" s="36" t="s">
        <v>1077</v>
      </c>
      <c r="R2346" s="13">
        <v>0</v>
      </c>
      <c r="S2346" s="13">
        <v>0</v>
      </c>
      <c r="T2346" s="13">
        <v>0</v>
      </c>
      <c r="U2346" s="13">
        <v>631</v>
      </c>
      <c r="V2346" s="13">
        <v>463</v>
      </c>
      <c r="W2346" s="37">
        <v>241</v>
      </c>
      <c r="X2346" s="19"/>
      <c r="AG2346" s="16"/>
    </row>
    <row r="2347" spans="2:33">
      <c r="B2347" s="19"/>
      <c r="P2347" s="16"/>
      <c r="Q2347" s="36" t="s">
        <v>45</v>
      </c>
      <c r="R2347" s="13">
        <v>0</v>
      </c>
      <c r="S2347" s="13">
        <v>900</v>
      </c>
      <c r="T2347" s="13">
        <v>633</v>
      </c>
      <c r="U2347" s="13">
        <v>0</v>
      </c>
      <c r="V2347" s="13">
        <v>0</v>
      </c>
      <c r="W2347" s="37">
        <v>514</v>
      </c>
      <c r="X2347" s="19"/>
      <c r="AG2347" s="16"/>
    </row>
    <row r="2348" spans="2:33" ht="15" thickBot="1">
      <c r="B2348" s="20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5"/>
      <c r="O2348" s="15"/>
      <c r="P2348" s="17"/>
      <c r="Q2348" s="36" t="s">
        <v>46</v>
      </c>
      <c r="R2348" s="13">
        <v>1268</v>
      </c>
      <c r="S2348" s="13">
        <v>804</v>
      </c>
      <c r="T2348" s="13">
        <v>0</v>
      </c>
      <c r="U2348" s="13">
        <v>0</v>
      </c>
      <c r="V2348" s="13">
        <v>0</v>
      </c>
      <c r="W2348" s="37">
        <v>480</v>
      </c>
      <c r="X2348" s="20"/>
      <c r="Y2348" s="15"/>
      <c r="Z2348" s="15"/>
      <c r="AA2348" s="15"/>
      <c r="AB2348" s="15"/>
      <c r="AC2348" s="15"/>
      <c r="AD2348" s="15"/>
      <c r="AE2348" s="15"/>
      <c r="AF2348" s="15"/>
      <c r="AG2348" s="17"/>
    </row>
    <row r="2350" spans="2:33" ht="15" thickBot="1">
      <c r="B2350" s="25" t="s">
        <v>974</v>
      </c>
      <c r="C2350" s="26" t="s">
        <v>975</v>
      </c>
      <c r="D2350" s="26" t="s">
        <v>1078</v>
      </c>
      <c r="E2350" s="26" t="s">
        <v>1079</v>
      </c>
      <c r="F2350" s="26" t="s">
        <v>1080</v>
      </c>
      <c r="G2350" s="26" t="s">
        <v>58</v>
      </c>
      <c r="H2350" s="27" t="s">
        <v>58</v>
      </c>
      <c r="I2350" s="26" t="s">
        <v>1081</v>
      </c>
      <c r="J2350" s="27" t="s">
        <v>87</v>
      </c>
      <c r="K2350" s="29">
        <v>30</v>
      </c>
      <c r="L2350" s="29">
        <v>30</v>
      </c>
      <c r="M2350" s="29">
        <v>30</v>
      </c>
      <c r="N2350" s="29">
        <v>30</v>
      </c>
      <c r="O2350" s="29">
        <v>30</v>
      </c>
      <c r="P2350" s="40">
        <v>45</v>
      </c>
      <c r="Q2350" s="1" t="s">
        <v>35</v>
      </c>
      <c r="R2350" s="2">
        <v>1581</v>
      </c>
      <c r="S2350" s="2">
        <v>932</v>
      </c>
      <c r="T2350" s="2">
        <v>0</v>
      </c>
      <c r="U2350" s="2">
        <v>0</v>
      </c>
      <c r="V2350" s="2">
        <v>0</v>
      </c>
      <c r="W2350" s="2">
        <v>664</v>
      </c>
      <c r="X2350" s="43">
        <f>SUM(R2350:W2361)</f>
        <v>34789</v>
      </c>
      <c r="Y2350" s="10">
        <v>46204</v>
      </c>
      <c r="Z2350" s="11">
        <v>0.21915174234314722</v>
      </c>
      <c r="AA2350" s="11">
        <v>0.18274192037163289</v>
      </c>
      <c r="AB2350" s="11">
        <v>0.14726787607165501</v>
      </c>
      <c r="AC2350" s="11">
        <v>0.1287497680516306</v>
      </c>
      <c r="AD2350" s="11">
        <v>0.11447820346270936</v>
      </c>
      <c r="AE2350" s="11">
        <v>0.13149780089791482</v>
      </c>
      <c r="AF2350" s="11">
        <v>0.2</v>
      </c>
      <c r="AG2350" s="11">
        <v>0.23899999999999999</v>
      </c>
    </row>
    <row r="2351" spans="2:33">
      <c r="B2351" s="18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35"/>
      <c r="Q2351" s="36" t="s">
        <v>36</v>
      </c>
      <c r="R2351" s="13">
        <v>1268</v>
      </c>
      <c r="S2351" s="13">
        <v>805</v>
      </c>
      <c r="T2351" s="13">
        <v>0</v>
      </c>
      <c r="U2351" s="13">
        <v>0</v>
      </c>
      <c r="V2351" s="13">
        <v>0</v>
      </c>
      <c r="W2351" s="37">
        <v>526</v>
      </c>
      <c r="X2351" s="18"/>
      <c r="Y2351" s="14"/>
      <c r="Z2351" s="14"/>
      <c r="AA2351" s="14"/>
      <c r="AB2351" s="14"/>
      <c r="AC2351" s="14"/>
      <c r="AD2351" s="14"/>
      <c r="AE2351" s="14"/>
      <c r="AF2351" s="14"/>
      <c r="AG2351" s="35"/>
    </row>
    <row r="2352" spans="2:33">
      <c r="B2352" s="19"/>
      <c r="P2352" s="16"/>
      <c r="Q2352" s="36" t="s">
        <v>37</v>
      </c>
      <c r="R2352" s="13">
        <v>0</v>
      </c>
      <c r="S2352" s="13">
        <v>1160</v>
      </c>
      <c r="T2352" s="13">
        <v>775</v>
      </c>
      <c r="U2352" s="13">
        <v>0</v>
      </c>
      <c r="V2352" s="13">
        <v>0</v>
      </c>
      <c r="W2352" s="37">
        <v>630</v>
      </c>
      <c r="X2352" s="19"/>
      <c r="AG2352" s="16"/>
    </row>
    <row r="2353" spans="2:33">
      <c r="B2353" s="19"/>
      <c r="P2353" s="16"/>
      <c r="Q2353" s="36" t="s">
        <v>38</v>
      </c>
      <c r="R2353" s="13">
        <v>0</v>
      </c>
      <c r="S2353" s="13">
        <v>0</v>
      </c>
      <c r="T2353" s="13">
        <v>0</v>
      </c>
      <c r="U2353" s="13">
        <v>1093</v>
      </c>
      <c r="V2353" s="13">
        <v>764</v>
      </c>
      <c r="W2353" s="37">
        <v>658</v>
      </c>
      <c r="X2353" s="19"/>
      <c r="AG2353" s="16"/>
    </row>
    <row r="2354" spans="2:33">
      <c r="B2354" s="19"/>
      <c r="P2354" s="16"/>
      <c r="Q2354" s="36" t="s">
        <v>39</v>
      </c>
      <c r="R2354" s="13">
        <v>0</v>
      </c>
      <c r="S2354" s="13">
        <v>0</v>
      </c>
      <c r="T2354" s="13">
        <v>0</v>
      </c>
      <c r="U2354" s="13">
        <v>1473</v>
      </c>
      <c r="V2354" s="13">
        <v>970</v>
      </c>
      <c r="W2354" s="37">
        <v>749</v>
      </c>
      <c r="X2354" s="19"/>
      <c r="AG2354" s="16"/>
    </row>
    <row r="2355" spans="2:33">
      <c r="B2355" s="19"/>
      <c r="P2355" s="16"/>
      <c r="Q2355" s="36" t="s">
        <v>40</v>
      </c>
      <c r="R2355" s="13">
        <v>0</v>
      </c>
      <c r="S2355" s="13">
        <v>0</v>
      </c>
      <c r="T2355" s="13">
        <v>1940</v>
      </c>
      <c r="U2355" s="13">
        <v>1290</v>
      </c>
      <c r="V2355" s="13">
        <v>0</v>
      </c>
      <c r="W2355" s="37">
        <v>592</v>
      </c>
      <c r="X2355" s="19"/>
      <c r="AG2355" s="16"/>
    </row>
    <row r="2356" spans="2:33">
      <c r="B2356" s="19"/>
      <c r="P2356" s="16"/>
      <c r="Q2356" s="36" t="s">
        <v>41</v>
      </c>
      <c r="R2356" s="13">
        <v>2356</v>
      </c>
      <c r="S2356" s="13">
        <v>1576</v>
      </c>
      <c r="T2356" s="13">
        <v>0</v>
      </c>
      <c r="U2356" s="13">
        <v>0</v>
      </c>
      <c r="V2356" s="13">
        <v>0</v>
      </c>
      <c r="W2356" s="37">
        <v>540</v>
      </c>
      <c r="X2356" s="19"/>
      <c r="AG2356" s="16"/>
    </row>
    <row r="2357" spans="2:33">
      <c r="B2357" s="19"/>
      <c r="P2357" s="16"/>
      <c r="Q2357" s="36" t="s">
        <v>42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37">
        <v>0</v>
      </c>
      <c r="X2357" s="19"/>
      <c r="AG2357" s="16"/>
    </row>
    <row r="2358" spans="2:33">
      <c r="B2358" s="19"/>
      <c r="P2358" s="16"/>
      <c r="Q2358" s="36" t="s">
        <v>43</v>
      </c>
      <c r="R2358" s="13">
        <v>0</v>
      </c>
      <c r="S2358" s="13">
        <v>0</v>
      </c>
      <c r="T2358" s="13">
        <v>1855</v>
      </c>
      <c r="U2358" s="13">
        <v>1279</v>
      </c>
      <c r="V2358" s="13">
        <v>0</v>
      </c>
      <c r="W2358" s="37">
        <v>702</v>
      </c>
      <c r="X2358" s="19"/>
      <c r="AG2358" s="16"/>
    </row>
    <row r="2359" spans="2:33">
      <c r="B2359" s="19"/>
      <c r="P2359" s="16"/>
      <c r="Q2359" s="36" t="s">
        <v>44</v>
      </c>
      <c r="R2359" s="13">
        <v>0</v>
      </c>
      <c r="S2359" s="13">
        <v>0</v>
      </c>
      <c r="T2359" s="13">
        <v>0</v>
      </c>
      <c r="U2359" s="13">
        <v>1644</v>
      </c>
      <c r="V2359" s="13">
        <v>1149</v>
      </c>
      <c r="W2359" s="37">
        <v>627</v>
      </c>
      <c r="X2359" s="19"/>
      <c r="AG2359" s="16"/>
    </row>
    <row r="2360" spans="2:33">
      <c r="B2360" s="19"/>
      <c r="P2360" s="16"/>
      <c r="Q2360" s="36" t="s">
        <v>45</v>
      </c>
      <c r="R2360" s="13">
        <v>0</v>
      </c>
      <c r="S2360" s="13">
        <v>1197</v>
      </c>
      <c r="T2360" s="13">
        <v>786</v>
      </c>
      <c r="U2360" s="13">
        <v>0</v>
      </c>
      <c r="V2360" s="13">
        <v>0</v>
      </c>
      <c r="W2360" s="37">
        <v>610</v>
      </c>
      <c r="X2360" s="19"/>
      <c r="AG2360" s="16"/>
    </row>
    <row r="2361" spans="2:33" ht="15" thickBot="1">
      <c r="B2361" s="20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5"/>
      <c r="O2361" s="15"/>
      <c r="P2361" s="17"/>
      <c r="Q2361" s="36" t="s">
        <v>46</v>
      </c>
      <c r="R2361" s="13">
        <v>1213</v>
      </c>
      <c r="S2361" s="13">
        <v>768</v>
      </c>
      <c r="T2361" s="13">
        <v>0</v>
      </c>
      <c r="U2361" s="13">
        <v>0</v>
      </c>
      <c r="V2361" s="13">
        <v>0</v>
      </c>
      <c r="W2361" s="37">
        <v>617</v>
      </c>
      <c r="X2361" s="20"/>
      <c r="Y2361" s="15"/>
      <c r="Z2361" s="15"/>
      <c r="AA2361" s="15"/>
      <c r="AB2361" s="15"/>
      <c r="AC2361" s="15"/>
      <c r="AD2361" s="15"/>
      <c r="AE2361" s="15"/>
      <c r="AF2361" s="15"/>
      <c r="AG2361" s="17"/>
    </row>
    <row r="2363" spans="2:33" ht="15" thickBot="1">
      <c r="B2363" s="25" t="s">
        <v>974</v>
      </c>
      <c r="C2363" s="26" t="s">
        <v>975</v>
      </c>
      <c r="D2363" s="26" t="s">
        <v>1082</v>
      </c>
      <c r="E2363" s="26" t="s">
        <v>1083</v>
      </c>
      <c r="F2363" s="26" t="s">
        <v>1084</v>
      </c>
      <c r="G2363" s="26" t="s">
        <v>108</v>
      </c>
      <c r="H2363" s="27" t="s">
        <v>108</v>
      </c>
      <c r="I2363" s="26" t="s">
        <v>1085</v>
      </c>
      <c r="J2363" s="27" t="s">
        <v>87</v>
      </c>
      <c r="K2363" s="29">
        <v>40</v>
      </c>
      <c r="L2363" s="29">
        <v>40</v>
      </c>
      <c r="M2363" s="29">
        <v>40</v>
      </c>
      <c r="N2363" s="29">
        <v>40</v>
      </c>
      <c r="O2363" s="29">
        <v>40</v>
      </c>
      <c r="P2363" s="40">
        <v>100</v>
      </c>
      <c r="Q2363" s="1" t="s">
        <v>35</v>
      </c>
      <c r="R2363" s="2">
        <v>2813</v>
      </c>
      <c r="S2363" s="2">
        <v>1726</v>
      </c>
      <c r="T2363" s="2">
        <v>0</v>
      </c>
      <c r="U2363" s="2">
        <v>0</v>
      </c>
      <c r="V2363" s="2">
        <v>0</v>
      </c>
      <c r="W2363" s="2">
        <v>1620</v>
      </c>
      <c r="X2363" s="43">
        <f>SUM(R2363:W2374)</f>
        <v>73510</v>
      </c>
      <c r="Y2363" s="10">
        <v>46204</v>
      </c>
      <c r="Z2363" s="11">
        <v>0.21915174234314722</v>
      </c>
      <c r="AA2363" s="11">
        <v>0.18274192037163289</v>
      </c>
      <c r="AB2363" s="11">
        <v>0.14726787607165501</v>
      </c>
      <c r="AC2363" s="11">
        <v>0.1287497680516306</v>
      </c>
      <c r="AD2363" s="11">
        <v>0.11447820346270936</v>
      </c>
      <c r="AE2363" s="11">
        <v>0.13149780089791482</v>
      </c>
      <c r="AF2363" s="11">
        <v>0.2</v>
      </c>
      <c r="AG2363" s="11">
        <v>0.23899999999999999</v>
      </c>
    </row>
    <row r="2364" spans="2:33">
      <c r="B2364" s="18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35"/>
      <c r="Q2364" s="36" t="s">
        <v>36</v>
      </c>
      <c r="R2364" s="13">
        <v>2632</v>
      </c>
      <c r="S2364" s="13">
        <v>1610</v>
      </c>
      <c r="T2364" s="13">
        <v>0</v>
      </c>
      <c r="U2364" s="13">
        <v>0</v>
      </c>
      <c r="V2364" s="13">
        <v>0</v>
      </c>
      <c r="W2364" s="37">
        <v>1399</v>
      </c>
      <c r="X2364" s="18"/>
      <c r="Y2364" s="14"/>
      <c r="Z2364" s="14"/>
      <c r="AA2364" s="14"/>
      <c r="AB2364" s="14"/>
      <c r="AC2364" s="14"/>
      <c r="AD2364" s="14"/>
      <c r="AE2364" s="14"/>
      <c r="AF2364" s="14"/>
      <c r="AG2364" s="35"/>
    </row>
    <row r="2365" spans="2:33">
      <c r="B2365" s="19"/>
      <c r="P2365" s="16"/>
      <c r="Q2365" s="36" t="s">
        <v>37</v>
      </c>
      <c r="R2365" s="13">
        <v>0</v>
      </c>
      <c r="S2365" s="13">
        <v>2720</v>
      </c>
      <c r="T2365" s="13">
        <v>1782</v>
      </c>
      <c r="U2365" s="13">
        <v>0</v>
      </c>
      <c r="V2365" s="13">
        <v>0</v>
      </c>
      <c r="W2365" s="37">
        <v>1748</v>
      </c>
      <c r="X2365" s="19"/>
      <c r="AG2365" s="16"/>
    </row>
    <row r="2366" spans="2:33">
      <c r="B2366" s="19"/>
      <c r="P2366" s="16"/>
      <c r="Q2366" s="36" t="s">
        <v>38</v>
      </c>
      <c r="R2366" s="13">
        <v>0</v>
      </c>
      <c r="S2366" s="13">
        <v>0</v>
      </c>
      <c r="T2366" s="13">
        <v>0</v>
      </c>
      <c r="U2366" s="13">
        <v>2020</v>
      </c>
      <c r="V2366" s="13">
        <v>1326</v>
      </c>
      <c r="W2366" s="37">
        <v>1201</v>
      </c>
      <c r="X2366" s="19"/>
      <c r="AG2366" s="16"/>
    </row>
    <row r="2367" spans="2:33">
      <c r="B2367" s="19"/>
      <c r="P2367" s="16"/>
      <c r="Q2367" s="36" t="s">
        <v>39</v>
      </c>
      <c r="R2367" s="13">
        <v>0</v>
      </c>
      <c r="S2367" s="13">
        <v>0</v>
      </c>
      <c r="T2367" s="13">
        <v>0</v>
      </c>
      <c r="U2367" s="13">
        <v>2236</v>
      </c>
      <c r="V2367" s="13">
        <v>1549</v>
      </c>
      <c r="W2367" s="37">
        <v>1370</v>
      </c>
      <c r="X2367" s="19"/>
      <c r="AG2367" s="16"/>
    </row>
    <row r="2368" spans="2:33">
      <c r="B2368" s="19"/>
      <c r="P2368" s="16"/>
      <c r="Q2368" s="36" t="s">
        <v>40</v>
      </c>
      <c r="R2368" s="13">
        <v>0</v>
      </c>
      <c r="S2368" s="13">
        <v>0</v>
      </c>
      <c r="T2368" s="13">
        <v>2855</v>
      </c>
      <c r="U2368" s="13">
        <v>2011</v>
      </c>
      <c r="V2368" s="13">
        <v>0</v>
      </c>
      <c r="W2368" s="37">
        <v>1742</v>
      </c>
      <c r="X2368" s="19"/>
      <c r="AG2368" s="16"/>
    </row>
    <row r="2369" spans="1:33">
      <c r="B2369" s="19"/>
      <c r="P2369" s="16"/>
      <c r="Q2369" s="36" t="s">
        <v>41</v>
      </c>
      <c r="R2369" s="13">
        <v>4717</v>
      </c>
      <c r="S2369" s="13">
        <v>3187</v>
      </c>
      <c r="T2369" s="13">
        <v>0</v>
      </c>
      <c r="U2369" s="13">
        <v>0</v>
      </c>
      <c r="V2369" s="13">
        <v>0</v>
      </c>
      <c r="W2369" s="37">
        <v>2362</v>
      </c>
      <c r="X2369" s="19"/>
      <c r="AG2369" s="16"/>
    </row>
    <row r="2370" spans="1:33">
      <c r="B2370" s="19"/>
      <c r="P2370" s="16"/>
      <c r="Q2370" s="36" t="s">
        <v>42</v>
      </c>
      <c r="R2370" s="13">
        <v>0</v>
      </c>
      <c r="S2370" s="13">
        <v>0</v>
      </c>
      <c r="T2370" s="13">
        <v>2907</v>
      </c>
      <c r="U2370" s="13">
        <v>2059</v>
      </c>
      <c r="V2370" s="13">
        <v>0</v>
      </c>
      <c r="W2370" s="37">
        <v>2515</v>
      </c>
      <c r="X2370" s="19"/>
      <c r="AG2370" s="16"/>
    </row>
    <row r="2371" spans="1:33">
      <c r="B2371" s="19"/>
      <c r="P2371" s="16"/>
      <c r="Q2371" s="36" t="s">
        <v>43</v>
      </c>
      <c r="R2371" s="13">
        <v>0</v>
      </c>
      <c r="S2371" s="13">
        <v>0</v>
      </c>
      <c r="T2371" s="13">
        <v>2633</v>
      </c>
      <c r="U2371" s="13">
        <v>1833</v>
      </c>
      <c r="V2371" s="13">
        <v>0</v>
      </c>
      <c r="W2371" s="37">
        <v>1496</v>
      </c>
      <c r="X2371" s="19"/>
      <c r="AG2371" s="16"/>
    </row>
    <row r="2372" spans="1:33">
      <c r="B2372" s="19"/>
      <c r="P2372" s="16"/>
      <c r="Q2372" s="36" t="s">
        <v>44</v>
      </c>
      <c r="R2372" s="13">
        <v>0</v>
      </c>
      <c r="S2372" s="13">
        <v>0</v>
      </c>
      <c r="T2372" s="13">
        <v>0</v>
      </c>
      <c r="U2372" s="13">
        <v>2543</v>
      </c>
      <c r="V2372" s="13">
        <v>1690</v>
      </c>
      <c r="W2372" s="37">
        <v>1272</v>
      </c>
      <c r="X2372" s="19"/>
      <c r="AG2372" s="16"/>
    </row>
    <row r="2373" spans="1:33">
      <c r="B2373" s="19"/>
      <c r="P2373" s="16"/>
      <c r="Q2373" s="36" t="s">
        <v>45</v>
      </c>
      <c r="R2373" s="13">
        <v>0</v>
      </c>
      <c r="S2373" s="13">
        <v>2164</v>
      </c>
      <c r="T2373" s="13">
        <v>1435</v>
      </c>
      <c r="U2373" s="13">
        <v>0</v>
      </c>
      <c r="V2373" s="13">
        <v>0</v>
      </c>
      <c r="W2373" s="37">
        <v>1379</v>
      </c>
      <c r="X2373" s="19"/>
      <c r="AG2373" s="16"/>
    </row>
    <row r="2374" spans="1:33" ht="15" thickBot="1">
      <c r="B2374" s="20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5"/>
      <c r="O2374" s="15"/>
      <c r="P2374" s="17"/>
      <c r="Q2374" s="36" t="s">
        <v>46</v>
      </c>
      <c r="R2374" s="13">
        <v>2316</v>
      </c>
      <c r="S2374" s="13">
        <v>1393</v>
      </c>
      <c r="T2374" s="13">
        <v>0</v>
      </c>
      <c r="U2374" s="13">
        <v>0</v>
      </c>
      <c r="V2374" s="13">
        <v>0</v>
      </c>
      <c r="W2374" s="37">
        <v>1249</v>
      </c>
      <c r="X2374" s="20"/>
      <c r="Y2374" s="15"/>
      <c r="Z2374" s="15"/>
      <c r="AA2374" s="15"/>
      <c r="AB2374" s="15"/>
      <c r="AC2374" s="15"/>
      <c r="AD2374" s="15"/>
      <c r="AE2374" s="15"/>
      <c r="AF2374" s="15"/>
      <c r="AG2374" s="17"/>
    </row>
    <row r="2375" spans="1:33">
      <c r="A2375" t="s">
        <v>2186</v>
      </c>
    </row>
    <row r="2376" spans="1:33" ht="15" thickBot="1">
      <c r="B2376" s="25" t="s">
        <v>974</v>
      </c>
      <c r="C2376" s="26" t="s">
        <v>975</v>
      </c>
      <c r="D2376" s="26" t="s">
        <v>1086</v>
      </c>
      <c r="E2376" s="26" t="s">
        <v>1087</v>
      </c>
      <c r="F2376" s="26" t="s">
        <v>1088</v>
      </c>
      <c r="G2376" s="26" t="s">
        <v>469</v>
      </c>
      <c r="H2376" s="27" t="s">
        <v>469</v>
      </c>
      <c r="I2376" s="26" t="s">
        <v>1089</v>
      </c>
      <c r="J2376" s="27" t="s">
        <v>87</v>
      </c>
      <c r="K2376" s="29">
        <v>22</v>
      </c>
      <c r="L2376" s="29">
        <v>25</v>
      </c>
      <c r="M2376" s="29">
        <v>25</v>
      </c>
      <c r="N2376" s="29">
        <v>25</v>
      </c>
      <c r="O2376" s="29">
        <v>25</v>
      </c>
      <c r="P2376" s="40">
        <v>56</v>
      </c>
      <c r="Q2376" s="1" t="s">
        <v>35</v>
      </c>
      <c r="R2376" s="2">
        <v>1494</v>
      </c>
      <c r="S2376" s="2">
        <v>903</v>
      </c>
      <c r="T2376" s="2">
        <v>0</v>
      </c>
      <c r="U2376" s="2">
        <v>0</v>
      </c>
      <c r="V2376" s="2">
        <v>0</v>
      </c>
      <c r="W2376" s="2">
        <v>728</v>
      </c>
      <c r="X2376" s="43">
        <f>SUM(R2376:W2387)</f>
        <v>42696</v>
      </c>
      <c r="Y2376" s="10">
        <v>46204</v>
      </c>
      <c r="Z2376" s="11">
        <v>0.21915174234314722</v>
      </c>
      <c r="AA2376" s="11">
        <v>0.18274192037163289</v>
      </c>
      <c r="AB2376" s="11">
        <v>0.14726787607165501</v>
      </c>
      <c r="AC2376" s="11">
        <v>0.1287497680516306</v>
      </c>
      <c r="AD2376" s="11">
        <v>0.11447820346270936</v>
      </c>
      <c r="AE2376" s="11">
        <v>0.13149780089791482</v>
      </c>
      <c r="AF2376" s="11">
        <v>0.2</v>
      </c>
      <c r="AG2376" s="11">
        <v>0.23899999999999999</v>
      </c>
    </row>
    <row r="2377" spans="1:33">
      <c r="B2377" s="18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35"/>
      <c r="Q2377" s="36" t="s">
        <v>36</v>
      </c>
      <c r="R2377" s="13">
        <v>1404</v>
      </c>
      <c r="S2377" s="13">
        <v>878</v>
      </c>
      <c r="T2377" s="13">
        <v>0</v>
      </c>
      <c r="U2377" s="13">
        <v>0</v>
      </c>
      <c r="V2377" s="13">
        <v>0</v>
      </c>
      <c r="W2377" s="37">
        <v>635</v>
      </c>
      <c r="X2377" s="18"/>
      <c r="Y2377" s="14"/>
      <c r="Z2377" s="14"/>
      <c r="AA2377" s="14"/>
      <c r="AB2377" s="14"/>
      <c r="AC2377" s="14"/>
      <c r="AD2377" s="14"/>
      <c r="AE2377" s="14"/>
      <c r="AF2377" s="14"/>
      <c r="AG2377" s="35"/>
    </row>
    <row r="2378" spans="1:33">
      <c r="B2378" s="19"/>
      <c r="P2378" s="16"/>
      <c r="Q2378" s="36" t="s">
        <v>37</v>
      </c>
      <c r="R2378" s="13">
        <v>0</v>
      </c>
      <c r="S2378" s="13">
        <v>1495</v>
      </c>
      <c r="T2378" s="13">
        <v>945</v>
      </c>
      <c r="U2378" s="13">
        <v>0</v>
      </c>
      <c r="V2378" s="13">
        <v>0</v>
      </c>
      <c r="W2378" s="37">
        <v>765</v>
      </c>
      <c r="X2378" s="19"/>
      <c r="AG2378" s="16"/>
    </row>
    <row r="2379" spans="1:33">
      <c r="B2379" s="19"/>
      <c r="P2379" s="16"/>
      <c r="Q2379" s="36" t="s">
        <v>38</v>
      </c>
      <c r="R2379" s="13">
        <v>0</v>
      </c>
      <c r="S2379" s="13">
        <v>0</v>
      </c>
      <c r="T2379" s="13">
        <v>0</v>
      </c>
      <c r="U2379" s="13">
        <v>1456</v>
      </c>
      <c r="V2379" s="13">
        <v>911</v>
      </c>
      <c r="W2379" s="37">
        <v>678</v>
      </c>
      <c r="X2379" s="19"/>
      <c r="AG2379" s="16"/>
    </row>
    <row r="2380" spans="1:33">
      <c r="B2380" s="19"/>
      <c r="P2380" s="16"/>
      <c r="Q2380" s="36" t="s">
        <v>39</v>
      </c>
      <c r="R2380" s="13">
        <v>0</v>
      </c>
      <c r="S2380" s="13">
        <v>0</v>
      </c>
      <c r="T2380" s="13">
        <v>0</v>
      </c>
      <c r="U2380" s="13">
        <v>1763</v>
      </c>
      <c r="V2380" s="13">
        <v>1138</v>
      </c>
      <c r="W2380" s="37">
        <v>807</v>
      </c>
      <c r="X2380" s="19"/>
      <c r="AG2380" s="16"/>
    </row>
    <row r="2381" spans="1:33">
      <c r="B2381" s="19"/>
      <c r="P2381" s="16"/>
      <c r="Q2381" s="36" t="s">
        <v>40</v>
      </c>
      <c r="R2381" s="13">
        <v>0</v>
      </c>
      <c r="S2381" s="13">
        <v>0</v>
      </c>
      <c r="T2381" s="13">
        <v>2108</v>
      </c>
      <c r="U2381" s="13">
        <v>1277</v>
      </c>
      <c r="V2381" s="13">
        <v>0</v>
      </c>
      <c r="W2381" s="37">
        <v>758</v>
      </c>
      <c r="X2381" s="19"/>
      <c r="AG2381" s="16"/>
    </row>
    <row r="2382" spans="1:33">
      <c r="B2382" s="19"/>
      <c r="P2382" s="16"/>
      <c r="Q2382" s="36" t="s">
        <v>41</v>
      </c>
      <c r="R2382" s="13">
        <v>2461</v>
      </c>
      <c r="S2382" s="13">
        <v>1583</v>
      </c>
      <c r="T2382" s="13">
        <v>0</v>
      </c>
      <c r="U2382" s="13">
        <v>0</v>
      </c>
      <c r="V2382" s="13">
        <v>0</v>
      </c>
      <c r="W2382" s="37">
        <v>752</v>
      </c>
      <c r="X2382" s="19"/>
      <c r="AG2382" s="16"/>
    </row>
    <row r="2383" spans="1:33">
      <c r="B2383" s="19"/>
      <c r="P2383" s="16"/>
      <c r="Q2383" s="36" t="s">
        <v>42</v>
      </c>
      <c r="R2383" s="13">
        <v>0</v>
      </c>
      <c r="S2383" s="13">
        <v>0</v>
      </c>
      <c r="T2383" s="13">
        <v>2243</v>
      </c>
      <c r="U2383" s="13">
        <v>1116</v>
      </c>
      <c r="V2383" s="13">
        <v>0</v>
      </c>
      <c r="W2383" s="37">
        <v>700</v>
      </c>
      <c r="X2383" s="19"/>
      <c r="AG2383" s="16"/>
    </row>
    <row r="2384" spans="1:33">
      <c r="B2384" s="19"/>
      <c r="P2384" s="16"/>
      <c r="Q2384" s="36" t="s">
        <v>43</v>
      </c>
      <c r="R2384" s="13">
        <v>0</v>
      </c>
      <c r="S2384" s="13">
        <v>0</v>
      </c>
      <c r="T2384" s="13">
        <v>2201</v>
      </c>
      <c r="U2384" s="13">
        <v>1342</v>
      </c>
      <c r="V2384" s="13">
        <v>0</v>
      </c>
      <c r="W2384" s="37">
        <v>768</v>
      </c>
      <c r="X2384" s="19"/>
      <c r="AG2384" s="16"/>
    </row>
    <row r="2385" spans="2:33">
      <c r="B2385" s="19"/>
      <c r="P2385" s="16"/>
      <c r="Q2385" s="36" t="s">
        <v>44</v>
      </c>
      <c r="R2385" s="13">
        <v>0</v>
      </c>
      <c r="S2385" s="13">
        <v>0</v>
      </c>
      <c r="T2385" s="13">
        <v>0</v>
      </c>
      <c r="U2385" s="13">
        <v>1840</v>
      </c>
      <c r="V2385" s="13">
        <v>1175</v>
      </c>
      <c r="W2385" s="37">
        <v>760</v>
      </c>
      <c r="X2385" s="19"/>
      <c r="AG2385" s="16"/>
    </row>
    <row r="2386" spans="2:33">
      <c r="B2386" s="19"/>
      <c r="P2386" s="16"/>
      <c r="Q2386" s="36" t="s">
        <v>45</v>
      </c>
      <c r="R2386" s="13">
        <v>0</v>
      </c>
      <c r="S2386" s="13">
        <v>1379</v>
      </c>
      <c r="T2386" s="13">
        <v>868</v>
      </c>
      <c r="U2386" s="13">
        <v>0</v>
      </c>
      <c r="V2386" s="13">
        <v>0</v>
      </c>
      <c r="W2386" s="37">
        <v>709</v>
      </c>
      <c r="X2386" s="19"/>
      <c r="AG2386" s="16"/>
    </row>
    <row r="2387" spans="2:33" ht="15" thickBot="1">
      <c r="B2387" s="20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5"/>
      <c r="O2387" s="15"/>
      <c r="P2387" s="17"/>
      <c r="Q2387" s="36" t="s">
        <v>46</v>
      </c>
      <c r="R2387" s="13">
        <v>1305</v>
      </c>
      <c r="S2387" s="13">
        <v>826</v>
      </c>
      <c r="T2387" s="13">
        <v>0</v>
      </c>
      <c r="U2387" s="13">
        <v>0</v>
      </c>
      <c r="V2387" s="13">
        <v>0</v>
      </c>
      <c r="W2387" s="37">
        <v>525</v>
      </c>
      <c r="X2387" s="20"/>
      <c r="Y2387" s="15"/>
      <c r="Z2387" s="15"/>
      <c r="AA2387" s="15"/>
      <c r="AB2387" s="15"/>
      <c r="AC2387" s="15"/>
      <c r="AD2387" s="15"/>
      <c r="AE2387" s="15"/>
      <c r="AF2387" s="15"/>
      <c r="AG2387" s="17"/>
    </row>
    <row r="2389" spans="2:33" ht="15" thickBot="1">
      <c r="B2389" s="25" t="s">
        <v>974</v>
      </c>
      <c r="C2389" s="26" t="s">
        <v>975</v>
      </c>
      <c r="D2389" s="26" t="s">
        <v>1090</v>
      </c>
      <c r="E2389" s="26" t="s">
        <v>1091</v>
      </c>
      <c r="F2389" s="26" t="s">
        <v>941</v>
      </c>
      <c r="G2389" s="26" t="s">
        <v>835</v>
      </c>
      <c r="H2389" s="27" t="s">
        <v>693</v>
      </c>
      <c r="I2389" s="26" t="s">
        <v>1092</v>
      </c>
      <c r="J2389" s="27" t="s">
        <v>87</v>
      </c>
      <c r="K2389" s="29">
        <v>22</v>
      </c>
      <c r="L2389" s="29">
        <v>22</v>
      </c>
      <c r="M2389" s="29">
        <v>22</v>
      </c>
      <c r="N2389" s="29">
        <v>22</v>
      </c>
      <c r="O2389" s="29">
        <v>22</v>
      </c>
      <c r="P2389" s="40">
        <v>50</v>
      </c>
      <c r="Q2389" s="1" t="s">
        <v>35</v>
      </c>
      <c r="R2389" s="2">
        <v>0</v>
      </c>
      <c r="S2389" s="2">
        <v>1636</v>
      </c>
      <c r="T2389" s="2">
        <v>0</v>
      </c>
      <c r="U2389" s="2">
        <v>793</v>
      </c>
      <c r="V2389" s="2">
        <v>0</v>
      </c>
      <c r="W2389" s="2">
        <v>509</v>
      </c>
      <c r="X2389" s="43">
        <f>SUM(R2389:W2401)</f>
        <v>39896</v>
      </c>
      <c r="Y2389" s="10">
        <v>46204</v>
      </c>
      <c r="Z2389" s="11">
        <v>0.21915174234314722</v>
      </c>
      <c r="AA2389" s="11">
        <v>0.18274192037163289</v>
      </c>
      <c r="AB2389" s="11">
        <v>0.14726787607165501</v>
      </c>
      <c r="AC2389" s="11">
        <v>0.1287497680516306</v>
      </c>
      <c r="AD2389" s="11">
        <v>0.11447820346270936</v>
      </c>
      <c r="AE2389" s="11">
        <v>0.13149780089791482</v>
      </c>
      <c r="AF2389" s="11">
        <v>0.2</v>
      </c>
      <c r="AG2389" s="11">
        <v>0.23899999999999999</v>
      </c>
    </row>
    <row r="2390" spans="2:33">
      <c r="B2390" s="18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35"/>
      <c r="Q2390" s="36" t="s">
        <v>36</v>
      </c>
      <c r="R2390" s="13">
        <v>0</v>
      </c>
      <c r="S2390" s="13">
        <v>1530</v>
      </c>
      <c r="T2390" s="13">
        <v>0</v>
      </c>
      <c r="U2390" s="13">
        <v>735</v>
      </c>
      <c r="V2390" s="13">
        <v>0</v>
      </c>
      <c r="W2390" s="37">
        <v>467</v>
      </c>
      <c r="X2390" s="18"/>
      <c r="Y2390" s="14"/>
      <c r="Z2390" s="14"/>
      <c r="AA2390" s="14"/>
      <c r="AB2390" s="14"/>
      <c r="AC2390" s="14"/>
      <c r="AD2390" s="14"/>
      <c r="AE2390" s="14"/>
      <c r="AF2390" s="14"/>
      <c r="AG2390" s="35"/>
    </row>
    <row r="2391" spans="2:33">
      <c r="B2391" s="19"/>
      <c r="P2391" s="16"/>
      <c r="Q2391" s="36" t="s">
        <v>37</v>
      </c>
      <c r="R2391" s="13">
        <v>0</v>
      </c>
      <c r="S2391" s="13">
        <v>1537</v>
      </c>
      <c r="T2391" s="13">
        <v>0</v>
      </c>
      <c r="U2391" s="13">
        <v>760</v>
      </c>
      <c r="V2391" s="13">
        <v>0</v>
      </c>
      <c r="W2391" s="37">
        <v>506</v>
      </c>
      <c r="X2391" s="19"/>
      <c r="AG2391" s="16"/>
    </row>
    <row r="2392" spans="2:33">
      <c r="B2392" s="19"/>
      <c r="P2392" s="16"/>
      <c r="Q2392" s="36" t="s">
        <v>38</v>
      </c>
      <c r="R2392" s="13">
        <v>0</v>
      </c>
      <c r="S2392" s="13">
        <v>0</v>
      </c>
      <c r="T2392" s="13">
        <v>0</v>
      </c>
      <c r="U2392" s="13">
        <v>1698</v>
      </c>
      <c r="V2392" s="13">
        <v>785</v>
      </c>
      <c r="W2392" s="37">
        <v>483</v>
      </c>
      <c r="X2392" s="19"/>
      <c r="AG2392" s="16"/>
    </row>
    <row r="2393" spans="2:33">
      <c r="B2393" s="19"/>
      <c r="P2393" s="16"/>
      <c r="Q2393" s="36" t="s">
        <v>39</v>
      </c>
      <c r="R2393" s="13">
        <v>0</v>
      </c>
      <c r="S2393" s="13">
        <v>0</v>
      </c>
      <c r="T2393" s="13">
        <v>0</v>
      </c>
      <c r="U2393" s="13">
        <v>1792</v>
      </c>
      <c r="V2393" s="13">
        <v>814</v>
      </c>
      <c r="W2393" s="37">
        <v>608</v>
      </c>
      <c r="X2393" s="19"/>
      <c r="AG2393" s="16"/>
    </row>
    <row r="2394" spans="2:33">
      <c r="B2394" s="19"/>
      <c r="P2394" s="16"/>
      <c r="Q2394" s="36" t="s">
        <v>40</v>
      </c>
      <c r="R2394" s="13">
        <v>0</v>
      </c>
      <c r="S2394" s="13">
        <v>0</v>
      </c>
      <c r="T2394" s="13">
        <v>0</v>
      </c>
      <c r="U2394" s="13">
        <v>2180</v>
      </c>
      <c r="V2394" s="13">
        <v>944</v>
      </c>
      <c r="W2394" s="37">
        <v>530</v>
      </c>
      <c r="X2394" s="19"/>
      <c r="AG2394" s="16"/>
    </row>
    <row r="2395" spans="2:33">
      <c r="B2395" s="19"/>
      <c r="P2395" s="16"/>
      <c r="Q2395" s="36" t="s">
        <v>41</v>
      </c>
      <c r="R2395" s="13">
        <v>2666</v>
      </c>
      <c r="S2395" s="13">
        <v>0</v>
      </c>
      <c r="T2395" s="13">
        <v>1212</v>
      </c>
      <c r="U2395" s="13">
        <v>0</v>
      </c>
      <c r="V2395" s="13">
        <v>0</v>
      </c>
      <c r="W2395" s="37">
        <v>532</v>
      </c>
      <c r="X2395" s="19"/>
      <c r="AG2395" s="16"/>
    </row>
    <row r="2396" spans="2:33">
      <c r="B2396" s="19"/>
      <c r="P2396" s="16"/>
      <c r="Q2396" s="36" t="s">
        <v>42</v>
      </c>
      <c r="R2396" s="13">
        <v>2441</v>
      </c>
      <c r="S2396" s="13">
        <v>0</v>
      </c>
      <c r="T2396" s="13">
        <v>1107</v>
      </c>
      <c r="U2396" s="13">
        <v>0</v>
      </c>
      <c r="V2396" s="13">
        <v>0</v>
      </c>
      <c r="W2396" s="37">
        <v>634</v>
      </c>
      <c r="X2396" s="19"/>
      <c r="AG2396" s="16"/>
    </row>
    <row r="2397" spans="2:33">
      <c r="B2397" s="19"/>
      <c r="P2397" s="16"/>
      <c r="Q2397" s="36" t="s">
        <v>43</v>
      </c>
      <c r="R2397" s="13">
        <v>2519</v>
      </c>
      <c r="S2397" s="13">
        <v>0</v>
      </c>
      <c r="T2397" s="13">
        <v>1176</v>
      </c>
      <c r="U2397" s="13">
        <v>0</v>
      </c>
      <c r="V2397" s="13">
        <v>0</v>
      </c>
      <c r="W2397" s="37">
        <v>548</v>
      </c>
      <c r="X2397" s="19"/>
      <c r="AG2397" s="16"/>
    </row>
    <row r="2398" spans="2:33">
      <c r="B2398" s="19"/>
      <c r="P2398" s="16"/>
      <c r="Q2398" s="36" t="s">
        <v>1093</v>
      </c>
      <c r="R2398" s="13">
        <v>1473</v>
      </c>
      <c r="S2398" s="13">
        <v>0</v>
      </c>
      <c r="T2398" s="13">
        <v>692</v>
      </c>
      <c r="U2398" s="13">
        <v>0</v>
      </c>
      <c r="V2398" s="13">
        <v>0</v>
      </c>
      <c r="W2398" s="37">
        <v>346</v>
      </c>
      <c r="X2398" s="19"/>
      <c r="AG2398" s="16"/>
    </row>
    <row r="2399" spans="2:33">
      <c r="B2399" s="19"/>
      <c r="P2399" s="16"/>
      <c r="Q2399" s="36" t="s">
        <v>1094</v>
      </c>
      <c r="R2399" s="13">
        <v>681</v>
      </c>
      <c r="S2399" s="13">
        <v>0</v>
      </c>
      <c r="T2399" s="13">
        <v>336</v>
      </c>
      <c r="U2399" s="13">
        <v>0</v>
      </c>
      <c r="V2399" s="13">
        <v>0</v>
      </c>
      <c r="W2399" s="37">
        <v>114</v>
      </c>
      <c r="X2399" s="19"/>
      <c r="AG2399" s="16"/>
    </row>
    <row r="2400" spans="2:33">
      <c r="B2400" s="19"/>
      <c r="P2400" s="16"/>
      <c r="Q2400" s="36" t="s">
        <v>45</v>
      </c>
      <c r="R2400" s="13">
        <v>0</v>
      </c>
      <c r="S2400" s="13">
        <v>1619</v>
      </c>
      <c r="T2400" s="13">
        <v>720</v>
      </c>
      <c r="U2400" s="13">
        <v>0</v>
      </c>
      <c r="V2400" s="13">
        <v>0</v>
      </c>
      <c r="W2400" s="37">
        <v>440</v>
      </c>
      <c r="X2400" s="19"/>
      <c r="AG2400" s="16"/>
    </row>
    <row r="2401" spans="2:33" ht="15" thickBot="1">
      <c r="B2401" s="20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5"/>
      <c r="O2401" s="15"/>
      <c r="P2401" s="17"/>
      <c r="Q2401" s="36" t="s">
        <v>46</v>
      </c>
      <c r="R2401" s="13">
        <v>0</v>
      </c>
      <c r="S2401" s="13">
        <v>1330</v>
      </c>
      <c r="T2401" s="13">
        <v>642</v>
      </c>
      <c r="U2401" s="13">
        <v>0</v>
      </c>
      <c r="V2401" s="13">
        <v>0</v>
      </c>
      <c r="W2401" s="37">
        <v>361</v>
      </c>
      <c r="X2401" s="20"/>
      <c r="Y2401" s="15"/>
      <c r="Z2401" s="15"/>
      <c r="AA2401" s="15"/>
      <c r="AB2401" s="15"/>
      <c r="AC2401" s="15"/>
      <c r="AD2401" s="15"/>
      <c r="AE2401" s="15"/>
      <c r="AF2401" s="15"/>
      <c r="AG2401" s="17"/>
    </row>
    <row r="2403" spans="2:33" ht="15" thickBot="1">
      <c r="B2403" s="25" t="s">
        <v>974</v>
      </c>
      <c r="C2403" s="26" t="s">
        <v>975</v>
      </c>
      <c r="D2403" s="26" t="s">
        <v>1095</v>
      </c>
      <c r="E2403" s="26" t="s">
        <v>1096</v>
      </c>
      <c r="F2403" s="26" t="s">
        <v>1067</v>
      </c>
      <c r="G2403" s="26" t="s">
        <v>71</v>
      </c>
      <c r="H2403" s="27" t="s">
        <v>71</v>
      </c>
      <c r="I2403" s="26" t="s">
        <v>1097</v>
      </c>
      <c r="J2403" s="27" t="s">
        <v>34</v>
      </c>
      <c r="K2403" s="29">
        <v>55</v>
      </c>
      <c r="L2403" s="29">
        <v>55</v>
      </c>
      <c r="M2403" s="29">
        <v>55</v>
      </c>
      <c r="N2403" s="29">
        <v>55</v>
      </c>
      <c r="O2403" s="29">
        <v>55</v>
      </c>
      <c r="P2403" s="40">
        <v>65</v>
      </c>
      <c r="Q2403" s="1" t="s">
        <v>35</v>
      </c>
      <c r="R2403" s="2">
        <v>3926</v>
      </c>
      <c r="S2403" s="2">
        <v>2130</v>
      </c>
      <c r="T2403" s="2">
        <v>0</v>
      </c>
      <c r="U2403" s="2">
        <v>0</v>
      </c>
      <c r="V2403" s="2">
        <v>0</v>
      </c>
      <c r="W2403" s="2">
        <v>2210</v>
      </c>
      <c r="X2403" s="43">
        <f>SUM(R2403:W2415)</f>
        <v>130907</v>
      </c>
      <c r="Y2403" s="10">
        <v>46204</v>
      </c>
      <c r="Z2403" s="11">
        <v>0.18962454052312397</v>
      </c>
      <c r="AA2403" s="11">
        <v>0.15853632235818399</v>
      </c>
      <c r="AB2403" s="11">
        <v>0.13130366614667105</v>
      </c>
      <c r="AC2403" s="11">
        <v>0.11730241147211601</v>
      </c>
      <c r="AD2403" s="11">
        <v>0.10638825231856879</v>
      </c>
      <c r="AE2403" s="11">
        <v>0.12205898654316046</v>
      </c>
      <c r="AF2403" s="11">
        <v>0.2</v>
      </c>
      <c r="AG2403" s="11">
        <v>0.23899999999999999</v>
      </c>
    </row>
    <row r="2404" spans="2:33">
      <c r="B2404" s="18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35"/>
      <c r="Q2404" s="36" t="s">
        <v>36</v>
      </c>
      <c r="R2404" s="13">
        <v>2749</v>
      </c>
      <c r="S2404" s="13">
        <v>1829</v>
      </c>
      <c r="T2404" s="13">
        <v>0</v>
      </c>
      <c r="U2404" s="13">
        <v>0</v>
      </c>
      <c r="V2404" s="13">
        <v>0</v>
      </c>
      <c r="W2404" s="37">
        <v>1996</v>
      </c>
      <c r="X2404" s="18"/>
      <c r="Y2404" s="14"/>
      <c r="Z2404" s="14"/>
      <c r="AA2404" s="14"/>
      <c r="AB2404" s="14"/>
      <c r="AC2404" s="14"/>
      <c r="AD2404" s="14"/>
      <c r="AE2404" s="14"/>
      <c r="AF2404" s="14"/>
      <c r="AG2404" s="35"/>
    </row>
    <row r="2405" spans="2:33">
      <c r="B2405" s="19"/>
      <c r="P2405" s="16"/>
      <c r="Q2405" s="36" t="s">
        <v>37</v>
      </c>
      <c r="R2405" s="13">
        <v>0</v>
      </c>
      <c r="S2405" s="13">
        <v>2798</v>
      </c>
      <c r="T2405" s="13">
        <v>1956</v>
      </c>
      <c r="U2405" s="13">
        <v>0</v>
      </c>
      <c r="V2405" s="13">
        <v>0</v>
      </c>
      <c r="W2405" s="37">
        <v>2258</v>
      </c>
      <c r="X2405" s="19"/>
      <c r="AG2405" s="16"/>
    </row>
    <row r="2406" spans="2:33">
      <c r="B2406" s="19"/>
      <c r="P2406" s="16"/>
      <c r="Q2406" s="36" t="s">
        <v>38</v>
      </c>
      <c r="R2406" s="13">
        <v>0</v>
      </c>
      <c r="S2406" s="13">
        <v>0</v>
      </c>
      <c r="T2406" s="13">
        <v>0</v>
      </c>
      <c r="U2406" s="13">
        <v>3334</v>
      </c>
      <c r="V2406" s="13">
        <v>2435</v>
      </c>
      <c r="W2406" s="37">
        <v>1907</v>
      </c>
      <c r="X2406" s="19"/>
      <c r="AG2406" s="16"/>
    </row>
    <row r="2407" spans="2:33">
      <c r="B2407" s="19"/>
      <c r="P2407" s="16"/>
      <c r="Q2407" s="36" t="s">
        <v>39</v>
      </c>
      <c r="R2407" s="13">
        <v>0</v>
      </c>
      <c r="S2407" s="13">
        <v>0</v>
      </c>
      <c r="T2407" s="13">
        <v>0</v>
      </c>
      <c r="U2407" s="13">
        <v>4650</v>
      </c>
      <c r="V2407" s="13">
        <v>3223</v>
      </c>
      <c r="W2407" s="37">
        <v>3103</v>
      </c>
      <c r="X2407" s="19"/>
      <c r="AG2407" s="16"/>
    </row>
    <row r="2408" spans="2:33">
      <c r="B2408" s="19"/>
      <c r="P2408" s="16"/>
      <c r="Q2408" s="36" t="s">
        <v>40</v>
      </c>
      <c r="R2408" s="13">
        <v>0</v>
      </c>
      <c r="S2408" s="13">
        <v>0</v>
      </c>
      <c r="T2408" s="13">
        <v>6318</v>
      </c>
      <c r="U2408" s="13">
        <v>4528</v>
      </c>
      <c r="V2408" s="13">
        <v>0</v>
      </c>
      <c r="W2408" s="37">
        <v>4018</v>
      </c>
      <c r="X2408" s="19"/>
      <c r="AG2408" s="16"/>
    </row>
    <row r="2409" spans="2:33">
      <c r="B2409" s="19"/>
      <c r="P2409" s="16"/>
      <c r="Q2409" s="36" t="s">
        <v>41</v>
      </c>
      <c r="R2409" s="13">
        <v>7752</v>
      </c>
      <c r="S2409" s="13">
        <v>5654</v>
      </c>
      <c r="T2409" s="13">
        <v>0</v>
      </c>
      <c r="U2409" s="13">
        <v>0</v>
      </c>
      <c r="V2409" s="13">
        <v>0</v>
      </c>
      <c r="W2409" s="37">
        <v>4056</v>
      </c>
      <c r="X2409" s="19"/>
      <c r="AG2409" s="16"/>
    </row>
    <row r="2410" spans="2:33">
      <c r="B2410" s="19"/>
      <c r="P2410" s="16"/>
      <c r="Q2410" s="36" t="s">
        <v>42</v>
      </c>
      <c r="R2410" s="13">
        <v>0</v>
      </c>
      <c r="S2410" s="13">
        <v>0</v>
      </c>
      <c r="T2410" s="13">
        <v>7102</v>
      </c>
      <c r="U2410" s="13">
        <v>5865</v>
      </c>
      <c r="V2410" s="13">
        <v>0</v>
      </c>
      <c r="W2410" s="37">
        <v>4269</v>
      </c>
      <c r="X2410" s="19"/>
      <c r="AG2410" s="16"/>
    </row>
    <row r="2411" spans="2:33">
      <c r="B2411" s="19"/>
      <c r="P2411" s="16"/>
      <c r="Q2411" s="36" t="s">
        <v>43</v>
      </c>
      <c r="R2411" s="13">
        <v>0</v>
      </c>
      <c r="S2411" s="13">
        <v>0</v>
      </c>
      <c r="T2411" s="13">
        <v>6194</v>
      </c>
      <c r="U2411" s="13">
        <v>4557</v>
      </c>
      <c r="V2411" s="13">
        <v>0</v>
      </c>
      <c r="W2411" s="37">
        <v>3608</v>
      </c>
      <c r="X2411" s="19"/>
      <c r="AG2411" s="16"/>
    </row>
    <row r="2412" spans="2:33">
      <c r="B2412" s="19"/>
      <c r="P2412" s="16"/>
      <c r="Q2412" s="36" t="s">
        <v>44</v>
      </c>
      <c r="R2412" s="13">
        <v>0</v>
      </c>
      <c r="S2412" s="13">
        <v>0</v>
      </c>
      <c r="T2412" s="13">
        <v>0</v>
      </c>
      <c r="U2412" s="13">
        <v>5010</v>
      </c>
      <c r="V2412" s="13">
        <v>3614</v>
      </c>
      <c r="W2412" s="37">
        <v>3098</v>
      </c>
      <c r="X2412" s="19"/>
      <c r="AG2412" s="16"/>
    </row>
    <row r="2413" spans="2:33">
      <c r="B2413" s="19"/>
      <c r="P2413" s="16"/>
      <c r="Q2413" s="36" t="s">
        <v>45</v>
      </c>
      <c r="R2413" s="13">
        <v>0</v>
      </c>
      <c r="S2413" s="13">
        <v>2768</v>
      </c>
      <c r="T2413" s="13">
        <v>1971</v>
      </c>
      <c r="U2413" s="13">
        <v>0</v>
      </c>
      <c r="V2413" s="13">
        <v>0</v>
      </c>
      <c r="W2413" s="37">
        <v>2380</v>
      </c>
      <c r="X2413" s="19"/>
      <c r="AG2413" s="16"/>
    </row>
    <row r="2414" spans="2:33">
      <c r="B2414" s="19"/>
      <c r="P2414" s="16"/>
      <c r="Q2414" s="36" t="s">
        <v>1098</v>
      </c>
      <c r="R2414" s="13">
        <v>1453</v>
      </c>
      <c r="S2414" s="13">
        <v>1001</v>
      </c>
      <c r="T2414" s="13">
        <v>0</v>
      </c>
      <c r="U2414" s="13">
        <v>0</v>
      </c>
      <c r="V2414" s="13">
        <v>0</v>
      </c>
      <c r="W2414" s="37">
        <v>921</v>
      </c>
      <c r="X2414" s="19"/>
      <c r="AG2414" s="16"/>
    </row>
    <row r="2415" spans="2:33" ht="15" thickBot="1">
      <c r="B2415" s="20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5"/>
      <c r="O2415" s="15"/>
      <c r="P2415" s="17"/>
      <c r="Q2415" s="36" t="s">
        <v>1099</v>
      </c>
      <c r="R2415" s="13">
        <v>1833</v>
      </c>
      <c r="S2415" s="13">
        <v>1156</v>
      </c>
      <c r="T2415" s="13">
        <v>0</v>
      </c>
      <c r="U2415" s="13">
        <v>0</v>
      </c>
      <c r="V2415" s="13">
        <v>0</v>
      </c>
      <c r="W2415" s="37">
        <v>1277</v>
      </c>
      <c r="X2415" s="20"/>
      <c r="Y2415" s="15"/>
      <c r="Z2415" s="15"/>
      <c r="AA2415" s="15"/>
      <c r="AB2415" s="15"/>
      <c r="AC2415" s="15"/>
      <c r="AD2415" s="15"/>
      <c r="AE2415" s="15"/>
      <c r="AF2415" s="15"/>
      <c r="AG2415" s="17"/>
    </row>
    <row r="2417" spans="2:33" ht="15" thickBot="1">
      <c r="B2417" s="25" t="s">
        <v>974</v>
      </c>
      <c r="C2417" s="26" t="s">
        <v>975</v>
      </c>
      <c r="D2417" s="26" t="s">
        <v>1100</v>
      </c>
      <c r="E2417" s="26" t="s">
        <v>1101</v>
      </c>
      <c r="F2417" s="26" t="s">
        <v>1102</v>
      </c>
      <c r="G2417" s="26" t="s">
        <v>740</v>
      </c>
      <c r="H2417" s="27" t="s">
        <v>740</v>
      </c>
      <c r="I2417" s="26" t="s">
        <v>1103</v>
      </c>
      <c r="J2417" s="27" t="s">
        <v>87</v>
      </c>
      <c r="K2417" s="29">
        <v>31</v>
      </c>
      <c r="L2417" s="29">
        <v>31</v>
      </c>
      <c r="M2417" s="29">
        <v>31</v>
      </c>
      <c r="N2417" s="29">
        <v>31</v>
      </c>
      <c r="O2417" s="29">
        <v>31</v>
      </c>
      <c r="P2417" s="40">
        <v>45</v>
      </c>
      <c r="Q2417" s="1" t="s">
        <v>35</v>
      </c>
      <c r="R2417" s="2">
        <v>2735</v>
      </c>
      <c r="S2417" s="2">
        <v>1778</v>
      </c>
      <c r="T2417" s="2">
        <v>0</v>
      </c>
      <c r="U2417" s="2">
        <v>0</v>
      </c>
      <c r="V2417" s="2">
        <v>0</v>
      </c>
      <c r="W2417" s="2">
        <v>1142</v>
      </c>
      <c r="X2417" s="43">
        <f>SUM(R2417:W2428)</f>
        <v>66091</v>
      </c>
      <c r="Y2417" s="10">
        <v>46204</v>
      </c>
      <c r="Z2417" s="11">
        <v>0.21915174234314722</v>
      </c>
      <c r="AA2417" s="11">
        <v>0.18274192037163289</v>
      </c>
      <c r="AB2417" s="11">
        <v>0.14726787607165501</v>
      </c>
      <c r="AC2417" s="11">
        <v>0.1287497680516306</v>
      </c>
      <c r="AD2417" s="11">
        <v>0.11447820346270936</v>
      </c>
      <c r="AE2417" s="11">
        <v>0.13149780089791482</v>
      </c>
      <c r="AF2417" s="11">
        <v>0.2</v>
      </c>
      <c r="AG2417" s="11">
        <v>0.23899999999999999</v>
      </c>
    </row>
    <row r="2418" spans="2:33">
      <c r="B2418" s="18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35"/>
      <c r="Q2418" s="36" t="s">
        <v>36</v>
      </c>
      <c r="R2418" s="13">
        <v>2256</v>
      </c>
      <c r="S2418" s="13">
        <v>1305</v>
      </c>
      <c r="T2418" s="13">
        <v>0</v>
      </c>
      <c r="U2418" s="13">
        <v>0</v>
      </c>
      <c r="V2418" s="13">
        <v>0</v>
      </c>
      <c r="W2418" s="37">
        <v>1286</v>
      </c>
      <c r="X2418" s="18"/>
      <c r="Y2418" s="14"/>
      <c r="Z2418" s="14"/>
      <c r="AA2418" s="14"/>
      <c r="AB2418" s="14"/>
      <c r="AC2418" s="14"/>
      <c r="AD2418" s="14"/>
      <c r="AE2418" s="14"/>
      <c r="AF2418" s="14"/>
      <c r="AG2418" s="35"/>
    </row>
    <row r="2419" spans="2:33">
      <c r="B2419" s="19"/>
      <c r="P2419" s="16"/>
      <c r="Q2419" s="36" t="s">
        <v>37</v>
      </c>
      <c r="R2419" s="13">
        <v>0</v>
      </c>
      <c r="S2419" s="13">
        <v>2394</v>
      </c>
      <c r="T2419" s="13">
        <v>1469</v>
      </c>
      <c r="U2419" s="13">
        <v>0</v>
      </c>
      <c r="V2419" s="13">
        <v>0</v>
      </c>
      <c r="W2419" s="37">
        <v>1377</v>
      </c>
      <c r="X2419" s="19"/>
      <c r="AG2419" s="16"/>
    </row>
    <row r="2420" spans="2:33">
      <c r="B2420" s="19"/>
      <c r="P2420" s="16"/>
      <c r="Q2420" s="36" t="s">
        <v>38</v>
      </c>
      <c r="R2420" s="13">
        <v>0</v>
      </c>
      <c r="S2420" s="13">
        <v>0</v>
      </c>
      <c r="T2420" s="13">
        <v>0</v>
      </c>
      <c r="U2420" s="13">
        <v>2175</v>
      </c>
      <c r="V2420" s="13">
        <v>1405</v>
      </c>
      <c r="W2420" s="37">
        <v>842</v>
      </c>
      <c r="X2420" s="19"/>
      <c r="AG2420" s="16"/>
    </row>
    <row r="2421" spans="2:33">
      <c r="B2421" s="19"/>
      <c r="P2421" s="16"/>
      <c r="Q2421" s="36" t="s">
        <v>39</v>
      </c>
      <c r="R2421" s="13">
        <v>0</v>
      </c>
      <c r="S2421" s="13">
        <v>0</v>
      </c>
      <c r="T2421" s="13">
        <v>0</v>
      </c>
      <c r="U2421" s="13">
        <v>2313</v>
      </c>
      <c r="V2421" s="13">
        <v>1431</v>
      </c>
      <c r="W2421" s="37">
        <v>1009</v>
      </c>
      <c r="X2421" s="19"/>
      <c r="AG2421" s="16"/>
    </row>
    <row r="2422" spans="2:33">
      <c r="B2422" s="19"/>
      <c r="P2422" s="16"/>
      <c r="Q2422" s="36" t="s">
        <v>40</v>
      </c>
      <c r="R2422" s="13">
        <v>0</v>
      </c>
      <c r="S2422" s="13">
        <v>0</v>
      </c>
      <c r="T2422" s="13">
        <v>3292</v>
      </c>
      <c r="U2422" s="13">
        <v>2269</v>
      </c>
      <c r="V2422" s="13">
        <v>0</v>
      </c>
      <c r="W2422" s="37">
        <v>880</v>
      </c>
      <c r="X2422" s="19"/>
      <c r="AG2422" s="16"/>
    </row>
    <row r="2423" spans="2:33">
      <c r="B2423" s="19"/>
      <c r="P2423" s="16"/>
      <c r="Q2423" s="36" t="s">
        <v>41</v>
      </c>
      <c r="R2423" s="13">
        <v>3725</v>
      </c>
      <c r="S2423" s="13">
        <v>2649</v>
      </c>
      <c r="T2423" s="13">
        <v>0</v>
      </c>
      <c r="U2423" s="13">
        <v>0</v>
      </c>
      <c r="V2423" s="13">
        <v>0</v>
      </c>
      <c r="W2423" s="37">
        <v>920</v>
      </c>
      <c r="X2423" s="19"/>
      <c r="AG2423" s="16"/>
    </row>
    <row r="2424" spans="2:33">
      <c r="B2424" s="19"/>
      <c r="P2424" s="16"/>
      <c r="Q2424" s="36" t="s">
        <v>42</v>
      </c>
      <c r="R2424" s="13">
        <v>0</v>
      </c>
      <c r="S2424" s="13">
        <v>0</v>
      </c>
      <c r="T2424" s="13">
        <v>2971</v>
      </c>
      <c r="U2424" s="13">
        <v>2142</v>
      </c>
      <c r="V2424" s="13">
        <v>0</v>
      </c>
      <c r="W2424" s="37">
        <v>1120</v>
      </c>
      <c r="X2424" s="19"/>
      <c r="AG2424" s="16"/>
    </row>
    <row r="2425" spans="2:33">
      <c r="B2425" s="19"/>
      <c r="P2425" s="16"/>
      <c r="Q2425" s="36" t="s">
        <v>43</v>
      </c>
      <c r="R2425" s="13">
        <v>0</v>
      </c>
      <c r="S2425" s="13">
        <v>0</v>
      </c>
      <c r="T2425" s="13">
        <v>2897</v>
      </c>
      <c r="U2425" s="13">
        <v>2019</v>
      </c>
      <c r="V2425" s="13">
        <v>0</v>
      </c>
      <c r="W2425" s="37">
        <v>1498</v>
      </c>
      <c r="X2425" s="19"/>
      <c r="AG2425" s="16"/>
    </row>
    <row r="2426" spans="2:33">
      <c r="B2426" s="19"/>
      <c r="P2426" s="16"/>
      <c r="Q2426" s="36" t="s">
        <v>44</v>
      </c>
      <c r="R2426" s="13">
        <v>0</v>
      </c>
      <c r="S2426" s="13">
        <v>0</v>
      </c>
      <c r="T2426" s="13">
        <v>0</v>
      </c>
      <c r="U2426" s="13">
        <v>2341</v>
      </c>
      <c r="V2426" s="13">
        <v>1653</v>
      </c>
      <c r="W2426" s="37">
        <v>1056</v>
      </c>
      <c r="X2426" s="19"/>
      <c r="AG2426" s="16"/>
    </row>
    <row r="2427" spans="2:33">
      <c r="B2427" s="19"/>
      <c r="P2427" s="16"/>
      <c r="Q2427" s="36" t="s">
        <v>45</v>
      </c>
      <c r="R2427" s="13">
        <v>0</v>
      </c>
      <c r="S2427" s="13">
        <v>1948</v>
      </c>
      <c r="T2427" s="13">
        <v>1337</v>
      </c>
      <c r="U2427" s="13">
        <v>0</v>
      </c>
      <c r="V2427" s="13">
        <v>0</v>
      </c>
      <c r="W2427" s="37">
        <v>1080</v>
      </c>
      <c r="X2427" s="19"/>
      <c r="AG2427" s="16"/>
    </row>
    <row r="2428" spans="2:33" ht="15" thickBot="1">
      <c r="B2428" s="20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7"/>
      <c r="Q2428" s="36" t="s">
        <v>46</v>
      </c>
      <c r="R2428" s="13">
        <v>2711</v>
      </c>
      <c r="S2428" s="13">
        <v>1652</v>
      </c>
      <c r="T2428" s="13">
        <v>0</v>
      </c>
      <c r="U2428" s="13">
        <v>0</v>
      </c>
      <c r="V2428" s="13">
        <v>0</v>
      </c>
      <c r="W2428" s="37">
        <v>1014</v>
      </c>
      <c r="X2428" s="20"/>
      <c r="Y2428" s="15"/>
      <c r="Z2428" s="15"/>
      <c r="AA2428" s="15"/>
      <c r="AB2428" s="15"/>
      <c r="AC2428" s="15"/>
      <c r="AD2428" s="15"/>
      <c r="AE2428" s="15"/>
      <c r="AF2428" s="15"/>
      <c r="AG2428" s="17"/>
    </row>
    <row r="2430" spans="2:33" ht="15" thickBot="1">
      <c r="B2430" s="25" t="s">
        <v>974</v>
      </c>
      <c r="C2430" s="26" t="s">
        <v>975</v>
      </c>
      <c r="D2430" s="26" t="s">
        <v>1104</v>
      </c>
      <c r="E2430" s="26" t="s">
        <v>1105</v>
      </c>
      <c r="F2430" s="26" t="s">
        <v>1074</v>
      </c>
      <c r="G2430" s="26" t="s">
        <v>47</v>
      </c>
      <c r="H2430" s="27" t="s">
        <v>47</v>
      </c>
      <c r="I2430" s="26" t="s">
        <v>1106</v>
      </c>
      <c r="J2430" s="27" t="s">
        <v>56</v>
      </c>
      <c r="K2430" s="29">
        <v>9.1999998092651403</v>
      </c>
      <c r="L2430" s="29">
        <v>9.1999998092651403</v>
      </c>
      <c r="M2430" s="29">
        <v>9.1999998092651403</v>
      </c>
      <c r="N2430" s="29">
        <v>0</v>
      </c>
      <c r="O2430" s="29">
        <v>0</v>
      </c>
      <c r="P2430" s="40">
        <v>0</v>
      </c>
      <c r="Q2430" s="1" t="s">
        <v>1107</v>
      </c>
      <c r="R2430" s="2">
        <v>1306</v>
      </c>
      <c r="S2430" s="2">
        <v>791</v>
      </c>
      <c r="T2430" s="2">
        <v>812</v>
      </c>
      <c r="U2430" s="2">
        <v>0</v>
      </c>
      <c r="V2430" s="2">
        <v>0</v>
      </c>
      <c r="W2430" s="2">
        <v>0</v>
      </c>
      <c r="X2430" s="43">
        <f>SUM(R2430:W2441)</f>
        <v>32866</v>
      </c>
      <c r="Y2430" s="10">
        <v>46204</v>
      </c>
      <c r="Z2430" s="11">
        <v>0.23933187277221363</v>
      </c>
      <c r="AA2430" s="11">
        <v>0.16281742298052029</v>
      </c>
      <c r="AB2430" s="11">
        <v>0.13509180089791481</v>
      </c>
      <c r="AC2430" s="11"/>
      <c r="AD2430" s="11"/>
      <c r="AE2430" s="11"/>
      <c r="AF2430" s="11">
        <v>0.2</v>
      </c>
      <c r="AG2430" s="11">
        <v>0.23899999999999999</v>
      </c>
    </row>
    <row r="2431" spans="2:33">
      <c r="B2431" s="18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35"/>
      <c r="Q2431" s="36" t="s">
        <v>1108</v>
      </c>
      <c r="R2431" s="13">
        <v>853</v>
      </c>
      <c r="S2431" s="13">
        <v>530</v>
      </c>
      <c r="T2431" s="13">
        <v>513</v>
      </c>
      <c r="U2431" s="13">
        <v>0</v>
      </c>
      <c r="V2431" s="13">
        <v>0</v>
      </c>
      <c r="W2431" s="37">
        <v>0</v>
      </c>
      <c r="X2431" s="18"/>
      <c r="Y2431" s="14"/>
      <c r="Z2431" s="14"/>
      <c r="AA2431" s="14"/>
      <c r="AB2431" s="14"/>
      <c r="AC2431" s="14"/>
      <c r="AD2431" s="14"/>
      <c r="AE2431" s="14"/>
      <c r="AF2431" s="14"/>
      <c r="AG2431" s="35"/>
    </row>
    <row r="2432" spans="2:33">
      <c r="B2432" s="19"/>
      <c r="P2432" s="16"/>
      <c r="Q2432" s="36" t="s">
        <v>1109</v>
      </c>
      <c r="R2432" s="13">
        <v>859</v>
      </c>
      <c r="S2432" s="13">
        <v>545</v>
      </c>
      <c r="T2432" s="13">
        <v>588</v>
      </c>
      <c r="U2432" s="13">
        <v>0</v>
      </c>
      <c r="V2432" s="13">
        <v>0</v>
      </c>
      <c r="W2432" s="37">
        <v>0</v>
      </c>
      <c r="X2432" s="19"/>
      <c r="AG2432" s="16"/>
    </row>
    <row r="2433" spans="2:33">
      <c r="B2433" s="19"/>
      <c r="P2433" s="16"/>
      <c r="Q2433" s="36" t="s">
        <v>1110</v>
      </c>
      <c r="R2433" s="13">
        <v>688</v>
      </c>
      <c r="S2433" s="13">
        <v>418</v>
      </c>
      <c r="T2433" s="13">
        <v>628</v>
      </c>
      <c r="U2433" s="13">
        <v>0</v>
      </c>
      <c r="V2433" s="13">
        <v>0</v>
      </c>
      <c r="W2433" s="37">
        <v>0</v>
      </c>
      <c r="X2433" s="19"/>
      <c r="AG2433" s="16"/>
    </row>
    <row r="2434" spans="2:33">
      <c r="B2434" s="19"/>
      <c r="P2434" s="16"/>
      <c r="Q2434" s="36" t="s">
        <v>1111</v>
      </c>
      <c r="R2434" s="13">
        <v>1080</v>
      </c>
      <c r="S2434" s="13">
        <v>659</v>
      </c>
      <c r="T2434" s="13">
        <v>678</v>
      </c>
      <c r="U2434" s="13">
        <v>0</v>
      </c>
      <c r="V2434" s="13">
        <v>0</v>
      </c>
      <c r="W2434" s="37">
        <v>0</v>
      </c>
      <c r="X2434" s="19"/>
      <c r="AG2434" s="16"/>
    </row>
    <row r="2435" spans="2:33">
      <c r="B2435" s="19"/>
      <c r="P2435" s="16"/>
      <c r="Q2435" s="36" t="s">
        <v>1112</v>
      </c>
      <c r="R2435" s="13">
        <v>1702</v>
      </c>
      <c r="S2435" s="13">
        <v>1094</v>
      </c>
      <c r="T2435" s="13">
        <v>1229</v>
      </c>
      <c r="U2435" s="13">
        <v>0</v>
      </c>
      <c r="V2435" s="13">
        <v>0</v>
      </c>
      <c r="W2435" s="37">
        <v>0</v>
      </c>
      <c r="X2435" s="19"/>
      <c r="AG2435" s="16"/>
    </row>
    <row r="2436" spans="2:33">
      <c r="B2436" s="19"/>
      <c r="P2436" s="16"/>
      <c r="Q2436" s="36" t="s">
        <v>1113</v>
      </c>
      <c r="R2436" s="13">
        <v>1623</v>
      </c>
      <c r="S2436" s="13">
        <v>1040</v>
      </c>
      <c r="T2436" s="13">
        <v>1301</v>
      </c>
      <c r="U2436" s="13">
        <v>0</v>
      </c>
      <c r="V2436" s="13">
        <v>0</v>
      </c>
      <c r="W2436" s="37">
        <v>0</v>
      </c>
      <c r="X2436" s="19"/>
      <c r="AG2436" s="16"/>
    </row>
    <row r="2437" spans="2:33">
      <c r="B2437" s="19"/>
      <c r="P2437" s="16"/>
      <c r="Q2437" s="36" t="s">
        <v>1114</v>
      </c>
      <c r="R2437" s="13">
        <v>1286</v>
      </c>
      <c r="S2437" s="13">
        <v>863</v>
      </c>
      <c r="T2437" s="13">
        <v>853</v>
      </c>
      <c r="U2437" s="13">
        <v>0</v>
      </c>
      <c r="V2437" s="13">
        <v>0</v>
      </c>
      <c r="W2437" s="37">
        <v>0</v>
      </c>
      <c r="X2437" s="19"/>
      <c r="AG2437" s="16"/>
    </row>
    <row r="2438" spans="2:33">
      <c r="B2438" s="19"/>
      <c r="P2438" s="16"/>
      <c r="Q2438" s="36" t="s">
        <v>1115</v>
      </c>
      <c r="R2438" s="13">
        <v>1297</v>
      </c>
      <c r="S2438" s="13">
        <v>808</v>
      </c>
      <c r="T2438" s="13">
        <v>953</v>
      </c>
      <c r="U2438" s="13">
        <v>0</v>
      </c>
      <c r="V2438" s="13">
        <v>0</v>
      </c>
      <c r="W2438" s="37">
        <v>0</v>
      </c>
      <c r="X2438" s="19"/>
      <c r="AG2438" s="16"/>
    </row>
    <row r="2439" spans="2:33">
      <c r="B2439" s="19"/>
      <c r="P2439" s="16"/>
      <c r="Q2439" s="36" t="s">
        <v>69</v>
      </c>
      <c r="R2439" s="13">
        <v>1105</v>
      </c>
      <c r="S2439" s="13">
        <v>665</v>
      </c>
      <c r="T2439" s="13">
        <v>630</v>
      </c>
      <c r="U2439" s="13">
        <v>0</v>
      </c>
      <c r="V2439" s="13">
        <v>0</v>
      </c>
      <c r="W2439" s="37">
        <v>0</v>
      </c>
      <c r="X2439" s="19"/>
      <c r="AG2439" s="16"/>
    </row>
    <row r="2440" spans="2:33">
      <c r="B2440" s="19"/>
      <c r="P2440" s="16"/>
      <c r="Q2440" s="36" t="s">
        <v>70</v>
      </c>
      <c r="R2440" s="13">
        <v>1239</v>
      </c>
      <c r="S2440" s="13">
        <v>708</v>
      </c>
      <c r="T2440" s="13">
        <v>680</v>
      </c>
      <c r="U2440" s="13">
        <v>0</v>
      </c>
      <c r="V2440" s="13">
        <v>0</v>
      </c>
      <c r="W2440" s="37">
        <v>0</v>
      </c>
      <c r="X2440" s="19"/>
      <c r="AG2440" s="16"/>
    </row>
    <row r="2441" spans="2:33" ht="15" thickBot="1">
      <c r="B2441" s="20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5"/>
      <c r="O2441" s="15"/>
      <c r="P2441" s="17"/>
      <c r="Q2441" s="36" t="s">
        <v>1116</v>
      </c>
      <c r="R2441" s="13">
        <v>1161</v>
      </c>
      <c r="S2441" s="13">
        <v>717</v>
      </c>
      <c r="T2441" s="13">
        <v>964</v>
      </c>
      <c r="U2441" s="13">
        <v>0</v>
      </c>
      <c r="V2441" s="13">
        <v>0</v>
      </c>
      <c r="W2441" s="37">
        <v>0</v>
      </c>
      <c r="X2441" s="20"/>
      <c r="Y2441" s="15"/>
      <c r="Z2441" s="15"/>
      <c r="AA2441" s="15"/>
      <c r="AB2441" s="15"/>
      <c r="AC2441" s="15"/>
      <c r="AD2441" s="15"/>
      <c r="AE2441" s="15"/>
      <c r="AF2441" s="15"/>
      <c r="AG2441" s="17"/>
    </row>
    <row r="2443" spans="2:33" ht="15" thickBot="1">
      <c r="B2443" s="25" t="s">
        <v>974</v>
      </c>
      <c r="C2443" s="26" t="s">
        <v>975</v>
      </c>
      <c r="D2443" s="26" t="s">
        <v>1117</v>
      </c>
      <c r="E2443" s="26" t="s">
        <v>1118</v>
      </c>
      <c r="F2443" s="26" t="s">
        <v>1119</v>
      </c>
      <c r="G2443" s="26" t="s">
        <v>821</v>
      </c>
      <c r="H2443" s="27" t="s">
        <v>821</v>
      </c>
      <c r="I2443" s="26" t="s">
        <v>1120</v>
      </c>
      <c r="J2443" s="27" t="s">
        <v>87</v>
      </c>
      <c r="K2443" s="29">
        <v>30</v>
      </c>
      <c r="L2443" s="29">
        <v>30</v>
      </c>
      <c r="M2443" s="29">
        <v>30</v>
      </c>
      <c r="N2443" s="29">
        <v>30</v>
      </c>
      <c r="O2443" s="29">
        <v>30</v>
      </c>
      <c r="P2443" s="40">
        <v>44.759998321533203</v>
      </c>
      <c r="Q2443" s="1" t="s">
        <v>35</v>
      </c>
      <c r="R2443" s="2">
        <v>0</v>
      </c>
      <c r="S2443" s="2">
        <v>2270</v>
      </c>
      <c r="T2443" s="2">
        <v>0</v>
      </c>
      <c r="U2443" s="2">
        <v>1219</v>
      </c>
      <c r="V2443" s="2">
        <v>0</v>
      </c>
      <c r="W2443" s="2">
        <v>1006</v>
      </c>
      <c r="X2443" s="43">
        <f>SUM(R2443:W2454)</f>
        <v>59079</v>
      </c>
      <c r="Y2443" s="10">
        <v>46204</v>
      </c>
      <c r="Z2443" s="11">
        <v>0.21915174234314722</v>
      </c>
      <c r="AA2443" s="11">
        <v>0.18274192037163289</v>
      </c>
      <c r="AB2443" s="11">
        <v>0.14726787607165501</v>
      </c>
      <c r="AC2443" s="11">
        <v>0.1287497680516306</v>
      </c>
      <c r="AD2443" s="11">
        <v>0.11447820346270936</v>
      </c>
      <c r="AE2443" s="11">
        <v>0.13149780089791482</v>
      </c>
      <c r="AF2443" s="11">
        <v>0.2</v>
      </c>
      <c r="AG2443" s="11">
        <v>0.23899999999999999</v>
      </c>
    </row>
    <row r="2444" spans="2:33">
      <c r="B2444" s="18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35"/>
      <c r="Q2444" s="36" t="s">
        <v>36</v>
      </c>
      <c r="R2444" s="13">
        <v>0</v>
      </c>
      <c r="S2444" s="13">
        <v>2150</v>
      </c>
      <c r="T2444" s="13">
        <v>0</v>
      </c>
      <c r="U2444" s="13">
        <v>1178</v>
      </c>
      <c r="V2444" s="13">
        <v>0</v>
      </c>
      <c r="W2444" s="37">
        <v>909</v>
      </c>
      <c r="X2444" s="18"/>
      <c r="Y2444" s="14"/>
      <c r="Z2444" s="14"/>
      <c r="AA2444" s="14"/>
      <c r="AB2444" s="14"/>
      <c r="AC2444" s="14"/>
      <c r="AD2444" s="14"/>
      <c r="AE2444" s="14"/>
      <c r="AF2444" s="14"/>
      <c r="AG2444" s="35"/>
    </row>
    <row r="2445" spans="2:33">
      <c r="B2445" s="19"/>
      <c r="P2445" s="16"/>
      <c r="Q2445" s="36" t="s">
        <v>37</v>
      </c>
      <c r="R2445" s="13">
        <v>0</v>
      </c>
      <c r="S2445" s="13">
        <v>2158</v>
      </c>
      <c r="T2445" s="13">
        <v>0</v>
      </c>
      <c r="U2445" s="13">
        <v>1164</v>
      </c>
      <c r="V2445" s="13">
        <v>0</v>
      </c>
      <c r="W2445" s="37">
        <v>1076</v>
      </c>
      <c r="X2445" s="19"/>
      <c r="AG2445" s="16"/>
    </row>
    <row r="2446" spans="2:33">
      <c r="B2446" s="19"/>
      <c r="P2446" s="16"/>
      <c r="Q2446" s="36" t="s">
        <v>38</v>
      </c>
      <c r="R2446" s="13">
        <v>0</v>
      </c>
      <c r="S2446" s="13">
        <v>0</v>
      </c>
      <c r="T2446" s="13">
        <v>0</v>
      </c>
      <c r="U2446" s="13">
        <v>2309</v>
      </c>
      <c r="V2446" s="13">
        <v>1234</v>
      </c>
      <c r="W2446" s="37">
        <v>966</v>
      </c>
      <c r="X2446" s="19"/>
      <c r="AG2446" s="16"/>
    </row>
    <row r="2447" spans="2:33">
      <c r="B2447" s="19"/>
      <c r="P2447" s="16"/>
      <c r="Q2447" s="36" t="s">
        <v>39</v>
      </c>
      <c r="R2447" s="13">
        <v>0</v>
      </c>
      <c r="S2447" s="13">
        <v>0</v>
      </c>
      <c r="T2447" s="13">
        <v>0</v>
      </c>
      <c r="U2447" s="13">
        <v>2421</v>
      </c>
      <c r="V2447" s="13">
        <v>1298</v>
      </c>
      <c r="W2447" s="37">
        <v>1089</v>
      </c>
      <c r="X2447" s="19"/>
      <c r="AG2447" s="16"/>
    </row>
    <row r="2448" spans="2:33">
      <c r="B2448" s="19"/>
      <c r="P2448" s="16"/>
      <c r="Q2448" s="36" t="s">
        <v>40</v>
      </c>
      <c r="R2448" s="13">
        <v>0</v>
      </c>
      <c r="S2448" s="13">
        <v>0</v>
      </c>
      <c r="T2448" s="13">
        <v>0</v>
      </c>
      <c r="U2448" s="13">
        <v>2715</v>
      </c>
      <c r="V2448" s="13">
        <v>1356</v>
      </c>
      <c r="W2448" s="37">
        <v>1032</v>
      </c>
      <c r="X2448" s="19"/>
      <c r="AG2448" s="16"/>
    </row>
    <row r="2449" spans="2:33">
      <c r="B2449" s="19"/>
      <c r="P2449" s="16"/>
      <c r="Q2449" s="36" t="s">
        <v>41</v>
      </c>
      <c r="R2449" s="13">
        <v>3202</v>
      </c>
      <c r="S2449" s="13">
        <v>0</v>
      </c>
      <c r="T2449" s="13">
        <v>1581</v>
      </c>
      <c r="U2449" s="13">
        <v>0</v>
      </c>
      <c r="V2449" s="13">
        <v>0</v>
      </c>
      <c r="W2449" s="37">
        <v>1014</v>
      </c>
      <c r="X2449" s="19"/>
      <c r="AG2449" s="16"/>
    </row>
    <row r="2450" spans="2:33">
      <c r="B2450" s="19"/>
      <c r="P2450" s="16"/>
      <c r="Q2450" s="36" t="s">
        <v>42</v>
      </c>
      <c r="R2450" s="13">
        <v>2963</v>
      </c>
      <c r="S2450" s="13">
        <v>0</v>
      </c>
      <c r="T2450" s="13">
        <v>1387</v>
      </c>
      <c r="U2450" s="13">
        <v>0</v>
      </c>
      <c r="V2450" s="13">
        <v>0</v>
      </c>
      <c r="W2450" s="37">
        <v>1192</v>
      </c>
      <c r="X2450" s="19"/>
      <c r="AG2450" s="16"/>
    </row>
    <row r="2451" spans="2:33">
      <c r="B2451" s="19"/>
      <c r="P2451" s="16"/>
      <c r="Q2451" s="36" t="s">
        <v>43</v>
      </c>
      <c r="R2451" s="13">
        <v>3152</v>
      </c>
      <c r="S2451" s="13">
        <v>0</v>
      </c>
      <c r="T2451" s="13">
        <v>1564</v>
      </c>
      <c r="U2451" s="13">
        <v>0</v>
      </c>
      <c r="V2451" s="13">
        <v>0</v>
      </c>
      <c r="W2451" s="37">
        <v>1025</v>
      </c>
      <c r="X2451" s="19"/>
      <c r="AG2451" s="16"/>
    </row>
    <row r="2452" spans="2:33">
      <c r="B2452" s="19"/>
      <c r="P2452" s="16"/>
      <c r="Q2452" s="36" t="s">
        <v>44</v>
      </c>
      <c r="R2452" s="13">
        <v>3075</v>
      </c>
      <c r="S2452" s="13">
        <v>0</v>
      </c>
      <c r="T2452" s="13">
        <v>1514</v>
      </c>
      <c r="U2452" s="13">
        <v>0</v>
      </c>
      <c r="V2452" s="13">
        <v>0</v>
      </c>
      <c r="W2452" s="37">
        <v>786</v>
      </c>
      <c r="X2452" s="19"/>
      <c r="AG2452" s="16"/>
    </row>
    <row r="2453" spans="2:33">
      <c r="B2453" s="19"/>
      <c r="P2453" s="16"/>
      <c r="Q2453" s="36" t="s">
        <v>45</v>
      </c>
      <c r="R2453" s="13">
        <v>0</v>
      </c>
      <c r="S2453" s="13">
        <v>2595</v>
      </c>
      <c r="T2453" s="13">
        <v>1247</v>
      </c>
      <c r="U2453" s="13">
        <v>0</v>
      </c>
      <c r="V2453" s="13">
        <v>0</v>
      </c>
      <c r="W2453" s="37">
        <v>902</v>
      </c>
      <c r="X2453" s="19"/>
      <c r="AG2453" s="16"/>
    </row>
    <row r="2454" spans="2:33" ht="15" thickBot="1">
      <c r="B2454" s="20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5"/>
      <c r="O2454" s="15"/>
      <c r="P2454" s="17"/>
      <c r="Q2454" s="36" t="s">
        <v>46</v>
      </c>
      <c r="R2454" s="13">
        <v>0</v>
      </c>
      <c r="S2454" s="13">
        <v>2300</v>
      </c>
      <c r="T2454" s="13">
        <v>1143</v>
      </c>
      <c r="U2454" s="13">
        <v>0</v>
      </c>
      <c r="V2454" s="13">
        <v>0</v>
      </c>
      <c r="W2454" s="37">
        <v>887</v>
      </c>
      <c r="X2454" s="20"/>
      <c r="Y2454" s="15"/>
      <c r="Z2454" s="15"/>
      <c r="AA2454" s="15"/>
      <c r="AB2454" s="15"/>
      <c r="AC2454" s="15"/>
      <c r="AD2454" s="15"/>
      <c r="AE2454" s="15"/>
      <c r="AF2454" s="15"/>
      <c r="AG2454" s="17"/>
    </row>
    <row r="2456" spans="2:33" ht="15" thickBot="1">
      <c r="B2456" s="25" t="s">
        <v>974</v>
      </c>
      <c r="C2456" s="26" t="s">
        <v>975</v>
      </c>
      <c r="D2456" s="26" t="s">
        <v>1121</v>
      </c>
      <c r="E2456" s="26" t="s">
        <v>1122</v>
      </c>
      <c r="F2456" s="26" t="s">
        <v>327</v>
      </c>
      <c r="G2456" s="26" t="s">
        <v>33</v>
      </c>
      <c r="H2456" s="27" t="s">
        <v>33</v>
      </c>
      <c r="I2456" s="26" t="s">
        <v>1123</v>
      </c>
      <c r="J2456" s="27" t="s">
        <v>87</v>
      </c>
      <c r="K2456" s="29">
        <v>40</v>
      </c>
      <c r="L2456" s="29">
        <v>40</v>
      </c>
      <c r="M2456" s="29">
        <v>40</v>
      </c>
      <c r="N2456" s="29">
        <v>40</v>
      </c>
      <c r="O2456" s="29">
        <v>40</v>
      </c>
      <c r="P2456" s="40">
        <v>86</v>
      </c>
      <c r="Q2456" s="1" t="s">
        <v>35</v>
      </c>
      <c r="R2456" s="2">
        <v>3382</v>
      </c>
      <c r="S2456" s="2">
        <v>2248</v>
      </c>
      <c r="T2456" s="2">
        <v>0</v>
      </c>
      <c r="U2456" s="2">
        <v>0</v>
      </c>
      <c r="V2456" s="2">
        <v>0</v>
      </c>
      <c r="W2456" s="2">
        <v>2682</v>
      </c>
      <c r="X2456" s="43">
        <f>SUM(R2456:W2468)</f>
        <v>98187</v>
      </c>
      <c r="Y2456" s="10">
        <v>46204</v>
      </c>
      <c r="Z2456" s="11">
        <v>0.21915174234314722</v>
      </c>
      <c r="AA2456" s="11">
        <v>0.18274192037163289</v>
      </c>
      <c r="AB2456" s="11">
        <v>0.14726787607165501</v>
      </c>
      <c r="AC2456" s="11">
        <v>0.1287497680516306</v>
      </c>
      <c r="AD2456" s="11">
        <v>0.11447820346270936</v>
      </c>
      <c r="AE2456" s="11">
        <v>0.13149780089791482</v>
      </c>
      <c r="AF2456" s="11">
        <v>0.2</v>
      </c>
      <c r="AG2456" s="11">
        <v>0.23899999999999999</v>
      </c>
    </row>
    <row r="2457" spans="2:33">
      <c r="B2457" s="18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35"/>
      <c r="Q2457" s="36" t="s">
        <v>36</v>
      </c>
      <c r="R2457" s="13">
        <v>3065</v>
      </c>
      <c r="S2457" s="13">
        <v>2090</v>
      </c>
      <c r="T2457" s="13">
        <v>0</v>
      </c>
      <c r="U2457" s="13">
        <v>0</v>
      </c>
      <c r="V2457" s="13">
        <v>0</v>
      </c>
      <c r="W2457" s="37">
        <v>1976</v>
      </c>
      <c r="X2457" s="18"/>
      <c r="Y2457" s="14"/>
      <c r="Z2457" s="14"/>
      <c r="AA2457" s="14"/>
      <c r="AB2457" s="14"/>
      <c r="AC2457" s="14"/>
      <c r="AD2457" s="14"/>
      <c r="AE2457" s="14"/>
      <c r="AF2457" s="14"/>
      <c r="AG2457" s="35"/>
    </row>
    <row r="2458" spans="2:33">
      <c r="B2458" s="19"/>
      <c r="P2458" s="16"/>
      <c r="Q2458" s="36" t="s">
        <v>37</v>
      </c>
      <c r="R2458" s="13">
        <v>0</v>
      </c>
      <c r="S2458" s="13">
        <v>3196</v>
      </c>
      <c r="T2458" s="13">
        <v>2174</v>
      </c>
      <c r="U2458" s="13">
        <v>0</v>
      </c>
      <c r="V2458" s="13">
        <v>0</v>
      </c>
      <c r="W2458" s="37">
        <v>2165</v>
      </c>
      <c r="X2458" s="19"/>
      <c r="AG2458" s="16"/>
    </row>
    <row r="2459" spans="2:33">
      <c r="B2459" s="19"/>
      <c r="P2459" s="16"/>
      <c r="Q2459" s="36" t="s">
        <v>38</v>
      </c>
      <c r="R2459" s="13">
        <v>0</v>
      </c>
      <c r="S2459" s="13">
        <v>0</v>
      </c>
      <c r="T2459" s="13">
        <v>0</v>
      </c>
      <c r="U2459" s="13">
        <v>3360</v>
      </c>
      <c r="V2459" s="13">
        <v>2281</v>
      </c>
      <c r="W2459" s="37">
        <v>2186</v>
      </c>
      <c r="X2459" s="19"/>
      <c r="AG2459" s="16"/>
    </row>
    <row r="2460" spans="2:33">
      <c r="B2460" s="19"/>
      <c r="P2460" s="16"/>
      <c r="Q2460" s="36" t="s">
        <v>39</v>
      </c>
      <c r="R2460" s="13">
        <v>0</v>
      </c>
      <c r="S2460" s="13">
        <v>0</v>
      </c>
      <c r="T2460" s="13">
        <v>0</v>
      </c>
      <c r="U2460" s="13">
        <v>3598</v>
      </c>
      <c r="V2460" s="13">
        <v>2374</v>
      </c>
      <c r="W2460" s="37">
        <v>2454</v>
      </c>
      <c r="X2460" s="19"/>
      <c r="AG2460" s="16"/>
    </row>
    <row r="2461" spans="2:33">
      <c r="B2461" s="19"/>
      <c r="P2461" s="16"/>
      <c r="Q2461" s="36" t="s">
        <v>40</v>
      </c>
      <c r="R2461" s="13">
        <v>0</v>
      </c>
      <c r="S2461" s="13">
        <v>0</v>
      </c>
      <c r="T2461" s="13">
        <v>4215</v>
      </c>
      <c r="U2461" s="13">
        <v>2911</v>
      </c>
      <c r="V2461" s="13">
        <v>0</v>
      </c>
      <c r="W2461" s="37">
        <v>3170</v>
      </c>
      <c r="X2461" s="19"/>
      <c r="AG2461" s="16"/>
    </row>
    <row r="2462" spans="2:33">
      <c r="B2462" s="19"/>
      <c r="P2462" s="16"/>
      <c r="Q2462" s="36" t="s">
        <v>41</v>
      </c>
      <c r="R2462" s="13">
        <v>3202</v>
      </c>
      <c r="S2462" s="13">
        <v>0</v>
      </c>
      <c r="T2462" s="13">
        <v>1581</v>
      </c>
      <c r="U2462" s="13">
        <v>0</v>
      </c>
      <c r="V2462" s="13">
        <v>0</v>
      </c>
      <c r="W2462" s="37">
        <v>1014</v>
      </c>
      <c r="X2462" s="19"/>
      <c r="AG2462" s="16"/>
    </row>
    <row r="2463" spans="2:33">
      <c r="B2463" s="19"/>
      <c r="P2463" s="16"/>
      <c r="Q2463" s="36" t="s">
        <v>42</v>
      </c>
      <c r="R2463" s="13">
        <v>0</v>
      </c>
      <c r="S2463" s="13">
        <v>0</v>
      </c>
      <c r="T2463" s="13">
        <v>4247</v>
      </c>
      <c r="U2463" s="13">
        <v>2941</v>
      </c>
      <c r="V2463" s="13">
        <v>0</v>
      </c>
      <c r="W2463" s="37">
        <v>2517</v>
      </c>
      <c r="X2463" s="19"/>
      <c r="AG2463" s="16"/>
    </row>
    <row r="2464" spans="2:33">
      <c r="B2464" s="19"/>
      <c r="P2464" s="16"/>
      <c r="Q2464" s="36" t="s">
        <v>43</v>
      </c>
      <c r="R2464" s="13">
        <v>0</v>
      </c>
      <c r="S2464" s="13">
        <v>0</v>
      </c>
      <c r="T2464" s="13">
        <v>4282</v>
      </c>
      <c r="U2464" s="13">
        <v>2880</v>
      </c>
      <c r="V2464" s="13">
        <v>0</v>
      </c>
      <c r="W2464" s="37">
        <v>2588</v>
      </c>
      <c r="X2464" s="19"/>
      <c r="AG2464" s="16"/>
    </row>
    <row r="2465" spans="2:33">
      <c r="B2465" s="19"/>
      <c r="P2465" s="16"/>
      <c r="Q2465" s="36" t="s">
        <v>1076</v>
      </c>
      <c r="R2465" s="13">
        <v>0</v>
      </c>
      <c r="S2465" s="13">
        <v>0</v>
      </c>
      <c r="T2465" s="13">
        <v>0</v>
      </c>
      <c r="U2465" s="13">
        <v>1973</v>
      </c>
      <c r="V2465" s="13">
        <v>1333</v>
      </c>
      <c r="W2465" s="37">
        <v>1168</v>
      </c>
      <c r="X2465" s="19"/>
      <c r="AG2465" s="16"/>
    </row>
    <row r="2466" spans="2:33">
      <c r="B2466" s="19"/>
      <c r="P2466" s="16"/>
      <c r="Q2466" s="36" t="s">
        <v>1077</v>
      </c>
      <c r="R2466" s="13">
        <v>0</v>
      </c>
      <c r="S2466" s="13">
        <v>0</v>
      </c>
      <c r="T2466" s="13">
        <v>0</v>
      </c>
      <c r="U2466" s="13">
        <v>2090</v>
      </c>
      <c r="V2466" s="13">
        <v>1387</v>
      </c>
      <c r="W2466" s="37">
        <v>1187</v>
      </c>
      <c r="X2466" s="19"/>
      <c r="AG2466" s="16"/>
    </row>
    <row r="2467" spans="2:33">
      <c r="B2467" s="19"/>
      <c r="P2467" s="16"/>
      <c r="Q2467" s="36" t="s">
        <v>45</v>
      </c>
      <c r="R2467" s="13">
        <v>0</v>
      </c>
      <c r="S2467" s="13">
        <v>2685</v>
      </c>
      <c r="T2467" s="13">
        <v>1798</v>
      </c>
      <c r="U2467" s="13">
        <v>0</v>
      </c>
      <c r="V2467" s="13">
        <v>0</v>
      </c>
      <c r="W2467" s="37">
        <v>2529</v>
      </c>
      <c r="X2467" s="19"/>
      <c r="AG2467" s="16"/>
    </row>
    <row r="2468" spans="2:33" ht="15" thickBot="1">
      <c r="B2468" s="20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5"/>
      <c r="O2468" s="15"/>
      <c r="P2468" s="17"/>
      <c r="Q2468" s="36" t="s">
        <v>46</v>
      </c>
      <c r="R2468" s="13">
        <v>2973</v>
      </c>
      <c r="S2468" s="13">
        <v>1940</v>
      </c>
      <c r="T2468" s="13">
        <v>0</v>
      </c>
      <c r="U2468" s="13">
        <v>0</v>
      </c>
      <c r="V2468" s="13">
        <v>0</v>
      </c>
      <c r="W2468" s="37">
        <v>2345</v>
      </c>
      <c r="X2468" s="20"/>
      <c r="Y2468" s="15"/>
      <c r="Z2468" s="15"/>
      <c r="AA2468" s="15"/>
      <c r="AB2468" s="15"/>
      <c r="AC2468" s="15"/>
      <c r="AD2468" s="15"/>
      <c r="AE2468" s="15"/>
      <c r="AF2468" s="15"/>
      <c r="AG2468" s="17"/>
    </row>
    <row r="2470" spans="2:33" ht="15" thickBot="1">
      <c r="B2470" s="25" t="s">
        <v>974</v>
      </c>
      <c r="C2470" s="26" t="s">
        <v>975</v>
      </c>
      <c r="D2470" s="26" t="s">
        <v>1124</v>
      </c>
      <c r="E2470" s="26" t="s">
        <v>1125</v>
      </c>
      <c r="F2470" s="26" t="s">
        <v>1019</v>
      </c>
      <c r="G2470" s="26" t="s">
        <v>33</v>
      </c>
      <c r="H2470" s="27" t="s">
        <v>33</v>
      </c>
      <c r="I2470" s="26" t="s">
        <v>1126</v>
      </c>
      <c r="J2470" s="27" t="s">
        <v>56</v>
      </c>
      <c r="K2470" s="29">
        <v>10.3900003433228</v>
      </c>
      <c r="L2470" s="29">
        <v>10.3900003433228</v>
      </c>
      <c r="M2470" s="29">
        <v>10.3900003433228</v>
      </c>
      <c r="N2470" s="29">
        <v>0</v>
      </c>
      <c r="O2470" s="29">
        <v>0</v>
      </c>
      <c r="P2470" s="40">
        <v>0</v>
      </c>
      <c r="Q2470" s="1" t="s">
        <v>1127</v>
      </c>
      <c r="R2470" s="2">
        <v>389</v>
      </c>
      <c r="S2470" s="2">
        <v>321</v>
      </c>
      <c r="T2470" s="2">
        <v>20</v>
      </c>
      <c r="U2470" s="2">
        <v>0</v>
      </c>
      <c r="V2470" s="2">
        <v>0</v>
      </c>
      <c r="W2470" s="2">
        <v>0</v>
      </c>
      <c r="X2470" s="43">
        <f>SUM(R2470:W2481)</f>
        <v>7513</v>
      </c>
      <c r="Y2470" s="10">
        <v>46204</v>
      </c>
      <c r="Z2470" s="11">
        <v>0.23933187277221363</v>
      </c>
      <c r="AA2470" s="11">
        <v>0.16281742298052029</v>
      </c>
      <c r="AB2470" s="11">
        <v>0.13509180089791481</v>
      </c>
      <c r="AC2470" s="11"/>
      <c r="AD2470" s="11"/>
      <c r="AE2470" s="11"/>
      <c r="AF2470" s="11">
        <v>0.2</v>
      </c>
      <c r="AG2470" s="11">
        <v>0.23899999999999999</v>
      </c>
    </row>
    <row r="2471" spans="2:33">
      <c r="B2471" s="18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35"/>
      <c r="Q2471" s="36" t="s">
        <v>1128</v>
      </c>
      <c r="R2471" s="13">
        <v>270</v>
      </c>
      <c r="S2471" s="13">
        <v>200</v>
      </c>
      <c r="T2471" s="13">
        <v>12</v>
      </c>
      <c r="U2471" s="13">
        <v>0</v>
      </c>
      <c r="V2471" s="13">
        <v>0</v>
      </c>
      <c r="W2471" s="37">
        <v>0</v>
      </c>
      <c r="X2471" s="18"/>
      <c r="Y2471" s="14"/>
      <c r="Z2471" s="14"/>
      <c r="AA2471" s="14"/>
      <c r="AB2471" s="14"/>
      <c r="AC2471" s="14"/>
      <c r="AD2471" s="14"/>
      <c r="AE2471" s="14"/>
      <c r="AF2471" s="14"/>
      <c r="AG2471" s="35"/>
    </row>
    <row r="2472" spans="2:33">
      <c r="B2472" s="19"/>
      <c r="P2472" s="16"/>
      <c r="Q2472" s="36" t="s">
        <v>1129</v>
      </c>
      <c r="R2472" s="13">
        <v>348</v>
      </c>
      <c r="S2472" s="13">
        <v>266</v>
      </c>
      <c r="T2472" s="13">
        <v>23</v>
      </c>
      <c r="U2472" s="13">
        <v>0</v>
      </c>
      <c r="V2472" s="13">
        <v>0</v>
      </c>
      <c r="W2472" s="37">
        <v>0</v>
      </c>
      <c r="X2472" s="19"/>
      <c r="AG2472" s="16"/>
    </row>
    <row r="2473" spans="2:33">
      <c r="B2473" s="19"/>
      <c r="P2473" s="16"/>
      <c r="Q2473" s="36" t="s">
        <v>1130</v>
      </c>
      <c r="R2473" s="13">
        <v>237</v>
      </c>
      <c r="S2473" s="13">
        <v>196</v>
      </c>
      <c r="T2473" s="13">
        <v>15</v>
      </c>
      <c r="U2473" s="13">
        <v>0</v>
      </c>
      <c r="V2473" s="13">
        <v>0</v>
      </c>
      <c r="W2473" s="37">
        <v>0</v>
      </c>
      <c r="X2473" s="19"/>
      <c r="AG2473" s="16"/>
    </row>
    <row r="2474" spans="2:33">
      <c r="B2474" s="19"/>
      <c r="P2474" s="16"/>
      <c r="Q2474" s="36" t="s">
        <v>1131</v>
      </c>
      <c r="R2474" s="13">
        <v>302</v>
      </c>
      <c r="S2474" s="13">
        <v>240</v>
      </c>
      <c r="T2474" s="13">
        <v>26</v>
      </c>
      <c r="U2474" s="13">
        <v>0</v>
      </c>
      <c r="V2474" s="13">
        <v>0</v>
      </c>
      <c r="W2474" s="37">
        <v>0</v>
      </c>
      <c r="X2474" s="19"/>
      <c r="AG2474" s="16"/>
    </row>
    <row r="2475" spans="2:33">
      <c r="B2475" s="19"/>
      <c r="P2475" s="16"/>
      <c r="Q2475" s="36" t="s">
        <v>1132</v>
      </c>
      <c r="R2475" s="13">
        <v>434</v>
      </c>
      <c r="S2475" s="13">
        <v>354</v>
      </c>
      <c r="T2475" s="13">
        <v>27</v>
      </c>
      <c r="U2475" s="13">
        <v>0</v>
      </c>
      <c r="V2475" s="13">
        <v>0</v>
      </c>
      <c r="W2475" s="37">
        <v>0</v>
      </c>
      <c r="X2475" s="19"/>
      <c r="AG2475" s="16"/>
    </row>
    <row r="2476" spans="2:33">
      <c r="B2476" s="19"/>
      <c r="P2476" s="16"/>
      <c r="Q2476" s="36" t="s">
        <v>1133</v>
      </c>
      <c r="R2476" s="13">
        <v>460</v>
      </c>
      <c r="S2476" s="13">
        <v>379</v>
      </c>
      <c r="T2476" s="13">
        <v>63</v>
      </c>
      <c r="U2476" s="13">
        <v>0</v>
      </c>
      <c r="V2476" s="13">
        <v>0</v>
      </c>
      <c r="W2476" s="37">
        <v>0</v>
      </c>
      <c r="X2476" s="19"/>
      <c r="AG2476" s="16"/>
    </row>
    <row r="2477" spans="2:33">
      <c r="B2477" s="19"/>
      <c r="P2477" s="16"/>
      <c r="Q2477" s="36" t="s">
        <v>1134</v>
      </c>
      <c r="R2477" s="13">
        <v>384</v>
      </c>
      <c r="S2477" s="13">
        <v>296</v>
      </c>
      <c r="T2477" s="13">
        <v>34</v>
      </c>
      <c r="U2477" s="13">
        <v>0</v>
      </c>
      <c r="V2477" s="13">
        <v>0</v>
      </c>
      <c r="W2477" s="37">
        <v>0</v>
      </c>
      <c r="X2477" s="19"/>
      <c r="AG2477" s="16"/>
    </row>
    <row r="2478" spans="2:33">
      <c r="B2478" s="19"/>
      <c r="P2478" s="16"/>
      <c r="Q2478" s="36" t="s">
        <v>1135</v>
      </c>
      <c r="R2478" s="13">
        <v>376</v>
      </c>
      <c r="S2478" s="13">
        <v>313</v>
      </c>
      <c r="T2478" s="13">
        <v>28</v>
      </c>
      <c r="U2478" s="13">
        <v>0</v>
      </c>
      <c r="V2478" s="13">
        <v>0</v>
      </c>
      <c r="W2478" s="37">
        <v>0</v>
      </c>
      <c r="X2478" s="19"/>
      <c r="AG2478" s="16"/>
    </row>
    <row r="2479" spans="2:33">
      <c r="B2479" s="19"/>
      <c r="P2479" s="16"/>
      <c r="Q2479" s="36" t="s">
        <v>97</v>
      </c>
      <c r="R2479" s="13">
        <v>274</v>
      </c>
      <c r="S2479" s="13">
        <v>243</v>
      </c>
      <c r="T2479" s="13">
        <v>27</v>
      </c>
      <c r="U2479" s="13">
        <v>0</v>
      </c>
      <c r="V2479" s="13">
        <v>0</v>
      </c>
      <c r="W2479" s="37">
        <v>0</v>
      </c>
      <c r="X2479" s="19"/>
      <c r="AG2479" s="16"/>
    </row>
    <row r="2480" spans="2:33">
      <c r="B2480" s="19"/>
      <c r="P2480" s="16"/>
      <c r="Q2480" s="36" t="s">
        <v>1136</v>
      </c>
      <c r="R2480" s="13">
        <v>260</v>
      </c>
      <c r="S2480" s="13">
        <v>210</v>
      </c>
      <c r="T2480" s="13">
        <v>24</v>
      </c>
      <c r="U2480" s="13">
        <v>0</v>
      </c>
      <c r="V2480" s="13">
        <v>0</v>
      </c>
      <c r="W2480" s="37">
        <v>0</v>
      </c>
      <c r="X2480" s="19"/>
      <c r="AG2480" s="16"/>
    </row>
    <row r="2481" spans="2:33" ht="15" thickBot="1">
      <c r="B2481" s="20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5"/>
      <c r="O2481" s="15"/>
      <c r="P2481" s="17"/>
      <c r="Q2481" s="36" t="s">
        <v>1137</v>
      </c>
      <c r="R2481" s="13">
        <v>210</v>
      </c>
      <c r="S2481" s="13">
        <v>211</v>
      </c>
      <c r="T2481" s="13">
        <v>41</v>
      </c>
      <c r="U2481" s="13">
        <v>0</v>
      </c>
      <c r="V2481" s="13">
        <v>0</v>
      </c>
      <c r="W2481" s="37">
        <v>0</v>
      </c>
      <c r="X2481" s="20"/>
      <c r="Y2481" s="15"/>
      <c r="Z2481" s="15"/>
      <c r="AA2481" s="15"/>
      <c r="AB2481" s="15"/>
      <c r="AC2481" s="15"/>
      <c r="AD2481" s="15"/>
      <c r="AE2481" s="15"/>
      <c r="AF2481" s="15"/>
      <c r="AG2481" s="17"/>
    </row>
    <row r="2483" spans="2:33" ht="15" thickBot="1">
      <c r="B2483" s="25" t="s">
        <v>974</v>
      </c>
      <c r="C2483" s="26" t="s">
        <v>975</v>
      </c>
      <c r="D2483" s="26" t="s">
        <v>1138</v>
      </c>
      <c r="E2483" s="26" t="s">
        <v>1139</v>
      </c>
      <c r="F2483" s="26" t="s">
        <v>1140</v>
      </c>
      <c r="G2483" s="26" t="s">
        <v>90</v>
      </c>
      <c r="H2483" s="27" t="s">
        <v>90</v>
      </c>
      <c r="I2483" s="26" t="s">
        <v>1141</v>
      </c>
      <c r="J2483" s="27" t="s">
        <v>87</v>
      </c>
      <c r="K2483" s="29">
        <v>22</v>
      </c>
      <c r="L2483" s="29">
        <v>22</v>
      </c>
      <c r="M2483" s="29">
        <v>22</v>
      </c>
      <c r="N2483" s="29">
        <v>22</v>
      </c>
      <c r="O2483" s="29">
        <v>22</v>
      </c>
      <c r="P2483" s="40">
        <v>31</v>
      </c>
      <c r="Q2483" s="1" t="s">
        <v>35</v>
      </c>
      <c r="R2483" s="2">
        <v>1953</v>
      </c>
      <c r="S2483" s="2">
        <v>723</v>
      </c>
      <c r="T2483" s="2">
        <v>0</v>
      </c>
      <c r="U2483" s="2">
        <v>0</v>
      </c>
      <c r="V2483" s="2">
        <v>0</v>
      </c>
      <c r="W2483" s="2">
        <v>882</v>
      </c>
      <c r="X2483" s="43">
        <f>SUM(R2483:W2495)</f>
        <v>32057</v>
      </c>
      <c r="Y2483" s="10">
        <v>46204</v>
      </c>
      <c r="Z2483" s="11">
        <v>0.21915174234314722</v>
      </c>
      <c r="AA2483" s="11">
        <v>0.18274192037163289</v>
      </c>
      <c r="AB2483" s="11">
        <v>0.14726787607165501</v>
      </c>
      <c r="AC2483" s="11">
        <v>0.1287497680516306</v>
      </c>
      <c r="AD2483" s="11">
        <v>0.11447820346270936</v>
      </c>
      <c r="AE2483" s="11">
        <v>0.13149780089791482</v>
      </c>
      <c r="AF2483" s="11">
        <v>0.2</v>
      </c>
      <c r="AG2483" s="11">
        <v>0.23899999999999999</v>
      </c>
    </row>
    <row r="2484" spans="2:33">
      <c r="B2484" s="18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35"/>
      <c r="Q2484" s="36" t="s">
        <v>36</v>
      </c>
      <c r="R2484" s="13">
        <v>1642</v>
      </c>
      <c r="S2484" s="13">
        <v>551</v>
      </c>
      <c r="T2484" s="13">
        <v>0</v>
      </c>
      <c r="U2484" s="13">
        <v>0</v>
      </c>
      <c r="V2484" s="13">
        <v>0</v>
      </c>
      <c r="W2484" s="37">
        <v>727</v>
      </c>
      <c r="X2484" s="18"/>
      <c r="Y2484" s="14"/>
      <c r="Z2484" s="14"/>
      <c r="AA2484" s="14"/>
      <c r="AB2484" s="14"/>
      <c r="AC2484" s="14"/>
      <c r="AD2484" s="14"/>
      <c r="AE2484" s="14"/>
      <c r="AF2484" s="14"/>
      <c r="AG2484" s="35"/>
    </row>
    <row r="2485" spans="2:33">
      <c r="B2485" s="19"/>
      <c r="P2485" s="16"/>
      <c r="Q2485" s="36" t="s">
        <v>37</v>
      </c>
      <c r="R2485" s="13">
        <v>0</v>
      </c>
      <c r="S2485" s="13">
        <v>1432</v>
      </c>
      <c r="T2485" s="13">
        <v>510</v>
      </c>
      <c r="U2485" s="13">
        <v>0</v>
      </c>
      <c r="V2485" s="13">
        <v>0</v>
      </c>
      <c r="W2485" s="37">
        <v>831</v>
      </c>
      <c r="X2485" s="19"/>
      <c r="AG2485" s="16"/>
    </row>
    <row r="2486" spans="2:33">
      <c r="B2486" s="19"/>
      <c r="P2486" s="16"/>
      <c r="Q2486" s="36" t="s">
        <v>38</v>
      </c>
      <c r="R2486" s="13">
        <v>0</v>
      </c>
      <c r="S2486" s="13">
        <v>0</v>
      </c>
      <c r="T2486" s="13">
        <v>0</v>
      </c>
      <c r="U2486" s="13">
        <v>1258</v>
      </c>
      <c r="V2486" s="13">
        <v>467</v>
      </c>
      <c r="W2486" s="37">
        <v>635</v>
      </c>
      <c r="X2486" s="19"/>
      <c r="AG2486" s="16"/>
    </row>
    <row r="2487" spans="2:33">
      <c r="B2487" s="19"/>
      <c r="P2487" s="16"/>
      <c r="Q2487" s="36" t="s">
        <v>39</v>
      </c>
      <c r="R2487" s="13">
        <v>0</v>
      </c>
      <c r="S2487" s="13">
        <v>0</v>
      </c>
      <c r="T2487" s="13">
        <v>0</v>
      </c>
      <c r="U2487" s="13">
        <v>1225</v>
      </c>
      <c r="V2487" s="13">
        <v>467</v>
      </c>
      <c r="W2487" s="37">
        <v>529</v>
      </c>
      <c r="X2487" s="19"/>
      <c r="AG2487" s="16"/>
    </row>
    <row r="2488" spans="2:33">
      <c r="B2488" s="19"/>
      <c r="P2488" s="16"/>
      <c r="Q2488" s="36" t="s">
        <v>40</v>
      </c>
      <c r="R2488" s="13">
        <v>0</v>
      </c>
      <c r="S2488" s="13">
        <v>0</v>
      </c>
      <c r="T2488" s="13">
        <v>1449</v>
      </c>
      <c r="U2488" s="13">
        <v>517</v>
      </c>
      <c r="V2488" s="13">
        <v>0</v>
      </c>
      <c r="W2488" s="37">
        <v>456</v>
      </c>
      <c r="X2488" s="19"/>
      <c r="AG2488" s="16"/>
    </row>
    <row r="2489" spans="2:33">
      <c r="B2489" s="19"/>
      <c r="P2489" s="16"/>
      <c r="Q2489" s="36" t="s">
        <v>41</v>
      </c>
      <c r="R2489" s="13">
        <v>1742</v>
      </c>
      <c r="S2489" s="13">
        <v>680</v>
      </c>
      <c r="T2489" s="13">
        <v>0</v>
      </c>
      <c r="U2489" s="13">
        <v>0</v>
      </c>
      <c r="V2489" s="13">
        <v>0</v>
      </c>
      <c r="W2489" s="37">
        <v>496</v>
      </c>
      <c r="X2489" s="19"/>
      <c r="AG2489" s="16"/>
    </row>
    <row r="2490" spans="2:33">
      <c r="B2490" s="19"/>
      <c r="P2490" s="16"/>
      <c r="Q2490" s="36" t="s">
        <v>42</v>
      </c>
      <c r="R2490" s="13">
        <v>0</v>
      </c>
      <c r="S2490" s="13">
        <v>0</v>
      </c>
      <c r="T2490" s="13">
        <v>1636</v>
      </c>
      <c r="U2490" s="13">
        <v>641</v>
      </c>
      <c r="V2490" s="13">
        <v>0</v>
      </c>
      <c r="W2490" s="37">
        <v>575</v>
      </c>
      <c r="X2490" s="19"/>
      <c r="AG2490" s="16"/>
    </row>
    <row r="2491" spans="2:33">
      <c r="B2491" s="19"/>
      <c r="P2491" s="16"/>
      <c r="Q2491" s="36" t="s">
        <v>43</v>
      </c>
      <c r="R2491" s="13">
        <v>0</v>
      </c>
      <c r="S2491" s="13">
        <v>0</v>
      </c>
      <c r="T2491" s="13">
        <v>1449</v>
      </c>
      <c r="U2491" s="13">
        <v>522</v>
      </c>
      <c r="V2491" s="13">
        <v>0</v>
      </c>
      <c r="W2491" s="37">
        <v>522</v>
      </c>
      <c r="X2491" s="19"/>
      <c r="AG2491" s="16"/>
    </row>
    <row r="2492" spans="2:33">
      <c r="B2492" s="19"/>
      <c r="P2492" s="16"/>
      <c r="Q2492" s="36" t="s">
        <v>1142</v>
      </c>
      <c r="R2492" s="13">
        <v>0</v>
      </c>
      <c r="S2492" s="13">
        <v>0</v>
      </c>
      <c r="T2492" s="13">
        <v>0</v>
      </c>
      <c r="U2492" s="13">
        <v>723</v>
      </c>
      <c r="V2492" s="13">
        <v>268</v>
      </c>
      <c r="W2492" s="37">
        <v>292</v>
      </c>
      <c r="X2492" s="19"/>
      <c r="AG2492" s="16"/>
    </row>
    <row r="2493" spans="2:33">
      <c r="B2493" s="19"/>
      <c r="P2493" s="16"/>
      <c r="Q2493" s="36" t="s">
        <v>1143</v>
      </c>
      <c r="R2493" s="13">
        <v>0</v>
      </c>
      <c r="S2493" s="13">
        <v>0</v>
      </c>
      <c r="T2493" s="13">
        <v>0</v>
      </c>
      <c r="U2493" s="13">
        <v>656</v>
      </c>
      <c r="V2493" s="13">
        <v>236</v>
      </c>
      <c r="W2493" s="37">
        <v>266</v>
      </c>
      <c r="X2493" s="19"/>
      <c r="AG2493" s="16"/>
    </row>
    <row r="2494" spans="2:33">
      <c r="B2494" s="19"/>
      <c r="P2494" s="16"/>
      <c r="Q2494" s="36" t="s">
        <v>45</v>
      </c>
      <c r="R2494" s="13">
        <v>0</v>
      </c>
      <c r="S2494" s="13">
        <v>1262</v>
      </c>
      <c r="T2494" s="13">
        <v>419</v>
      </c>
      <c r="U2494" s="13">
        <v>0</v>
      </c>
      <c r="V2494" s="13">
        <v>0</v>
      </c>
      <c r="W2494" s="37">
        <v>642</v>
      </c>
      <c r="X2494" s="19"/>
      <c r="AG2494" s="16"/>
    </row>
    <row r="2495" spans="2:33" ht="15" thickBot="1">
      <c r="B2495" s="20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5"/>
      <c r="O2495" s="15"/>
      <c r="P2495" s="17"/>
      <c r="Q2495" s="36" t="s">
        <v>46</v>
      </c>
      <c r="R2495" s="13">
        <v>1638</v>
      </c>
      <c r="S2495" s="13">
        <v>518</v>
      </c>
      <c r="T2495" s="13">
        <v>0</v>
      </c>
      <c r="U2495" s="13">
        <v>0</v>
      </c>
      <c r="V2495" s="13">
        <v>0</v>
      </c>
      <c r="W2495" s="37">
        <v>620</v>
      </c>
      <c r="X2495" s="20"/>
      <c r="Y2495" s="15"/>
      <c r="Z2495" s="15"/>
      <c r="AA2495" s="15"/>
      <c r="AB2495" s="15"/>
      <c r="AC2495" s="15"/>
      <c r="AD2495" s="15"/>
      <c r="AE2495" s="15"/>
      <c r="AF2495" s="15"/>
      <c r="AG2495" s="17"/>
    </row>
    <row r="2497" spans="2:33" ht="15" thickBot="1">
      <c r="B2497" s="25" t="s">
        <v>974</v>
      </c>
      <c r="C2497" s="26" t="s">
        <v>975</v>
      </c>
      <c r="D2497" s="26" t="s">
        <v>1144</v>
      </c>
      <c r="E2497" s="26" t="s">
        <v>1145</v>
      </c>
      <c r="F2497" s="26" t="s">
        <v>1048</v>
      </c>
      <c r="G2497" s="26" t="s">
        <v>703</v>
      </c>
      <c r="H2497" s="27" t="s">
        <v>704</v>
      </c>
      <c r="I2497" s="26" t="s">
        <v>1146</v>
      </c>
      <c r="J2497" s="27" t="s">
        <v>56</v>
      </c>
      <c r="K2497" s="29">
        <v>1.1499999761581401</v>
      </c>
      <c r="L2497" s="29">
        <v>1.1499999761581401</v>
      </c>
      <c r="M2497" s="29">
        <v>1.1499999761581401</v>
      </c>
      <c r="N2497" s="29">
        <v>0</v>
      </c>
      <c r="O2497" s="29">
        <v>0</v>
      </c>
      <c r="P2497" s="40">
        <v>0</v>
      </c>
      <c r="Q2497" s="1" t="s">
        <v>1147</v>
      </c>
      <c r="R2497" s="2">
        <v>3</v>
      </c>
      <c r="S2497" s="2">
        <v>4</v>
      </c>
      <c r="T2497" s="2">
        <v>5</v>
      </c>
      <c r="U2497" s="2">
        <v>0</v>
      </c>
      <c r="V2497" s="2">
        <v>0</v>
      </c>
      <c r="W2497" s="2">
        <v>0</v>
      </c>
      <c r="X2497" s="43">
        <f>SUM(R2497:W2509)</f>
        <v>168.08999996632338</v>
      </c>
      <c r="Y2497" s="10">
        <v>46204</v>
      </c>
      <c r="Z2497" s="11">
        <v>0.23933187277221363</v>
      </c>
      <c r="AA2497" s="11">
        <v>0.16281742298052029</v>
      </c>
      <c r="AB2497" s="11">
        <v>0.13509180089791481</v>
      </c>
      <c r="AC2497" s="11"/>
      <c r="AD2497" s="11"/>
      <c r="AE2497" s="11"/>
      <c r="AF2497" s="11">
        <v>0.2</v>
      </c>
      <c r="AG2497" s="11">
        <v>0.23899999999999999</v>
      </c>
    </row>
    <row r="2498" spans="2:33">
      <c r="B2498" s="18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35"/>
      <c r="Q2498" s="36" t="s">
        <v>1148</v>
      </c>
      <c r="R2498" s="13">
        <v>4</v>
      </c>
      <c r="S2498" s="13">
        <v>3</v>
      </c>
      <c r="T2498" s="13">
        <v>7</v>
      </c>
      <c r="U2498" s="13">
        <v>0</v>
      </c>
      <c r="V2498" s="13">
        <v>0</v>
      </c>
      <c r="W2498" s="37">
        <v>0</v>
      </c>
      <c r="X2498" s="18"/>
      <c r="Y2498" s="14"/>
      <c r="Z2498" s="14"/>
      <c r="AA2498" s="14"/>
      <c r="AB2498" s="14"/>
      <c r="AC2498" s="14"/>
      <c r="AD2498" s="14"/>
      <c r="AE2498" s="14"/>
      <c r="AF2498" s="14"/>
      <c r="AG2498" s="35"/>
    </row>
    <row r="2499" spans="2:33">
      <c r="B2499" s="19"/>
      <c r="P2499" s="16"/>
      <c r="Q2499" s="36" t="s">
        <v>1149</v>
      </c>
      <c r="R2499" s="13">
        <v>3</v>
      </c>
      <c r="S2499" s="13">
        <v>3</v>
      </c>
      <c r="T2499" s="13">
        <v>6</v>
      </c>
      <c r="U2499" s="13">
        <v>0</v>
      </c>
      <c r="V2499" s="13">
        <v>0</v>
      </c>
      <c r="W2499" s="37">
        <v>0</v>
      </c>
      <c r="X2499" s="19"/>
      <c r="AG2499" s="16"/>
    </row>
    <row r="2500" spans="2:33">
      <c r="B2500" s="19"/>
      <c r="P2500" s="16"/>
      <c r="Q2500" s="36" t="s">
        <v>1150</v>
      </c>
      <c r="R2500" s="13">
        <v>0.9100000262260437</v>
      </c>
      <c r="S2500" s="13">
        <v>1.059999942779541</v>
      </c>
      <c r="T2500" s="13">
        <v>0.11999999731779099</v>
      </c>
      <c r="U2500" s="13">
        <v>0</v>
      </c>
      <c r="V2500" s="13">
        <v>0</v>
      </c>
      <c r="W2500" s="37">
        <v>0</v>
      </c>
      <c r="X2500" s="19"/>
      <c r="AG2500" s="16"/>
    </row>
    <row r="2501" spans="2:33">
      <c r="B2501" s="19"/>
      <c r="P2501" s="16"/>
      <c r="Q2501" s="36" t="s">
        <v>1151</v>
      </c>
      <c r="R2501" s="13">
        <v>3</v>
      </c>
      <c r="S2501" s="13">
        <v>3</v>
      </c>
      <c r="T2501" s="13">
        <v>9</v>
      </c>
      <c r="U2501" s="13">
        <v>0</v>
      </c>
      <c r="V2501" s="13">
        <v>0</v>
      </c>
      <c r="W2501" s="37">
        <v>0</v>
      </c>
      <c r="X2501" s="19"/>
      <c r="AG2501" s="16"/>
    </row>
    <row r="2502" spans="2:33">
      <c r="B2502" s="19"/>
      <c r="P2502" s="16"/>
      <c r="Q2502" s="36" t="s">
        <v>104</v>
      </c>
      <c r="R2502" s="13">
        <v>4</v>
      </c>
      <c r="S2502" s="13">
        <v>2</v>
      </c>
      <c r="T2502" s="13">
        <v>7</v>
      </c>
      <c r="U2502" s="13">
        <v>0</v>
      </c>
      <c r="V2502" s="13">
        <v>0</v>
      </c>
      <c r="W2502" s="37">
        <v>0</v>
      </c>
      <c r="X2502" s="19"/>
      <c r="AG2502" s="16"/>
    </row>
    <row r="2503" spans="2:33">
      <c r="B2503" s="19"/>
      <c r="P2503" s="16"/>
      <c r="Q2503" s="36" t="s">
        <v>1152</v>
      </c>
      <c r="R2503" s="13">
        <v>4</v>
      </c>
      <c r="S2503" s="13">
        <v>3</v>
      </c>
      <c r="T2503" s="13">
        <v>6</v>
      </c>
      <c r="U2503" s="13">
        <v>0</v>
      </c>
      <c r="V2503" s="13">
        <v>0</v>
      </c>
      <c r="W2503" s="37">
        <v>0</v>
      </c>
      <c r="X2503" s="19"/>
      <c r="AG2503" s="16"/>
    </row>
    <row r="2504" spans="2:33">
      <c r="B2504" s="19"/>
      <c r="P2504" s="16"/>
      <c r="Q2504" s="36" t="s">
        <v>60</v>
      </c>
      <c r="R2504" s="13">
        <v>3</v>
      </c>
      <c r="S2504" s="13">
        <v>4</v>
      </c>
      <c r="T2504" s="13">
        <v>8</v>
      </c>
      <c r="U2504" s="13">
        <v>0</v>
      </c>
      <c r="V2504" s="13">
        <v>0</v>
      </c>
      <c r="W2504" s="37">
        <v>0</v>
      </c>
      <c r="X2504" s="19"/>
      <c r="AG2504" s="16"/>
    </row>
    <row r="2505" spans="2:33">
      <c r="B2505" s="19"/>
      <c r="P2505" s="16"/>
      <c r="Q2505" s="36" t="s">
        <v>61</v>
      </c>
      <c r="R2505" s="13">
        <v>4</v>
      </c>
      <c r="S2505" s="13">
        <v>3</v>
      </c>
      <c r="T2505" s="13">
        <v>6</v>
      </c>
      <c r="U2505" s="13">
        <v>0</v>
      </c>
      <c r="V2505" s="13">
        <v>0</v>
      </c>
      <c r="W2505" s="37">
        <v>0</v>
      </c>
      <c r="X2505" s="19"/>
      <c r="AG2505" s="16"/>
    </row>
    <row r="2506" spans="2:33">
      <c r="B2506" s="19"/>
      <c r="P2506" s="16"/>
      <c r="Q2506" s="36" t="s">
        <v>62</v>
      </c>
      <c r="R2506" s="13">
        <v>4</v>
      </c>
      <c r="S2506" s="13">
        <v>3</v>
      </c>
      <c r="T2506" s="13">
        <v>8</v>
      </c>
      <c r="U2506" s="13">
        <v>0</v>
      </c>
      <c r="V2506" s="13">
        <v>0</v>
      </c>
      <c r="W2506" s="37">
        <v>0</v>
      </c>
      <c r="X2506" s="19"/>
      <c r="AG2506" s="16"/>
    </row>
    <row r="2507" spans="2:33">
      <c r="B2507" s="19"/>
      <c r="P2507" s="16"/>
      <c r="Q2507" s="36" t="s">
        <v>63</v>
      </c>
      <c r="R2507" s="13">
        <v>4</v>
      </c>
      <c r="S2507" s="13">
        <v>4</v>
      </c>
      <c r="T2507" s="13">
        <v>6</v>
      </c>
      <c r="U2507" s="13">
        <v>0</v>
      </c>
      <c r="V2507" s="13">
        <v>0</v>
      </c>
      <c r="W2507" s="37">
        <v>0</v>
      </c>
      <c r="X2507" s="19"/>
      <c r="AG2507" s="16"/>
    </row>
    <row r="2508" spans="2:33">
      <c r="B2508" s="19"/>
      <c r="P2508" s="16"/>
      <c r="Q2508" s="36" t="s">
        <v>1153</v>
      </c>
      <c r="R2508" s="13">
        <v>5</v>
      </c>
      <c r="S2508" s="13">
        <v>3</v>
      </c>
      <c r="T2508" s="13">
        <v>6</v>
      </c>
      <c r="U2508" s="13">
        <v>0</v>
      </c>
      <c r="V2508" s="13">
        <v>0</v>
      </c>
      <c r="W2508" s="37">
        <v>0</v>
      </c>
      <c r="X2508" s="19"/>
      <c r="AG2508" s="16"/>
    </row>
    <row r="2509" spans="2:33" ht="15" thickBot="1">
      <c r="B2509" s="20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5"/>
      <c r="O2509" s="15"/>
      <c r="P2509" s="17"/>
      <c r="Q2509" s="36" t="s">
        <v>1154</v>
      </c>
      <c r="R2509" s="13">
        <v>4</v>
      </c>
      <c r="S2509" s="13">
        <v>3</v>
      </c>
      <c r="T2509" s="13">
        <v>9</v>
      </c>
      <c r="U2509" s="13">
        <v>0</v>
      </c>
      <c r="V2509" s="13">
        <v>0</v>
      </c>
      <c r="W2509" s="37">
        <v>0</v>
      </c>
      <c r="X2509" s="20"/>
      <c r="Y2509" s="15"/>
      <c r="Z2509" s="15"/>
      <c r="AA2509" s="15"/>
      <c r="AB2509" s="15"/>
      <c r="AC2509" s="15"/>
      <c r="AD2509" s="15"/>
      <c r="AE2509" s="15"/>
      <c r="AF2509" s="15"/>
      <c r="AG2509" s="17"/>
    </row>
    <row r="2511" spans="2:33" ht="15" thickBot="1">
      <c r="B2511" s="25" t="s">
        <v>974</v>
      </c>
      <c r="C2511" s="26" t="s">
        <v>975</v>
      </c>
      <c r="D2511" s="26" t="s">
        <v>1155</v>
      </c>
      <c r="E2511" s="26" t="s">
        <v>1051</v>
      </c>
      <c r="F2511" s="26" t="s">
        <v>1052</v>
      </c>
      <c r="G2511" s="26" t="s">
        <v>55</v>
      </c>
      <c r="H2511" s="27" t="s">
        <v>55</v>
      </c>
      <c r="I2511" s="26" t="s">
        <v>1156</v>
      </c>
      <c r="J2511" s="27" t="s">
        <v>56</v>
      </c>
      <c r="K2511" s="29">
        <v>11.951000213623001</v>
      </c>
      <c r="L2511" s="29">
        <v>11.951000213623001</v>
      </c>
      <c r="M2511" s="29">
        <v>11.951000213623001</v>
      </c>
      <c r="N2511" s="29">
        <v>0</v>
      </c>
      <c r="O2511" s="29">
        <v>0</v>
      </c>
      <c r="P2511" s="40">
        <v>0</v>
      </c>
      <c r="Q2511" s="1" t="s">
        <v>1107</v>
      </c>
      <c r="R2511" s="2">
        <v>556</v>
      </c>
      <c r="S2511" s="2">
        <v>271</v>
      </c>
      <c r="T2511" s="2">
        <v>193</v>
      </c>
      <c r="U2511" s="2">
        <v>0</v>
      </c>
      <c r="V2511" s="2">
        <v>0</v>
      </c>
      <c r="W2511" s="2">
        <v>0</v>
      </c>
      <c r="X2511" s="43">
        <f>SUM(R2511:W2522)</f>
        <v>8536</v>
      </c>
      <c r="Y2511" s="10">
        <v>46204</v>
      </c>
      <c r="Z2511" s="11">
        <v>0.23933187277221363</v>
      </c>
      <c r="AA2511" s="11">
        <v>0.16281742298052029</v>
      </c>
      <c r="AB2511" s="11">
        <v>0.13509180089791481</v>
      </c>
      <c r="AC2511" s="11"/>
      <c r="AD2511" s="11"/>
      <c r="AE2511" s="11"/>
      <c r="AF2511" s="11">
        <v>0.2</v>
      </c>
      <c r="AG2511" s="11">
        <v>0.23899999999999999</v>
      </c>
    </row>
    <row r="2512" spans="2:33">
      <c r="B2512" s="18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35"/>
      <c r="Q2512" s="36" t="s">
        <v>1108</v>
      </c>
      <c r="R2512" s="13">
        <v>303</v>
      </c>
      <c r="S2512" s="13">
        <v>149</v>
      </c>
      <c r="T2512" s="13">
        <v>102</v>
      </c>
      <c r="U2512" s="13">
        <v>0</v>
      </c>
      <c r="V2512" s="13">
        <v>0</v>
      </c>
      <c r="W2512" s="37">
        <v>0</v>
      </c>
      <c r="X2512" s="18"/>
      <c r="Y2512" s="14"/>
      <c r="Z2512" s="14"/>
      <c r="AA2512" s="14"/>
      <c r="AB2512" s="14"/>
      <c r="AC2512" s="14"/>
      <c r="AD2512" s="14"/>
      <c r="AE2512" s="14"/>
      <c r="AF2512" s="14"/>
      <c r="AG2512" s="35"/>
    </row>
    <row r="2513" spans="2:33">
      <c r="B2513" s="19"/>
      <c r="P2513" s="16"/>
      <c r="Q2513" s="36" t="s">
        <v>1109</v>
      </c>
      <c r="R2513" s="13">
        <v>342</v>
      </c>
      <c r="S2513" s="13">
        <v>168</v>
      </c>
      <c r="T2513" s="13">
        <v>137</v>
      </c>
      <c r="U2513" s="13">
        <v>0</v>
      </c>
      <c r="V2513" s="13">
        <v>0</v>
      </c>
      <c r="W2513" s="37">
        <v>0</v>
      </c>
      <c r="X2513" s="19"/>
      <c r="AG2513" s="16"/>
    </row>
    <row r="2514" spans="2:33">
      <c r="B2514" s="19"/>
      <c r="P2514" s="16"/>
      <c r="Q2514" s="36" t="s">
        <v>1110</v>
      </c>
      <c r="R2514" s="13">
        <v>249</v>
      </c>
      <c r="S2514" s="13">
        <v>111</v>
      </c>
      <c r="T2514" s="13">
        <v>148</v>
      </c>
      <c r="U2514" s="13">
        <v>0</v>
      </c>
      <c r="V2514" s="13">
        <v>0</v>
      </c>
      <c r="W2514" s="37">
        <v>0</v>
      </c>
      <c r="X2514" s="19"/>
      <c r="AG2514" s="16"/>
    </row>
    <row r="2515" spans="2:33">
      <c r="B2515" s="19"/>
      <c r="P2515" s="16"/>
      <c r="Q2515" s="36" t="s">
        <v>1111</v>
      </c>
      <c r="R2515" s="13">
        <v>304</v>
      </c>
      <c r="S2515" s="13">
        <v>147</v>
      </c>
      <c r="T2515" s="13">
        <v>126</v>
      </c>
      <c r="U2515" s="13">
        <v>0</v>
      </c>
      <c r="V2515" s="13">
        <v>0</v>
      </c>
      <c r="W2515" s="37">
        <v>0</v>
      </c>
      <c r="X2515" s="19"/>
      <c r="AG2515" s="16"/>
    </row>
    <row r="2516" spans="2:33">
      <c r="B2516" s="19"/>
      <c r="P2516" s="16"/>
      <c r="Q2516" s="36" t="s">
        <v>1157</v>
      </c>
      <c r="R2516" s="13">
        <v>474</v>
      </c>
      <c r="S2516" s="13">
        <v>254</v>
      </c>
      <c r="T2516" s="13">
        <v>131</v>
      </c>
      <c r="U2516" s="13">
        <v>0</v>
      </c>
      <c r="V2516" s="13">
        <v>0</v>
      </c>
      <c r="W2516" s="37">
        <v>0</v>
      </c>
      <c r="X2516" s="19"/>
      <c r="AG2516" s="16"/>
    </row>
    <row r="2517" spans="2:33">
      <c r="B2517" s="19"/>
      <c r="P2517" s="16"/>
      <c r="Q2517" s="36" t="s">
        <v>1158</v>
      </c>
      <c r="R2517" s="13">
        <v>530</v>
      </c>
      <c r="S2517" s="13">
        <v>289</v>
      </c>
      <c r="T2517" s="13">
        <v>155</v>
      </c>
      <c r="U2517" s="13">
        <v>0</v>
      </c>
      <c r="V2517" s="13">
        <v>0</v>
      </c>
      <c r="W2517" s="37">
        <v>0</v>
      </c>
      <c r="X2517" s="19"/>
      <c r="AG2517" s="16"/>
    </row>
    <row r="2518" spans="2:33">
      <c r="B2518" s="19"/>
      <c r="P2518" s="16"/>
      <c r="Q2518" s="36" t="s">
        <v>1159</v>
      </c>
      <c r="R2518" s="13">
        <v>293</v>
      </c>
      <c r="S2518" s="13">
        <v>139</v>
      </c>
      <c r="T2518" s="13">
        <v>68</v>
      </c>
      <c r="U2518" s="13">
        <v>0</v>
      </c>
      <c r="V2518" s="13">
        <v>0</v>
      </c>
      <c r="W2518" s="37">
        <v>0</v>
      </c>
      <c r="X2518" s="19"/>
      <c r="AG2518" s="16"/>
    </row>
    <row r="2519" spans="2:33">
      <c r="B2519" s="19"/>
      <c r="P2519" s="16"/>
      <c r="Q2519" s="36" t="s">
        <v>57</v>
      </c>
      <c r="R2519" s="13">
        <v>298</v>
      </c>
      <c r="S2519" s="13">
        <v>127</v>
      </c>
      <c r="T2519" s="13">
        <v>146</v>
      </c>
      <c r="U2519" s="13">
        <v>0</v>
      </c>
      <c r="V2519" s="13">
        <v>0</v>
      </c>
      <c r="W2519" s="37">
        <v>0</v>
      </c>
      <c r="X2519" s="19"/>
      <c r="AG2519" s="16"/>
    </row>
    <row r="2520" spans="2:33">
      <c r="B2520" s="19"/>
      <c r="P2520" s="16"/>
      <c r="Q2520" s="36" t="s">
        <v>1160</v>
      </c>
      <c r="R2520" s="13">
        <v>312</v>
      </c>
      <c r="S2520" s="13">
        <v>129</v>
      </c>
      <c r="T2520" s="13">
        <v>105</v>
      </c>
      <c r="U2520" s="13">
        <v>0</v>
      </c>
      <c r="V2520" s="13">
        <v>0</v>
      </c>
      <c r="W2520" s="37">
        <v>0</v>
      </c>
      <c r="X2520" s="19"/>
      <c r="AG2520" s="16"/>
    </row>
    <row r="2521" spans="2:33">
      <c r="B2521" s="19"/>
      <c r="P2521" s="16"/>
      <c r="Q2521" s="36" t="s">
        <v>408</v>
      </c>
      <c r="R2521" s="13">
        <v>328</v>
      </c>
      <c r="S2521" s="13">
        <v>148</v>
      </c>
      <c r="T2521" s="13">
        <v>108</v>
      </c>
      <c r="U2521" s="13">
        <v>0</v>
      </c>
      <c r="V2521" s="13">
        <v>0</v>
      </c>
      <c r="W2521" s="37">
        <v>0</v>
      </c>
      <c r="X2521" s="19"/>
      <c r="AG2521" s="16"/>
    </row>
    <row r="2522" spans="2:33" ht="15" thickBot="1">
      <c r="B2522" s="20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5"/>
      <c r="O2522" s="15"/>
      <c r="P2522" s="17"/>
      <c r="Q2522" s="36" t="s">
        <v>294</v>
      </c>
      <c r="R2522" s="13">
        <v>618</v>
      </c>
      <c r="S2522" s="13">
        <v>334</v>
      </c>
      <c r="T2522" s="13">
        <v>244</v>
      </c>
      <c r="U2522" s="13">
        <v>0</v>
      </c>
      <c r="V2522" s="13">
        <v>0</v>
      </c>
      <c r="W2522" s="37">
        <v>0</v>
      </c>
      <c r="X2522" s="20"/>
      <c r="Y2522" s="15"/>
      <c r="Z2522" s="15"/>
      <c r="AA2522" s="15"/>
      <c r="AB2522" s="15"/>
      <c r="AC2522" s="15"/>
      <c r="AD2522" s="15"/>
      <c r="AE2522" s="15"/>
      <c r="AF2522" s="15"/>
      <c r="AG2522" s="17"/>
    </row>
    <row r="2524" spans="2:33" ht="15" thickBot="1">
      <c r="B2524" s="25" t="s">
        <v>974</v>
      </c>
      <c r="C2524" s="26" t="s">
        <v>1161</v>
      </c>
      <c r="D2524" s="26" t="s">
        <v>1162</v>
      </c>
      <c r="E2524" s="26" t="s">
        <v>1163</v>
      </c>
      <c r="F2524" s="26" t="s">
        <v>1164</v>
      </c>
      <c r="G2524" s="26" t="s">
        <v>821</v>
      </c>
      <c r="H2524" s="27" t="s">
        <v>821</v>
      </c>
      <c r="I2524" s="26" t="s">
        <v>1165</v>
      </c>
      <c r="J2524" s="27" t="s">
        <v>56</v>
      </c>
      <c r="K2524" s="29">
        <v>4.2719998359680202</v>
      </c>
      <c r="L2524" s="29">
        <v>0</v>
      </c>
      <c r="M2524" s="29">
        <v>4.2719998359680202</v>
      </c>
      <c r="N2524" s="29">
        <v>0</v>
      </c>
      <c r="O2524" s="29">
        <v>0</v>
      </c>
      <c r="P2524" s="40">
        <v>0</v>
      </c>
      <c r="Q2524" s="1" t="s">
        <v>1166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43">
        <f>SUM(R2524:W2535)</f>
        <v>0</v>
      </c>
      <c r="Y2524" s="10">
        <v>46204</v>
      </c>
      <c r="Z2524" s="11">
        <v>0.23933187277221363</v>
      </c>
      <c r="AA2524" s="11">
        <v>0.16281742298052029</v>
      </c>
      <c r="AB2524" s="11">
        <v>0.13509180089791481</v>
      </c>
      <c r="AC2524" s="11"/>
      <c r="AD2524" s="11"/>
      <c r="AE2524" s="11"/>
      <c r="AF2524" s="11">
        <v>0.2</v>
      </c>
      <c r="AG2524" s="11">
        <v>0.23899999999999999</v>
      </c>
    </row>
    <row r="2525" spans="2:33">
      <c r="B2525" s="18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35"/>
      <c r="Q2525" s="36" t="s">
        <v>36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37">
        <v>0</v>
      </c>
      <c r="X2525" s="18"/>
      <c r="Y2525" s="14"/>
      <c r="Z2525" s="14"/>
      <c r="AA2525" s="14"/>
      <c r="AB2525" s="14"/>
      <c r="AC2525" s="14"/>
      <c r="AD2525" s="14"/>
      <c r="AE2525" s="14"/>
      <c r="AF2525" s="14"/>
      <c r="AG2525" s="35"/>
    </row>
    <row r="2526" spans="2:33">
      <c r="B2526" s="19"/>
      <c r="P2526" s="16"/>
      <c r="Q2526" s="36" t="s">
        <v>1167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37">
        <v>0</v>
      </c>
      <c r="X2526" s="19"/>
      <c r="AG2526" s="16"/>
    </row>
    <row r="2527" spans="2:33">
      <c r="B2527" s="19"/>
      <c r="P2527" s="16"/>
      <c r="Q2527" s="36" t="s">
        <v>1168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37">
        <v>0</v>
      </c>
      <c r="X2527" s="19"/>
      <c r="AG2527" s="16"/>
    </row>
    <row r="2528" spans="2:33">
      <c r="B2528" s="19"/>
      <c r="P2528" s="16"/>
      <c r="Q2528" s="36" t="s">
        <v>1169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37">
        <v>0</v>
      </c>
      <c r="X2528" s="19"/>
      <c r="AG2528" s="16"/>
    </row>
    <row r="2529" spans="2:33">
      <c r="B2529" s="19"/>
      <c r="P2529" s="16"/>
      <c r="Q2529" s="36" t="s">
        <v>1170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37">
        <v>0</v>
      </c>
      <c r="X2529" s="19"/>
      <c r="AG2529" s="16"/>
    </row>
    <row r="2530" spans="2:33">
      <c r="B2530" s="19"/>
      <c r="P2530" s="16"/>
      <c r="Q2530" s="36" t="s">
        <v>1171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37">
        <v>0</v>
      </c>
      <c r="X2530" s="19"/>
      <c r="AG2530" s="16"/>
    </row>
    <row r="2531" spans="2:33">
      <c r="B2531" s="19"/>
      <c r="P2531" s="16"/>
      <c r="Q2531" s="36" t="s">
        <v>1172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37">
        <v>0</v>
      </c>
      <c r="X2531" s="19"/>
      <c r="AG2531" s="16"/>
    </row>
    <row r="2532" spans="2:33">
      <c r="B2532" s="19"/>
      <c r="P2532" s="16"/>
      <c r="Q2532" s="36" t="s">
        <v>1173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37">
        <v>0</v>
      </c>
      <c r="X2532" s="19"/>
      <c r="AG2532" s="16"/>
    </row>
    <row r="2533" spans="2:33">
      <c r="B2533" s="19"/>
      <c r="P2533" s="16"/>
      <c r="Q2533" s="36" t="s">
        <v>1174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37">
        <v>0</v>
      </c>
      <c r="X2533" s="19"/>
      <c r="AG2533" s="16"/>
    </row>
    <row r="2534" spans="2:33">
      <c r="B2534" s="19"/>
      <c r="P2534" s="16"/>
      <c r="Q2534" s="36" t="s">
        <v>1175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37">
        <v>0</v>
      </c>
      <c r="X2534" s="19"/>
      <c r="AG2534" s="16"/>
    </row>
    <row r="2535" spans="2:33" ht="15" thickBot="1">
      <c r="B2535" s="20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5"/>
      <c r="O2535" s="15"/>
      <c r="P2535" s="17"/>
      <c r="Q2535" s="36" t="s">
        <v>1176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37">
        <v>0</v>
      </c>
      <c r="X2535" s="20"/>
      <c r="Y2535" s="15"/>
      <c r="Z2535" s="15"/>
      <c r="AA2535" s="15"/>
      <c r="AB2535" s="15"/>
      <c r="AC2535" s="15"/>
      <c r="AD2535" s="15"/>
      <c r="AE2535" s="15"/>
      <c r="AF2535" s="15"/>
      <c r="AG2535" s="17"/>
    </row>
    <row r="2537" spans="2:33" ht="15" thickBot="1">
      <c r="B2537" s="25" t="s">
        <v>1177</v>
      </c>
      <c r="C2537" s="26" t="s">
        <v>1178</v>
      </c>
      <c r="D2537" s="26" t="s">
        <v>1179</v>
      </c>
      <c r="E2537" s="26" t="s">
        <v>1180</v>
      </c>
      <c r="F2537" s="26" t="s">
        <v>1181</v>
      </c>
      <c r="G2537" s="26" t="s">
        <v>1182</v>
      </c>
      <c r="H2537" s="27" t="s">
        <v>597</v>
      </c>
      <c r="I2537" s="26" t="s">
        <v>1183</v>
      </c>
      <c r="J2537" s="27" t="s">
        <v>34</v>
      </c>
      <c r="K2537" s="29">
        <v>355</v>
      </c>
      <c r="L2537" s="29">
        <v>355</v>
      </c>
      <c r="M2537" s="29">
        <v>360</v>
      </c>
      <c r="N2537" s="29">
        <v>360</v>
      </c>
      <c r="O2537" s="29">
        <v>360</v>
      </c>
      <c r="P2537" s="40">
        <v>360</v>
      </c>
      <c r="Q2537" s="1" t="s">
        <v>35</v>
      </c>
      <c r="R2537" s="2">
        <v>58288</v>
      </c>
      <c r="S2537" s="2">
        <v>47180</v>
      </c>
      <c r="T2537" s="2">
        <v>0</v>
      </c>
      <c r="U2537" s="2">
        <v>0</v>
      </c>
      <c r="V2537" s="2">
        <v>0</v>
      </c>
      <c r="W2537" s="2">
        <v>135956</v>
      </c>
      <c r="X2537" s="43">
        <f>SUM(R2537:W2548)</f>
        <v>2946267</v>
      </c>
      <c r="Y2537" s="10">
        <v>46204</v>
      </c>
      <c r="Z2537" s="11">
        <v>0.1905382461068803</v>
      </c>
      <c r="AA2537" s="11">
        <v>0.15945002794194035</v>
      </c>
      <c r="AB2537" s="11">
        <v>0.13221737173042739</v>
      </c>
      <c r="AC2537" s="11">
        <v>0.11821611705587234</v>
      </c>
      <c r="AD2537" s="11">
        <v>0.10730195790232512</v>
      </c>
      <c r="AE2537" s="11">
        <v>0.12297269212691679</v>
      </c>
      <c r="AF2537" s="11">
        <v>1.1100000000000001</v>
      </c>
      <c r="AG2537" s="11">
        <v>0.23899999999999999</v>
      </c>
    </row>
    <row r="2538" spans="2:33">
      <c r="B2538" s="18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35"/>
      <c r="Q2538" s="36" t="s">
        <v>36</v>
      </c>
      <c r="R2538" s="13">
        <v>53344</v>
      </c>
      <c r="S2538" s="13">
        <v>43624</v>
      </c>
      <c r="T2538" s="13">
        <v>0</v>
      </c>
      <c r="U2538" s="13">
        <v>0</v>
      </c>
      <c r="V2538" s="13">
        <v>0</v>
      </c>
      <c r="W2538" s="37">
        <v>118764</v>
      </c>
      <c r="X2538" s="18"/>
      <c r="Y2538" s="14"/>
      <c r="Z2538" s="14"/>
      <c r="AA2538" s="14"/>
      <c r="AB2538" s="14"/>
      <c r="AC2538" s="14"/>
      <c r="AD2538" s="14"/>
      <c r="AE2538" s="14"/>
      <c r="AF2538" s="14"/>
      <c r="AG2538" s="35"/>
    </row>
    <row r="2539" spans="2:33">
      <c r="B2539" s="19"/>
      <c r="P2539" s="16"/>
      <c r="Q2539" s="36" t="s">
        <v>37</v>
      </c>
      <c r="R2539" s="13">
        <v>0</v>
      </c>
      <c r="S2539" s="13">
        <v>57538</v>
      </c>
      <c r="T2539" s="13">
        <v>46996</v>
      </c>
      <c r="U2539" s="13">
        <v>0</v>
      </c>
      <c r="V2539" s="13">
        <v>0</v>
      </c>
      <c r="W2539" s="37">
        <v>139172</v>
      </c>
      <c r="X2539" s="19"/>
      <c r="AG2539" s="16"/>
    </row>
    <row r="2540" spans="2:33">
      <c r="B2540" s="19"/>
      <c r="P2540" s="16"/>
      <c r="Q2540" s="36" t="s">
        <v>38</v>
      </c>
      <c r="R2540" s="13">
        <v>0</v>
      </c>
      <c r="S2540" s="13">
        <v>0</v>
      </c>
      <c r="T2540" s="13">
        <v>0</v>
      </c>
      <c r="U2540" s="13">
        <v>54342</v>
      </c>
      <c r="V2540" s="13">
        <v>43244</v>
      </c>
      <c r="W2540" s="37">
        <v>129330</v>
      </c>
      <c r="X2540" s="19"/>
      <c r="AG2540" s="16"/>
    </row>
    <row r="2541" spans="2:33">
      <c r="B2541" s="19"/>
      <c r="P2541" s="16"/>
      <c r="Q2541" s="36" t="s">
        <v>39</v>
      </c>
      <c r="R2541" s="13">
        <v>0</v>
      </c>
      <c r="S2541" s="13">
        <v>0</v>
      </c>
      <c r="T2541" s="13">
        <v>0</v>
      </c>
      <c r="U2541" s="13">
        <v>52377</v>
      </c>
      <c r="V2541" s="13">
        <v>43019</v>
      </c>
      <c r="W2541" s="37">
        <v>142483</v>
      </c>
      <c r="X2541" s="19"/>
      <c r="AG2541" s="16"/>
    </row>
    <row r="2542" spans="2:33">
      <c r="B2542" s="19"/>
      <c r="P2542" s="16"/>
      <c r="Q2542" s="36" t="s">
        <v>40</v>
      </c>
      <c r="R2542" s="13">
        <v>0</v>
      </c>
      <c r="S2542" s="13">
        <v>0</v>
      </c>
      <c r="T2542" s="13">
        <v>55660</v>
      </c>
      <c r="U2542" s="13">
        <v>47393</v>
      </c>
      <c r="V2542" s="13">
        <v>0</v>
      </c>
      <c r="W2542" s="37">
        <v>134145</v>
      </c>
      <c r="X2542" s="19"/>
      <c r="AG2542" s="16"/>
    </row>
    <row r="2543" spans="2:33">
      <c r="B2543" s="19"/>
      <c r="P2543" s="16"/>
      <c r="Q2543" s="36" t="s">
        <v>41</v>
      </c>
      <c r="R2543" s="13">
        <v>67515</v>
      </c>
      <c r="S2543" s="13">
        <v>54264</v>
      </c>
      <c r="T2543" s="13">
        <v>0</v>
      </c>
      <c r="U2543" s="13">
        <v>0</v>
      </c>
      <c r="V2543" s="13">
        <v>0</v>
      </c>
      <c r="W2543" s="37">
        <v>139728</v>
      </c>
      <c r="X2543" s="19"/>
      <c r="AG2543" s="16"/>
    </row>
    <row r="2544" spans="2:33">
      <c r="B2544" s="19"/>
      <c r="P2544" s="16"/>
      <c r="Q2544" s="36" t="s">
        <v>42</v>
      </c>
      <c r="R2544" s="13">
        <v>0</v>
      </c>
      <c r="S2544" s="13">
        <v>0</v>
      </c>
      <c r="T2544" s="13">
        <v>56340</v>
      </c>
      <c r="U2544" s="13">
        <v>44286</v>
      </c>
      <c r="V2544" s="13">
        <v>0</v>
      </c>
      <c r="W2544" s="37">
        <v>146411</v>
      </c>
      <c r="X2544" s="19"/>
      <c r="AG2544" s="16"/>
    </row>
    <row r="2545" spans="2:33">
      <c r="B2545" s="19"/>
      <c r="P2545" s="16"/>
      <c r="Q2545" s="36" t="s">
        <v>43</v>
      </c>
      <c r="R2545" s="13">
        <v>0</v>
      </c>
      <c r="S2545" s="13">
        <v>0</v>
      </c>
      <c r="T2545" s="13">
        <v>58994</v>
      </c>
      <c r="U2545" s="13">
        <v>46061</v>
      </c>
      <c r="V2545" s="13">
        <v>0</v>
      </c>
      <c r="W2545" s="37">
        <v>133083</v>
      </c>
      <c r="X2545" s="19"/>
      <c r="AG2545" s="16"/>
    </row>
    <row r="2546" spans="2:33">
      <c r="B2546" s="19"/>
      <c r="P2546" s="16"/>
      <c r="Q2546" s="36" t="s">
        <v>44</v>
      </c>
      <c r="R2546" s="13">
        <v>0</v>
      </c>
      <c r="S2546" s="13">
        <v>0</v>
      </c>
      <c r="T2546" s="13">
        <v>0</v>
      </c>
      <c r="U2546" s="13">
        <v>68436</v>
      </c>
      <c r="V2546" s="13">
        <v>54652</v>
      </c>
      <c r="W2546" s="37">
        <v>139746</v>
      </c>
      <c r="X2546" s="19"/>
      <c r="AG2546" s="16"/>
    </row>
    <row r="2547" spans="2:33">
      <c r="B2547" s="19"/>
      <c r="P2547" s="16"/>
      <c r="Q2547" s="36" t="s">
        <v>45</v>
      </c>
      <c r="R2547" s="13">
        <v>0</v>
      </c>
      <c r="S2547" s="13">
        <v>59543</v>
      </c>
      <c r="T2547" s="13">
        <v>50967</v>
      </c>
      <c r="U2547" s="13">
        <v>0</v>
      </c>
      <c r="V2547" s="13">
        <v>0</v>
      </c>
      <c r="W2547" s="37">
        <v>147100</v>
      </c>
      <c r="X2547" s="19"/>
      <c r="AG2547" s="16"/>
    </row>
    <row r="2548" spans="2:33" ht="15" thickBot="1">
      <c r="B2548" s="20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5"/>
      <c r="O2548" s="15"/>
      <c r="P2548" s="17"/>
      <c r="Q2548" s="36" t="s">
        <v>46</v>
      </c>
      <c r="R2548" s="13">
        <v>67226</v>
      </c>
      <c r="S2548" s="13">
        <v>54887</v>
      </c>
      <c r="T2548" s="13">
        <v>0</v>
      </c>
      <c r="U2548" s="13">
        <v>0</v>
      </c>
      <c r="V2548" s="13">
        <v>0</v>
      </c>
      <c r="W2548" s="37">
        <v>154173</v>
      </c>
      <c r="X2548" s="20"/>
      <c r="Y2548" s="15"/>
      <c r="Z2548" s="15"/>
      <c r="AA2548" s="15"/>
      <c r="AB2548" s="15"/>
      <c r="AC2548" s="15"/>
      <c r="AD2548" s="15"/>
      <c r="AE2548" s="15"/>
      <c r="AF2548" s="15"/>
      <c r="AG2548" s="17"/>
    </row>
    <row r="2550" spans="2:33" ht="15" thickBot="1">
      <c r="B2550" s="25" t="s">
        <v>1184</v>
      </c>
      <c r="C2550" s="26" t="s">
        <v>1185</v>
      </c>
      <c r="D2550" s="26" t="s">
        <v>1186</v>
      </c>
      <c r="E2550" s="26" t="s">
        <v>1187</v>
      </c>
      <c r="F2550" s="26" t="s">
        <v>1188</v>
      </c>
      <c r="G2550" s="26" t="s">
        <v>33</v>
      </c>
      <c r="H2550" s="27" t="s">
        <v>33</v>
      </c>
      <c r="I2550" s="26" t="s">
        <v>1189</v>
      </c>
      <c r="J2550" s="27" t="s">
        <v>87</v>
      </c>
      <c r="K2550" s="29">
        <v>120</v>
      </c>
      <c r="L2550" s="29">
        <v>120</v>
      </c>
      <c r="M2550" s="29">
        <v>120</v>
      </c>
      <c r="N2550" s="29">
        <v>120</v>
      </c>
      <c r="O2550" s="29">
        <v>120</v>
      </c>
      <c r="P2550" s="40">
        <v>150</v>
      </c>
      <c r="Q2550" s="1" t="s">
        <v>35</v>
      </c>
      <c r="R2550" s="2">
        <v>9298</v>
      </c>
      <c r="S2550" s="2">
        <v>7030</v>
      </c>
      <c r="T2550" s="2">
        <v>0</v>
      </c>
      <c r="U2550" s="2">
        <v>0</v>
      </c>
      <c r="V2550" s="2">
        <v>0</v>
      </c>
      <c r="W2550" s="2">
        <v>9957</v>
      </c>
      <c r="X2550" s="43">
        <f>SUM(R2550:W2561)</f>
        <v>266958</v>
      </c>
      <c r="Y2550" s="10">
        <v>46204</v>
      </c>
      <c r="Z2550" s="11">
        <v>0.21988270681015232</v>
      </c>
      <c r="AA2550" s="11">
        <v>0.18347288483863797</v>
      </c>
      <c r="AB2550" s="11">
        <v>0.14799884053866011</v>
      </c>
      <c r="AC2550" s="11">
        <v>0.1294807325186357</v>
      </c>
      <c r="AD2550" s="11">
        <v>0.11520916792971442</v>
      </c>
      <c r="AE2550" s="11">
        <v>0.1322287653649199</v>
      </c>
      <c r="AF2550" s="11">
        <v>1</v>
      </c>
      <c r="AG2550" s="11">
        <v>0.23899999999999999</v>
      </c>
    </row>
    <row r="2551" spans="2:33">
      <c r="B2551" s="18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35"/>
      <c r="Q2551" s="36" t="s">
        <v>36</v>
      </c>
      <c r="R2551" s="13">
        <v>8764</v>
      </c>
      <c r="S2551" s="13">
        <v>6676</v>
      </c>
      <c r="T2551" s="13">
        <v>0</v>
      </c>
      <c r="U2551" s="13">
        <v>0</v>
      </c>
      <c r="V2551" s="13">
        <v>0</v>
      </c>
      <c r="W2551" s="37">
        <v>9702</v>
      </c>
      <c r="X2551" s="18"/>
      <c r="Y2551" s="14"/>
      <c r="Z2551" s="14"/>
      <c r="AA2551" s="14"/>
      <c r="AB2551" s="14"/>
      <c r="AC2551" s="14"/>
      <c r="AD2551" s="14"/>
      <c r="AE2551" s="14"/>
      <c r="AF2551" s="14"/>
      <c r="AG2551" s="35"/>
    </row>
    <row r="2552" spans="2:33">
      <c r="B2552" s="19"/>
      <c r="P2552" s="16"/>
      <c r="Q2552" s="36" t="s">
        <v>37</v>
      </c>
      <c r="R2552" s="13">
        <v>0</v>
      </c>
      <c r="S2552" s="13">
        <v>9562</v>
      </c>
      <c r="T2552" s="13">
        <v>7239</v>
      </c>
      <c r="U2552" s="13">
        <v>0</v>
      </c>
      <c r="V2552" s="13">
        <v>0</v>
      </c>
      <c r="W2552" s="37">
        <v>11998</v>
      </c>
      <c r="X2552" s="19"/>
      <c r="AG2552" s="16"/>
    </row>
    <row r="2553" spans="2:33">
      <c r="B2553" s="19"/>
      <c r="P2553" s="16"/>
      <c r="Q2553" s="36" t="s">
        <v>38</v>
      </c>
      <c r="R2553" s="13">
        <v>0</v>
      </c>
      <c r="S2553" s="13">
        <v>0</v>
      </c>
      <c r="T2553" s="13">
        <v>0</v>
      </c>
      <c r="U2553" s="13">
        <v>5759</v>
      </c>
      <c r="V2553" s="13">
        <v>4214</v>
      </c>
      <c r="W2553" s="37">
        <v>7058</v>
      </c>
      <c r="X2553" s="19"/>
      <c r="AG2553" s="16"/>
    </row>
    <row r="2554" spans="2:33">
      <c r="B2554" s="19"/>
      <c r="P2554" s="16"/>
      <c r="Q2554" s="36" t="s">
        <v>39</v>
      </c>
      <c r="R2554" s="13">
        <v>0</v>
      </c>
      <c r="S2554" s="13">
        <v>0</v>
      </c>
      <c r="T2554" s="13">
        <v>0</v>
      </c>
      <c r="U2554" s="13">
        <v>6713</v>
      </c>
      <c r="V2554" s="13">
        <v>4826</v>
      </c>
      <c r="W2554" s="37">
        <v>10403</v>
      </c>
      <c r="X2554" s="19"/>
      <c r="AG2554" s="16"/>
    </row>
    <row r="2555" spans="2:33">
      <c r="B2555" s="19"/>
      <c r="P2555" s="16"/>
      <c r="Q2555" s="36" t="s">
        <v>40</v>
      </c>
      <c r="R2555" s="13">
        <v>0</v>
      </c>
      <c r="S2555" s="13">
        <v>0</v>
      </c>
      <c r="T2555" s="13">
        <v>6006</v>
      </c>
      <c r="U2555" s="13">
        <v>4524</v>
      </c>
      <c r="V2555" s="13">
        <v>0</v>
      </c>
      <c r="W2555" s="37">
        <v>8894</v>
      </c>
      <c r="X2555" s="19"/>
      <c r="AG2555" s="16"/>
    </row>
    <row r="2556" spans="2:33">
      <c r="B2556" s="19"/>
      <c r="P2556" s="16"/>
      <c r="Q2556" s="36" t="s">
        <v>41</v>
      </c>
      <c r="R2556" s="13">
        <v>6107</v>
      </c>
      <c r="S2556" s="13">
        <v>4763</v>
      </c>
      <c r="T2556" s="13">
        <v>0</v>
      </c>
      <c r="U2556" s="13">
        <v>0</v>
      </c>
      <c r="V2556" s="13">
        <v>0</v>
      </c>
      <c r="W2556" s="37">
        <v>8587</v>
      </c>
      <c r="X2556" s="19"/>
      <c r="AG2556" s="16"/>
    </row>
    <row r="2557" spans="2:33">
      <c r="B2557" s="19"/>
      <c r="P2557" s="16"/>
      <c r="Q2557" s="36" t="s">
        <v>42</v>
      </c>
      <c r="R2557" s="13">
        <v>0</v>
      </c>
      <c r="S2557" s="13">
        <v>0</v>
      </c>
      <c r="T2557" s="13">
        <v>1702</v>
      </c>
      <c r="U2557" s="13">
        <v>1326</v>
      </c>
      <c r="V2557" s="13">
        <v>0</v>
      </c>
      <c r="W2557" s="37">
        <v>4773</v>
      </c>
      <c r="X2557" s="19"/>
      <c r="AG2557" s="16"/>
    </row>
    <row r="2558" spans="2:33">
      <c r="B2558" s="19"/>
      <c r="P2558" s="16"/>
      <c r="Q2558" s="36" t="s">
        <v>43</v>
      </c>
      <c r="R2558" s="13">
        <v>0</v>
      </c>
      <c r="S2558" s="13">
        <v>0</v>
      </c>
      <c r="T2558" s="13">
        <v>7134</v>
      </c>
      <c r="U2558" s="13">
        <v>4922</v>
      </c>
      <c r="V2558" s="13">
        <v>0</v>
      </c>
      <c r="W2558" s="37">
        <v>8585</v>
      </c>
      <c r="X2558" s="19"/>
      <c r="AG2558" s="16"/>
    </row>
    <row r="2559" spans="2:33">
      <c r="B2559" s="19"/>
      <c r="P2559" s="16"/>
      <c r="Q2559" s="36" t="s">
        <v>44</v>
      </c>
      <c r="R2559" s="13">
        <v>0</v>
      </c>
      <c r="S2559" s="13">
        <v>0</v>
      </c>
      <c r="T2559" s="13">
        <v>0</v>
      </c>
      <c r="U2559" s="13">
        <v>9079</v>
      </c>
      <c r="V2559" s="13">
        <v>6628</v>
      </c>
      <c r="W2559" s="37">
        <v>8820</v>
      </c>
      <c r="X2559" s="19"/>
      <c r="AG2559" s="16"/>
    </row>
    <row r="2560" spans="2:33">
      <c r="B2560" s="19"/>
      <c r="P2560" s="16"/>
      <c r="Q2560" s="36" t="s">
        <v>45</v>
      </c>
      <c r="R2560" s="13">
        <v>0</v>
      </c>
      <c r="S2560" s="13">
        <v>9559</v>
      </c>
      <c r="T2560" s="13">
        <v>7880</v>
      </c>
      <c r="U2560" s="13">
        <v>0</v>
      </c>
      <c r="V2560" s="13">
        <v>0</v>
      </c>
      <c r="W2560" s="37">
        <v>12264</v>
      </c>
      <c r="X2560" s="19"/>
      <c r="AG2560" s="16"/>
    </row>
    <row r="2561" spans="2:33" ht="15" thickBot="1">
      <c r="B2561" s="20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5"/>
      <c r="O2561" s="15"/>
      <c r="P2561" s="17"/>
      <c r="Q2561" s="36" t="s">
        <v>46</v>
      </c>
      <c r="R2561" s="13">
        <v>8749</v>
      </c>
      <c r="S2561" s="13">
        <v>6590</v>
      </c>
      <c r="T2561" s="13">
        <v>0</v>
      </c>
      <c r="U2561" s="13">
        <v>0</v>
      </c>
      <c r="V2561" s="13">
        <v>0</v>
      </c>
      <c r="W2561" s="37">
        <v>10867</v>
      </c>
      <c r="X2561" s="20"/>
      <c r="Y2561" s="15"/>
      <c r="Z2561" s="15"/>
      <c r="AA2561" s="15"/>
      <c r="AB2561" s="15"/>
      <c r="AC2561" s="15"/>
      <c r="AD2561" s="15"/>
      <c r="AE2561" s="15"/>
      <c r="AF2561" s="15"/>
      <c r="AG2561" s="17"/>
    </row>
    <row r="2563" spans="2:33" ht="15" thickBot="1">
      <c r="B2563" s="25" t="s">
        <v>1190</v>
      </c>
      <c r="C2563" s="26" t="s">
        <v>1191</v>
      </c>
      <c r="D2563" s="26" t="s">
        <v>1192</v>
      </c>
      <c r="E2563" s="26" t="s">
        <v>1193</v>
      </c>
      <c r="F2563" s="26" t="s">
        <v>1194</v>
      </c>
      <c r="G2563" s="26" t="s">
        <v>1195</v>
      </c>
      <c r="H2563" s="27" t="s">
        <v>597</v>
      </c>
      <c r="I2563" s="26" t="s">
        <v>1196</v>
      </c>
      <c r="J2563" s="27" t="s">
        <v>34</v>
      </c>
      <c r="K2563" s="29">
        <v>40</v>
      </c>
      <c r="L2563" s="29">
        <v>40</v>
      </c>
      <c r="M2563" s="29">
        <v>40</v>
      </c>
      <c r="N2563" s="29">
        <v>40</v>
      </c>
      <c r="O2563" s="29">
        <v>40</v>
      </c>
      <c r="P2563" s="40">
        <v>40</v>
      </c>
      <c r="Q2563" s="1" t="s">
        <v>35</v>
      </c>
      <c r="R2563" s="2">
        <v>3009.6201171875</v>
      </c>
      <c r="S2563" s="2">
        <v>2377.10009765625</v>
      </c>
      <c r="T2563" s="2">
        <v>0</v>
      </c>
      <c r="U2563" s="2">
        <v>0</v>
      </c>
      <c r="V2563" s="2">
        <v>0</v>
      </c>
      <c r="W2563" s="2">
        <v>6932.7998046875</v>
      </c>
      <c r="X2563" s="43">
        <f>SUM(R2563:W2571)</f>
        <v>82864.819892883301</v>
      </c>
      <c r="Y2563" s="10">
        <v>46204</v>
      </c>
      <c r="Z2563" s="11">
        <v>0.1905382461068803</v>
      </c>
      <c r="AA2563" s="11">
        <v>0.15945002794194035</v>
      </c>
      <c r="AB2563" s="11">
        <v>0.13221737173042739</v>
      </c>
      <c r="AC2563" s="11">
        <v>0.11821611705587234</v>
      </c>
      <c r="AD2563" s="11">
        <v>0.10730195790232512</v>
      </c>
      <c r="AE2563" s="11">
        <v>0.12297269212691679</v>
      </c>
      <c r="AF2563" s="11">
        <v>1.1100000000000001</v>
      </c>
      <c r="AG2563" s="11">
        <v>0.23899999999999999</v>
      </c>
    </row>
    <row r="2564" spans="2:33">
      <c r="B2564" s="18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35"/>
      <c r="Q2564" s="36" t="s">
        <v>36</v>
      </c>
      <c r="R2564" s="13">
        <v>2762.800048828125</v>
      </c>
      <c r="S2564" s="13">
        <v>2167.679931640625</v>
      </c>
      <c r="T2564" s="13">
        <v>0</v>
      </c>
      <c r="U2564" s="13">
        <v>0</v>
      </c>
      <c r="V2564" s="13">
        <v>0</v>
      </c>
      <c r="W2564" s="37">
        <v>5782.64013671875</v>
      </c>
      <c r="X2564" s="18"/>
      <c r="Y2564" s="14"/>
      <c r="Z2564" s="14"/>
      <c r="AA2564" s="14"/>
      <c r="AB2564" s="14"/>
      <c r="AC2564" s="14"/>
      <c r="AD2564" s="14"/>
      <c r="AE2564" s="14"/>
      <c r="AF2564" s="14"/>
      <c r="AG2564" s="35"/>
    </row>
    <row r="2565" spans="2:33">
      <c r="B2565" s="19"/>
      <c r="P2565" s="16"/>
      <c r="Q2565" s="36" t="s">
        <v>37</v>
      </c>
      <c r="R2565" s="13">
        <v>0</v>
      </c>
      <c r="S2565" s="13">
        <v>2609.219970703125</v>
      </c>
      <c r="T2565" s="13">
        <v>2105.659912109375</v>
      </c>
      <c r="U2565" s="13">
        <v>0</v>
      </c>
      <c r="V2565" s="13">
        <v>0</v>
      </c>
      <c r="W2565" s="37">
        <v>7008.22021484375</v>
      </c>
      <c r="X2565" s="19"/>
      <c r="AG2565" s="16"/>
    </row>
    <row r="2566" spans="2:33">
      <c r="B2566" s="19"/>
      <c r="P2566" s="16"/>
      <c r="Q2566" s="36" t="s">
        <v>38</v>
      </c>
      <c r="R2566" s="13">
        <v>0</v>
      </c>
      <c r="S2566" s="13">
        <v>0</v>
      </c>
      <c r="T2566" s="13">
        <v>0</v>
      </c>
      <c r="U2566" s="13">
        <v>1901.3199462890625</v>
      </c>
      <c r="V2566" s="13">
        <v>1495.56005859375</v>
      </c>
      <c r="W2566" s="37">
        <v>5126.080078125</v>
      </c>
      <c r="X2566" s="19"/>
      <c r="AG2566" s="16"/>
    </row>
    <row r="2567" spans="2:33">
      <c r="B2567" s="19"/>
      <c r="P2567" s="16"/>
      <c r="Q2567" s="36" t="s">
        <v>39</v>
      </c>
      <c r="R2567" s="13">
        <v>0</v>
      </c>
      <c r="S2567" s="13">
        <v>0</v>
      </c>
      <c r="T2567" s="13">
        <v>0</v>
      </c>
      <c r="U2567" s="13">
        <v>1872.9000244140625</v>
      </c>
      <c r="V2567" s="13">
        <v>1394.300048828125</v>
      </c>
      <c r="W2567" s="37">
        <v>5449.759765625</v>
      </c>
      <c r="X2567" s="19"/>
      <c r="AG2567" s="16"/>
    </row>
    <row r="2568" spans="2:33">
      <c r="B2568" s="19"/>
      <c r="P2568" s="16"/>
      <c r="Q2568" s="36" t="s">
        <v>40</v>
      </c>
      <c r="R2568" s="13">
        <v>0</v>
      </c>
      <c r="S2568" s="13">
        <v>0</v>
      </c>
      <c r="T2568" s="13">
        <v>2712.179931640625</v>
      </c>
      <c r="U2568" s="13">
        <v>1982.93994140625</v>
      </c>
      <c r="V2568" s="13">
        <v>0</v>
      </c>
      <c r="W2568" s="37">
        <v>5375.35986328125</v>
      </c>
      <c r="X2568" s="19"/>
      <c r="AG2568" s="16"/>
    </row>
    <row r="2569" spans="2:33">
      <c r="B2569" s="19"/>
      <c r="P2569" s="16"/>
      <c r="Q2569" s="36" t="s">
        <v>1197</v>
      </c>
      <c r="R2569" s="13">
        <v>91.860000610351563</v>
      </c>
      <c r="S2569" s="13">
        <v>72.139999389648438</v>
      </c>
      <c r="T2569" s="13">
        <v>0</v>
      </c>
      <c r="U2569" s="13">
        <v>0</v>
      </c>
      <c r="V2569" s="13">
        <v>0</v>
      </c>
      <c r="W2569" s="37">
        <v>99.680000305175781</v>
      </c>
      <c r="X2569" s="19"/>
      <c r="AG2569" s="16"/>
    </row>
    <row r="2570" spans="2:33">
      <c r="B2570" s="19"/>
      <c r="P2570" s="16"/>
      <c r="Q2570" s="36" t="s">
        <v>42</v>
      </c>
      <c r="R2570" s="13">
        <v>0</v>
      </c>
      <c r="S2570" s="13">
        <v>0</v>
      </c>
      <c r="T2570" s="13">
        <v>3308</v>
      </c>
      <c r="U2570" s="13">
        <v>2350</v>
      </c>
      <c r="V2570" s="13">
        <v>0</v>
      </c>
      <c r="W2570" s="37">
        <v>7016</v>
      </c>
      <c r="X2570" s="19"/>
      <c r="AG2570" s="16"/>
    </row>
    <row r="2571" spans="2:33" ht="15" thickBot="1">
      <c r="B2571" s="20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5"/>
      <c r="O2571" s="15"/>
      <c r="P2571" s="17"/>
      <c r="Q2571" s="36" t="s">
        <v>43</v>
      </c>
      <c r="R2571" s="13">
        <v>0</v>
      </c>
      <c r="S2571" s="13">
        <v>0</v>
      </c>
      <c r="T2571" s="13">
        <v>2042</v>
      </c>
      <c r="U2571" s="13">
        <v>1507</v>
      </c>
      <c r="V2571" s="13">
        <v>0</v>
      </c>
      <c r="W2571" s="37">
        <v>4312</v>
      </c>
      <c r="X2571" s="19"/>
      <c r="AG2571" s="16"/>
    </row>
    <row r="2572" spans="2:33" ht="15" thickBot="1">
      <c r="W2572" s="37"/>
      <c r="X2572" s="20"/>
      <c r="Y2572" s="15"/>
      <c r="Z2572" s="15"/>
      <c r="AA2572" s="15"/>
      <c r="AB2572" s="15"/>
      <c r="AC2572" s="15"/>
      <c r="AD2572" s="15"/>
      <c r="AE2572" s="15"/>
      <c r="AF2572" s="15"/>
      <c r="AG2572" s="17"/>
    </row>
    <row r="2573" spans="2:33" ht="29.5" thickBot="1">
      <c r="B2573" s="33" t="s">
        <v>2188</v>
      </c>
      <c r="C2573" s="26" t="s">
        <v>1198</v>
      </c>
      <c r="D2573" s="26" t="s">
        <v>1199</v>
      </c>
      <c r="E2573" s="26" t="s">
        <v>1200</v>
      </c>
      <c r="F2573" s="26" t="s">
        <v>126</v>
      </c>
      <c r="G2573" s="26" t="s">
        <v>33</v>
      </c>
      <c r="H2573" s="27" t="s">
        <v>33</v>
      </c>
      <c r="I2573" s="26" t="s">
        <v>1201</v>
      </c>
      <c r="J2573" s="27" t="s">
        <v>1202</v>
      </c>
      <c r="K2573" s="29">
        <v>5</v>
      </c>
      <c r="L2573" s="29">
        <v>5</v>
      </c>
      <c r="M2573" s="29">
        <v>5</v>
      </c>
      <c r="N2573" s="29">
        <v>5</v>
      </c>
      <c r="O2573" s="29">
        <v>5</v>
      </c>
      <c r="P2573" s="40">
        <v>28</v>
      </c>
      <c r="Q2573" s="1" t="s">
        <v>35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44">
        <f>SUM(R2573:W2585)</f>
        <v>0</v>
      </c>
      <c r="Y2573" s="10">
        <v>46204</v>
      </c>
      <c r="Z2573" s="11">
        <v>0.21896900122639595</v>
      </c>
      <c r="AA2573" s="11">
        <v>0.18255917925488163</v>
      </c>
      <c r="AB2573" s="11">
        <v>0.14708513495490375</v>
      </c>
      <c r="AC2573" s="11">
        <v>0.12856702693487934</v>
      </c>
      <c r="AD2573" s="11">
        <v>0.11429546234595808</v>
      </c>
      <c r="AE2573" s="11">
        <v>0.13131505978116356</v>
      </c>
      <c r="AF2573" s="45"/>
      <c r="AG2573" s="45"/>
    </row>
    <row r="2574" spans="2:33"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35"/>
      <c r="Q2574" s="36" t="s">
        <v>36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37">
        <v>0</v>
      </c>
      <c r="X2574" s="18"/>
      <c r="Y2574" s="14"/>
      <c r="Z2574" s="14"/>
      <c r="AA2574" s="14"/>
      <c r="AB2574" s="14"/>
      <c r="AC2574" s="14"/>
      <c r="AD2574" s="14"/>
      <c r="AE2574" s="14"/>
      <c r="AF2574" s="14"/>
      <c r="AG2574" s="35"/>
    </row>
    <row r="2575" spans="2:33">
      <c r="B2575" s="19"/>
      <c r="P2575" s="16"/>
      <c r="Q2575" s="36" t="s">
        <v>37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37">
        <v>0</v>
      </c>
      <c r="X2575" s="19"/>
      <c r="AG2575" s="16"/>
    </row>
    <row r="2576" spans="2:33">
      <c r="B2576" s="19"/>
      <c r="P2576" s="16"/>
      <c r="Q2576" s="36" t="s">
        <v>38</v>
      </c>
      <c r="R2576" s="13">
        <v>0</v>
      </c>
      <c r="S2576" s="13">
        <v>0</v>
      </c>
      <c r="T2576" s="13">
        <v>0</v>
      </c>
      <c r="U2576" s="13">
        <v>0</v>
      </c>
      <c r="V2576" s="13">
        <v>0</v>
      </c>
      <c r="W2576" s="37">
        <v>0</v>
      </c>
      <c r="X2576" s="19"/>
      <c r="AG2576" s="16"/>
    </row>
    <row r="2577" spans="2:33">
      <c r="B2577" s="19"/>
      <c r="P2577" s="16"/>
      <c r="Q2577" s="36" t="s">
        <v>350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37">
        <v>0</v>
      </c>
      <c r="X2577" s="19"/>
      <c r="AG2577" s="16"/>
    </row>
    <row r="2578" spans="2:33">
      <c r="B2578" s="19"/>
      <c r="P2578" s="16"/>
      <c r="Q2578" s="36" t="s">
        <v>351</v>
      </c>
      <c r="R2578" s="13">
        <v>0</v>
      </c>
      <c r="S2578" s="13">
        <v>0</v>
      </c>
      <c r="T2578" s="13">
        <v>0</v>
      </c>
      <c r="U2578" s="13">
        <v>0</v>
      </c>
      <c r="V2578" s="13">
        <v>0</v>
      </c>
      <c r="W2578" s="37">
        <v>0</v>
      </c>
      <c r="X2578" s="19"/>
      <c r="AG2578" s="16"/>
    </row>
    <row r="2579" spans="2:33">
      <c r="B2579" s="19"/>
      <c r="P2579" s="16"/>
      <c r="Q2579" s="36" t="s">
        <v>40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37">
        <v>0</v>
      </c>
      <c r="X2579" s="19"/>
      <c r="AG2579" s="16"/>
    </row>
    <row r="2580" spans="2:33">
      <c r="B2580" s="19"/>
      <c r="P2580" s="16"/>
      <c r="Q2580" s="36" t="s">
        <v>41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37">
        <v>0</v>
      </c>
      <c r="X2580" s="19"/>
      <c r="AG2580" s="16"/>
    </row>
    <row r="2581" spans="2:33">
      <c r="B2581" s="19"/>
      <c r="P2581" s="16"/>
      <c r="Q2581" s="36" t="s">
        <v>42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37">
        <v>0</v>
      </c>
      <c r="X2581" s="19"/>
      <c r="AG2581" s="16"/>
    </row>
    <row r="2582" spans="2:33">
      <c r="B2582" s="19"/>
      <c r="P2582" s="16"/>
      <c r="Q2582" s="36" t="s">
        <v>43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37">
        <v>0</v>
      </c>
      <c r="X2582" s="19"/>
      <c r="AG2582" s="16"/>
    </row>
    <row r="2583" spans="2:33">
      <c r="B2583" s="19"/>
      <c r="P2583" s="16"/>
      <c r="Q2583" s="36" t="s">
        <v>44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37">
        <v>0</v>
      </c>
      <c r="X2583" s="19"/>
      <c r="AG2583" s="16"/>
    </row>
    <row r="2584" spans="2:33">
      <c r="B2584" s="19"/>
      <c r="P2584" s="16"/>
      <c r="Q2584" s="36" t="s">
        <v>45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37">
        <v>0</v>
      </c>
      <c r="X2584" s="19"/>
      <c r="AG2584" s="16"/>
    </row>
    <row r="2585" spans="2:33" ht="15" thickBot="1">
      <c r="B2585" s="20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5"/>
      <c r="O2585" s="15"/>
      <c r="P2585" s="17"/>
      <c r="Q2585" s="36" t="s">
        <v>46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37">
        <v>0</v>
      </c>
      <c r="X2585" s="20"/>
      <c r="Y2585" s="15"/>
      <c r="Z2585" s="15"/>
      <c r="AA2585" s="15"/>
      <c r="AB2585" s="15"/>
      <c r="AC2585" s="15"/>
      <c r="AD2585" s="15"/>
      <c r="AE2585" s="15"/>
      <c r="AF2585" s="15"/>
      <c r="AG2585" s="17"/>
    </row>
    <row r="2586" spans="2:33" ht="15" thickBot="1"/>
    <row r="2587" spans="2:33" ht="29.5" thickBot="1">
      <c r="B2587" s="33" t="s">
        <v>2188</v>
      </c>
      <c r="C2587" s="26" t="s">
        <v>1198</v>
      </c>
      <c r="D2587" s="26" t="s">
        <v>1203</v>
      </c>
      <c r="E2587" s="26" t="s">
        <v>1204</v>
      </c>
      <c r="F2587" s="26" t="s">
        <v>126</v>
      </c>
      <c r="G2587" s="26" t="s">
        <v>33</v>
      </c>
      <c r="H2587" s="27" t="s">
        <v>33</v>
      </c>
      <c r="I2587" s="26" t="s">
        <v>1205</v>
      </c>
      <c r="J2587" s="27" t="s">
        <v>1202</v>
      </c>
      <c r="K2587" s="29">
        <v>5</v>
      </c>
      <c r="L2587" s="29">
        <v>5</v>
      </c>
      <c r="M2587" s="29">
        <v>5</v>
      </c>
      <c r="N2587" s="29">
        <v>5</v>
      </c>
      <c r="O2587" s="29">
        <v>5</v>
      </c>
      <c r="P2587" s="40">
        <v>45</v>
      </c>
      <c r="Q2587" s="1" t="s">
        <v>1206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43">
        <f>SUM(R2587:W2599)</f>
        <v>0</v>
      </c>
      <c r="Y2587" s="10">
        <v>46204</v>
      </c>
      <c r="Z2587" s="11">
        <v>0.21896900122639595</v>
      </c>
      <c r="AA2587" s="11">
        <v>0.18255917925488163</v>
      </c>
      <c r="AB2587" s="11">
        <v>0.14708513495490375</v>
      </c>
      <c r="AC2587" s="11">
        <v>0.12856702693487934</v>
      </c>
      <c r="AD2587" s="11">
        <v>0.11429546234595808</v>
      </c>
      <c r="AE2587" s="11">
        <v>0.13131505978116356</v>
      </c>
      <c r="AF2587" s="11">
        <v>0.15</v>
      </c>
      <c r="AG2587" s="13">
        <v>0.23899999999999999</v>
      </c>
    </row>
    <row r="2588" spans="2:33"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35"/>
      <c r="Q2588" s="36" t="s">
        <v>1207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37">
        <v>0</v>
      </c>
      <c r="X2588" s="18"/>
      <c r="Y2588" s="14"/>
      <c r="Z2588" s="14"/>
      <c r="AA2588" s="14"/>
      <c r="AB2588" s="14"/>
      <c r="AC2588" s="14"/>
      <c r="AD2588" s="14"/>
      <c r="AE2588" s="14"/>
      <c r="AF2588" s="14"/>
      <c r="AG2588" s="35"/>
    </row>
    <row r="2589" spans="2:33">
      <c r="B2589" s="19"/>
      <c r="P2589" s="16"/>
      <c r="Q2589" s="36" t="s">
        <v>1208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37">
        <v>0</v>
      </c>
      <c r="X2589" s="19"/>
      <c r="AG2589" s="16"/>
    </row>
    <row r="2590" spans="2:33">
      <c r="B2590" s="19"/>
      <c r="P2590" s="16"/>
      <c r="Q2590" s="36" t="s">
        <v>1209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37">
        <v>0</v>
      </c>
      <c r="X2590" s="19"/>
      <c r="AG2590" s="16"/>
    </row>
    <row r="2591" spans="2:33">
      <c r="B2591" s="19"/>
      <c r="P2591" s="16"/>
      <c r="Q2591" s="36" t="s">
        <v>1210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37">
        <v>0</v>
      </c>
      <c r="X2591" s="19"/>
      <c r="AG2591" s="16"/>
    </row>
    <row r="2592" spans="2:33">
      <c r="B2592" s="19"/>
      <c r="P2592" s="16"/>
      <c r="Q2592" s="36" t="s">
        <v>1211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37">
        <v>0</v>
      </c>
      <c r="X2592" s="19"/>
      <c r="AG2592" s="16"/>
    </row>
    <row r="2593" spans="2:33">
      <c r="B2593" s="19"/>
      <c r="P2593" s="16"/>
      <c r="Q2593" s="36" t="s">
        <v>1212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37">
        <v>0</v>
      </c>
      <c r="X2593" s="19"/>
      <c r="AG2593" s="16"/>
    </row>
    <row r="2594" spans="2:33">
      <c r="B2594" s="19"/>
      <c r="P2594" s="16"/>
      <c r="Q2594" s="36" t="s">
        <v>1213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37">
        <v>0</v>
      </c>
      <c r="X2594" s="19"/>
      <c r="AG2594" s="16"/>
    </row>
    <row r="2595" spans="2:33">
      <c r="B2595" s="19"/>
      <c r="P2595" s="16"/>
      <c r="Q2595" s="36" t="s">
        <v>1214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37">
        <v>0</v>
      </c>
      <c r="X2595" s="19"/>
      <c r="AG2595" s="16"/>
    </row>
    <row r="2596" spans="2:33">
      <c r="B2596" s="19"/>
      <c r="P2596" s="16"/>
      <c r="Q2596" s="36" t="s">
        <v>1215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37">
        <v>0</v>
      </c>
      <c r="X2596" s="19"/>
      <c r="AG2596" s="16"/>
    </row>
    <row r="2597" spans="2:33">
      <c r="B2597" s="19"/>
      <c r="P2597" s="16"/>
      <c r="Q2597" s="36" t="s">
        <v>1216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37">
        <v>0</v>
      </c>
      <c r="X2597" s="19"/>
      <c r="AG2597" s="16"/>
    </row>
    <row r="2598" spans="2:33">
      <c r="B2598" s="19"/>
      <c r="P2598" s="16"/>
      <c r="Q2598" s="36" t="s">
        <v>1217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37">
        <v>0</v>
      </c>
      <c r="X2598" s="19"/>
      <c r="AG2598" s="16"/>
    </row>
    <row r="2599" spans="2:33" ht="15" thickBot="1">
      <c r="B2599" s="20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5"/>
      <c r="O2599" s="15"/>
      <c r="P2599" s="17"/>
      <c r="Q2599" s="36" t="s">
        <v>1218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37">
        <v>0</v>
      </c>
      <c r="X2599" s="20"/>
      <c r="Y2599" s="15"/>
      <c r="Z2599" s="15"/>
      <c r="AA2599" s="15"/>
      <c r="AB2599" s="15"/>
      <c r="AC2599" s="15"/>
      <c r="AD2599" s="15"/>
      <c r="AE2599" s="15"/>
      <c r="AF2599" s="15"/>
      <c r="AG2599" s="17"/>
    </row>
    <row r="2600" spans="2:33" ht="15" thickBot="1"/>
    <row r="2601" spans="2:33" ht="29.5" thickBot="1">
      <c r="B2601" s="33" t="s">
        <v>2188</v>
      </c>
      <c r="C2601" s="26" t="s">
        <v>1198</v>
      </c>
      <c r="D2601" s="26" t="s">
        <v>1219</v>
      </c>
      <c r="E2601" s="26" t="s">
        <v>1220</v>
      </c>
      <c r="F2601" s="26" t="s">
        <v>126</v>
      </c>
      <c r="G2601" s="26" t="s">
        <v>33</v>
      </c>
      <c r="H2601" s="27" t="s">
        <v>33</v>
      </c>
      <c r="I2601" s="26" t="s">
        <v>1221</v>
      </c>
      <c r="J2601" s="27" t="s">
        <v>1202</v>
      </c>
      <c r="K2601" s="29">
        <v>5</v>
      </c>
      <c r="L2601" s="29">
        <v>5</v>
      </c>
      <c r="M2601" s="29">
        <v>5</v>
      </c>
      <c r="N2601" s="29">
        <v>5</v>
      </c>
      <c r="O2601" s="29">
        <v>5</v>
      </c>
      <c r="P2601" s="40">
        <v>45</v>
      </c>
      <c r="Q2601" s="1" t="s">
        <v>35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43">
        <f>SUM(R2601:W2613)</f>
        <v>0</v>
      </c>
      <c r="Y2601" s="10">
        <v>46204</v>
      </c>
      <c r="Z2601" s="11">
        <v>0.21896900122639595</v>
      </c>
      <c r="AA2601" s="11">
        <v>0.18255917925488163</v>
      </c>
      <c r="AB2601" s="11">
        <v>0.14708513495490375</v>
      </c>
      <c r="AC2601" s="11">
        <v>0.12856702693487934</v>
      </c>
      <c r="AD2601" s="11">
        <v>0.11429546234595808</v>
      </c>
      <c r="AE2601" s="11">
        <v>0.13131505978116356</v>
      </c>
      <c r="AF2601" s="11">
        <v>0.15</v>
      </c>
      <c r="AG2601" s="13">
        <v>0.23899999999999999</v>
      </c>
    </row>
    <row r="2602" spans="2:33"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35"/>
      <c r="Q2602" s="36" t="s">
        <v>36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37">
        <v>0</v>
      </c>
      <c r="X2602" s="18"/>
      <c r="Y2602" s="14"/>
      <c r="Z2602" s="14"/>
      <c r="AA2602" s="14"/>
      <c r="AB2602" s="14"/>
      <c r="AC2602" s="14"/>
      <c r="AD2602" s="14"/>
      <c r="AE2602" s="14"/>
      <c r="AF2602" s="14"/>
      <c r="AG2602" s="35"/>
    </row>
    <row r="2603" spans="2:33">
      <c r="B2603" s="19"/>
      <c r="P2603" s="16"/>
      <c r="Q2603" s="36" t="s">
        <v>37</v>
      </c>
      <c r="R2603" s="13">
        <v>0</v>
      </c>
      <c r="S2603" s="13">
        <v>0</v>
      </c>
      <c r="T2603" s="13">
        <v>0</v>
      </c>
      <c r="U2603" s="13">
        <v>0</v>
      </c>
      <c r="V2603" s="13">
        <v>0</v>
      </c>
      <c r="W2603" s="37">
        <v>0</v>
      </c>
      <c r="X2603" s="19"/>
      <c r="AG2603" s="16"/>
    </row>
    <row r="2604" spans="2:33">
      <c r="B2604" s="19"/>
      <c r="P2604" s="16"/>
      <c r="Q2604" s="36" t="s">
        <v>38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37">
        <v>0</v>
      </c>
      <c r="X2604" s="19"/>
      <c r="AG2604" s="16"/>
    </row>
    <row r="2605" spans="2:33">
      <c r="B2605" s="19"/>
      <c r="P2605" s="16"/>
      <c r="Q2605" s="36" t="s">
        <v>350</v>
      </c>
      <c r="R2605" s="13">
        <v>0</v>
      </c>
      <c r="S2605" s="13">
        <v>0</v>
      </c>
      <c r="T2605" s="13">
        <v>0</v>
      </c>
      <c r="U2605" s="13">
        <v>0</v>
      </c>
      <c r="V2605" s="13">
        <v>0</v>
      </c>
      <c r="W2605" s="37">
        <v>0</v>
      </c>
      <c r="X2605" s="19"/>
      <c r="AG2605" s="16"/>
    </row>
    <row r="2606" spans="2:33">
      <c r="B2606" s="19"/>
      <c r="P2606" s="16"/>
      <c r="Q2606" s="36" t="s">
        <v>351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37">
        <v>0</v>
      </c>
      <c r="X2606" s="19"/>
      <c r="AG2606" s="16"/>
    </row>
    <row r="2607" spans="2:33">
      <c r="B2607" s="19"/>
      <c r="P2607" s="16"/>
      <c r="Q2607" s="36" t="s">
        <v>40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37">
        <v>0</v>
      </c>
      <c r="X2607" s="19"/>
      <c r="AG2607" s="16"/>
    </row>
    <row r="2608" spans="2:33">
      <c r="B2608" s="19"/>
      <c r="P2608" s="16"/>
      <c r="Q2608" s="36" t="s">
        <v>41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37">
        <v>0</v>
      </c>
      <c r="X2608" s="19"/>
      <c r="AG2608" s="16"/>
    </row>
    <row r="2609" spans="2:33">
      <c r="B2609" s="19"/>
      <c r="P2609" s="16"/>
      <c r="Q2609" s="36" t="s">
        <v>42</v>
      </c>
      <c r="R2609" s="13">
        <v>0</v>
      </c>
      <c r="S2609" s="13">
        <v>0</v>
      </c>
      <c r="T2609" s="13">
        <v>0</v>
      </c>
      <c r="U2609" s="13">
        <v>0</v>
      </c>
      <c r="V2609" s="13">
        <v>0</v>
      </c>
      <c r="W2609" s="37">
        <v>0</v>
      </c>
      <c r="X2609" s="19"/>
      <c r="AG2609" s="16"/>
    </row>
    <row r="2610" spans="2:33">
      <c r="B2610" s="19"/>
      <c r="P2610" s="16"/>
      <c r="Q2610" s="36" t="s">
        <v>43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37">
        <v>0</v>
      </c>
      <c r="X2610" s="19"/>
      <c r="AG2610" s="16"/>
    </row>
    <row r="2611" spans="2:33">
      <c r="B2611" s="19"/>
      <c r="P2611" s="16"/>
      <c r="Q2611" s="36" t="s">
        <v>44</v>
      </c>
      <c r="R2611" s="13">
        <v>0</v>
      </c>
      <c r="S2611" s="13">
        <v>0</v>
      </c>
      <c r="T2611" s="13">
        <v>0</v>
      </c>
      <c r="U2611" s="13">
        <v>0</v>
      </c>
      <c r="V2611" s="13">
        <v>0</v>
      </c>
      <c r="W2611" s="37">
        <v>0</v>
      </c>
      <c r="X2611" s="19"/>
      <c r="AG2611" s="16"/>
    </row>
    <row r="2612" spans="2:33">
      <c r="B2612" s="19"/>
      <c r="P2612" s="16"/>
      <c r="Q2612" s="36" t="s">
        <v>45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37">
        <v>0</v>
      </c>
      <c r="X2612" s="19"/>
      <c r="AG2612" s="16"/>
    </row>
    <row r="2613" spans="2:33" ht="15" thickBot="1">
      <c r="B2613" s="20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5"/>
      <c r="O2613" s="15"/>
      <c r="P2613" s="17"/>
      <c r="Q2613" s="36" t="s">
        <v>46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37">
        <v>0</v>
      </c>
      <c r="X2613" s="20"/>
      <c r="Y2613" s="15"/>
      <c r="Z2613" s="15"/>
      <c r="AA2613" s="15"/>
      <c r="AB2613" s="15"/>
      <c r="AC2613" s="15"/>
      <c r="AD2613" s="15"/>
      <c r="AE2613" s="15"/>
      <c r="AF2613" s="15"/>
      <c r="AG2613" s="17"/>
    </row>
    <row r="2614" spans="2:33" ht="15" thickBot="1"/>
    <row r="2615" spans="2:33" ht="29.5" thickBot="1">
      <c r="B2615" s="33" t="s">
        <v>2188</v>
      </c>
      <c r="C2615" s="26" t="s">
        <v>1198</v>
      </c>
      <c r="D2615" s="26" t="s">
        <v>1222</v>
      </c>
      <c r="E2615" s="26" t="s">
        <v>1223</v>
      </c>
      <c r="F2615" s="26" t="s">
        <v>126</v>
      </c>
      <c r="G2615" s="26" t="s">
        <v>33</v>
      </c>
      <c r="H2615" s="27" t="s">
        <v>33</v>
      </c>
      <c r="I2615" s="26" t="s">
        <v>1224</v>
      </c>
      <c r="J2615" s="27" t="s">
        <v>1202</v>
      </c>
      <c r="K2615" s="29">
        <v>5</v>
      </c>
      <c r="L2615" s="29">
        <v>5</v>
      </c>
      <c r="M2615" s="29">
        <v>5</v>
      </c>
      <c r="N2615" s="29">
        <v>5</v>
      </c>
      <c r="O2615" s="29">
        <v>5</v>
      </c>
      <c r="P2615" s="40">
        <v>110</v>
      </c>
      <c r="Q2615" s="1" t="s">
        <v>35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43">
        <f>SUM(R2615:W2627)</f>
        <v>6</v>
      </c>
      <c r="Y2615" s="10">
        <v>46204</v>
      </c>
      <c r="Z2615" s="11">
        <v>0.21896900122639595</v>
      </c>
      <c r="AA2615" s="11">
        <v>0.18255917925488163</v>
      </c>
      <c r="AB2615" s="11">
        <v>0.14708513495490375</v>
      </c>
      <c r="AC2615" s="11">
        <v>0.12856702693487934</v>
      </c>
      <c r="AD2615" s="11">
        <v>0.11429546234595808</v>
      </c>
      <c r="AE2615" s="11">
        <v>0.13131505978116356</v>
      </c>
      <c r="AF2615" s="11">
        <v>0.15</v>
      </c>
      <c r="AG2615" s="13">
        <v>0.23899999999999999</v>
      </c>
    </row>
    <row r="2616" spans="2:33"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35"/>
      <c r="Q2616" s="36" t="s">
        <v>36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37">
        <v>0</v>
      </c>
      <c r="X2616" s="18"/>
      <c r="Y2616" s="14"/>
      <c r="Z2616" s="14"/>
      <c r="AA2616" s="14"/>
      <c r="AB2616" s="14"/>
      <c r="AC2616" s="14"/>
      <c r="AD2616" s="14"/>
      <c r="AE2616" s="14"/>
      <c r="AF2616" s="14"/>
      <c r="AG2616" s="35"/>
    </row>
    <row r="2617" spans="2:33">
      <c r="B2617" s="19"/>
      <c r="P2617" s="16"/>
      <c r="Q2617" s="36" t="s">
        <v>37</v>
      </c>
      <c r="R2617" s="13">
        <v>0</v>
      </c>
      <c r="S2617" s="13">
        <v>6</v>
      </c>
      <c r="T2617" s="13">
        <v>0</v>
      </c>
      <c r="U2617" s="13">
        <v>0</v>
      </c>
      <c r="V2617" s="13">
        <v>0</v>
      </c>
      <c r="W2617" s="37">
        <v>0</v>
      </c>
      <c r="X2617" s="19"/>
      <c r="AG2617" s="16"/>
    </row>
    <row r="2618" spans="2:33">
      <c r="B2618" s="19"/>
      <c r="P2618" s="16"/>
      <c r="Q2618" s="36" t="s">
        <v>38</v>
      </c>
      <c r="R2618" s="13">
        <v>0</v>
      </c>
      <c r="S2618" s="13">
        <v>0</v>
      </c>
      <c r="T2618" s="13">
        <v>0</v>
      </c>
      <c r="U2618" s="13">
        <v>0</v>
      </c>
      <c r="V2618" s="13">
        <v>0</v>
      </c>
      <c r="W2618" s="37">
        <v>0</v>
      </c>
      <c r="X2618" s="19"/>
      <c r="AG2618" s="16"/>
    </row>
    <row r="2619" spans="2:33">
      <c r="B2619" s="19"/>
      <c r="P2619" s="16"/>
      <c r="Q2619" s="36" t="s">
        <v>350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37">
        <v>0</v>
      </c>
      <c r="X2619" s="19"/>
      <c r="AG2619" s="16"/>
    </row>
    <row r="2620" spans="2:33">
      <c r="B2620" s="19"/>
      <c r="P2620" s="16"/>
      <c r="Q2620" s="36" t="s">
        <v>351</v>
      </c>
      <c r="R2620" s="13">
        <v>0</v>
      </c>
      <c r="S2620" s="13">
        <v>0</v>
      </c>
      <c r="T2620" s="13">
        <v>0</v>
      </c>
      <c r="U2620" s="13">
        <v>0</v>
      </c>
      <c r="V2620" s="13">
        <v>0</v>
      </c>
      <c r="W2620" s="37">
        <v>0</v>
      </c>
      <c r="X2620" s="19"/>
      <c r="AG2620" s="16"/>
    </row>
    <row r="2621" spans="2:33">
      <c r="B2621" s="19"/>
      <c r="P2621" s="16"/>
      <c r="Q2621" s="36" t="s">
        <v>40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37">
        <v>0</v>
      </c>
      <c r="X2621" s="19"/>
      <c r="AG2621" s="16"/>
    </row>
    <row r="2622" spans="2:33">
      <c r="B2622" s="19"/>
      <c r="P2622" s="16"/>
      <c r="Q2622" s="36" t="s">
        <v>41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37">
        <v>0</v>
      </c>
      <c r="X2622" s="19"/>
      <c r="AG2622" s="16"/>
    </row>
    <row r="2623" spans="2:33">
      <c r="B2623" s="19"/>
      <c r="P2623" s="16"/>
      <c r="Q2623" s="36" t="s">
        <v>42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37">
        <v>0</v>
      </c>
      <c r="X2623" s="19"/>
      <c r="AG2623" s="16"/>
    </row>
    <row r="2624" spans="2:33">
      <c r="B2624" s="19"/>
      <c r="P2624" s="16"/>
      <c r="Q2624" s="36" t="s">
        <v>43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37">
        <v>0</v>
      </c>
      <c r="X2624" s="19"/>
      <c r="AG2624" s="16"/>
    </row>
    <row r="2625" spans="2:33">
      <c r="B2625" s="19"/>
      <c r="P2625" s="16"/>
      <c r="Q2625" s="36" t="s">
        <v>44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37">
        <v>0</v>
      </c>
      <c r="X2625" s="19"/>
      <c r="AG2625" s="16"/>
    </row>
    <row r="2626" spans="2:33">
      <c r="B2626" s="19"/>
      <c r="P2626" s="16"/>
      <c r="Q2626" s="36" t="s">
        <v>45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37">
        <v>0</v>
      </c>
      <c r="X2626" s="19"/>
      <c r="AG2626" s="16"/>
    </row>
    <row r="2627" spans="2:33" ht="15" thickBot="1">
      <c r="B2627" s="20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7"/>
      <c r="Q2627" s="36" t="s">
        <v>46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37">
        <v>0</v>
      </c>
      <c r="X2627" s="20"/>
      <c r="Y2627" s="15"/>
      <c r="Z2627" s="15"/>
      <c r="AA2627" s="15"/>
      <c r="AB2627" s="15"/>
      <c r="AC2627" s="15"/>
      <c r="AD2627" s="15"/>
      <c r="AE2627" s="15"/>
      <c r="AF2627" s="15"/>
      <c r="AG2627" s="17"/>
    </row>
    <row r="2628" spans="2:33" ht="15" thickBot="1"/>
    <row r="2629" spans="2:33" ht="29.5" thickBot="1">
      <c r="B2629" s="33" t="s">
        <v>2188</v>
      </c>
      <c r="C2629" s="26" t="s">
        <v>1198</v>
      </c>
      <c r="D2629" s="26" t="s">
        <v>1225</v>
      </c>
      <c r="E2629" s="26" t="s">
        <v>1226</v>
      </c>
      <c r="F2629" s="26" t="s">
        <v>126</v>
      </c>
      <c r="G2629" s="26" t="s">
        <v>33</v>
      </c>
      <c r="H2629" s="27" t="s">
        <v>33</v>
      </c>
      <c r="I2629" s="26" t="s">
        <v>1227</v>
      </c>
      <c r="J2629" s="27" t="s">
        <v>1202</v>
      </c>
      <c r="K2629" s="29">
        <v>5</v>
      </c>
      <c r="L2629" s="29">
        <v>5</v>
      </c>
      <c r="M2629" s="29">
        <v>5</v>
      </c>
      <c r="N2629" s="29">
        <v>5</v>
      </c>
      <c r="O2629" s="29">
        <v>5</v>
      </c>
      <c r="P2629" s="40">
        <v>45</v>
      </c>
      <c r="Q2629" s="1" t="s">
        <v>35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43">
        <f>SUM(R2629:W2641)</f>
        <v>0</v>
      </c>
      <c r="Y2629" s="10">
        <v>46204</v>
      </c>
      <c r="Z2629" s="11">
        <v>0.21896900122639595</v>
      </c>
      <c r="AA2629" s="11">
        <v>0.18255917925488163</v>
      </c>
      <c r="AB2629" s="11">
        <v>0.14708513495490375</v>
      </c>
      <c r="AC2629" s="11">
        <v>0.12856702693487934</v>
      </c>
      <c r="AD2629" s="11">
        <v>0.11429546234595808</v>
      </c>
      <c r="AE2629" s="11">
        <v>0.13131505978116356</v>
      </c>
      <c r="AF2629" s="11">
        <v>0.15</v>
      </c>
      <c r="AG2629" s="13">
        <v>0.23899999999999999</v>
      </c>
    </row>
    <row r="2630" spans="2:33"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35"/>
      <c r="Q2630" s="36" t="s">
        <v>36</v>
      </c>
      <c r="R2630" s="13">
        <v>0</v>
      </c>
      <c r="S2630" s="13">
        <v>0</v>
      </c>
      <c r="T2630" s="13">
        <v>0</v>
      </c>
      <c r="U2630" s="13">
        <v>0</v>
      </c>
      <c r="V2630" s="13">
        <v>0</v>
      </c>
      <c r="W2630" s="37">
        <v>0</v>
      </c>
      <c r="X2630" s="18"/>
      <c r="Y2630" s="14"/>
      <c r="Z2630" s="14"/>
      <c r="AA2630" s="14"/>
      <c r="AB2630" s="14"/>
      <c r="AC2630" s="14"/>
      <c r="AD2630" s="14"/>
      <c r="AE2630" s="14"/>
      <c r="AF2630" s="14"/>
      <c r="AG2630" s="35"/>
    </row>
    <row r="2631" spans="2:33">
      <c r="B2631" s="19"/>
      <c r="P2631" s="16"/>
      <c r="Q2631" s="36" t="s">
        <v>37</v>
      </c>
      <c r="R2631" s="13">
        <v>0</v>
      </c>
      <c r="S2631" s="13">
        <v>0</v>
      </c>
      <c r="T2631" s="13">
        <v>0</v>
      </c>
      <c r="U2631" s="13">
        <v>0</v>
      </c>
      <c r="V2631" s="13">
        <v>0</v>
      </c>
      <c r="W2631" s="37">
        <v>0</v>
      </c>
      <c r="X2631" s="19"/>
      <c r="AG2631" s="16"/>
    </row>
    <row r="2632" spans="2:33">
      <c r="B2632" s="19"/>
      <c r="P2632" s="16"/>
      <c r="Q2632" s="36" t="s">
        <v>38</v>
      </c>
      <c r="R2632" s="13">
        <v>0</v>
      </c>
      <c r="S2632" s="13">
        <v>0</v>
      </c>
      <c r="T2632" s="13">
        <v>0</v>
      </c>
      <c r="U2632" s="13">
        <v>0</v>
      </c>
      <c r="V2632" s="13">
        <v>0</v>
      </c>
      <c r="W2632" s="37">
        <v>0</v>
      </c>
      <c r="X2632" s="19"/>
      <c r="AG2632" s="16"/>
    </row>
    <row r="2633" spans="2:33">
      <c r="B2633" s="19"/>
      <c r="P2633" s="16"/>
      <c r="Q2633" s="36" t="s">
        <v>350</v>
      </c>
      <c r="R2633" s="13">
        <v>0</v>
      </c>
      <c r="S2633" s="13">
        <v>0</v>
      </c>
      <c r="T2633" s="13">
        <v>0</v>
      </c>
      <c r="U2633" s="13">
        <v>0</v>
      </c>
      <c r="V2633" s="13">
        <v>0</v>
      </c>
      <c r="W2633" s="37">
        <v>0</v>
      </c>
      <c r="X2633" s="19"/>
      <c r="AG2633" s="16"/>
    </row>
    <row r="2634" spans="2:33">
      <c r="B2634" s="19"/>
      <c r="P2634" s="16"/>
      <c r="Q2634" s="36" t="s">
        <v>351</v>
      </c>
      <c r="R2634" s="13">
        <v>0</v>
      </c>
      <c r="S2634" s="13">
        <v>0</v>
      </c>
      <c r="T2634" s="13">
        <v>0</v>
      </c>
      <c r="U2634" s="13">
        <v>0</v>
      </c>
      <c r="V2634" s="13">
        <v>0</v>
      </c>
      <c r="W2634" s="37">
        <v>0</v>
      </c>
      <c r="X2634" s="19"/>
      <c r="AG2634" s="16"/>
    </row>
    <row r="2635" spans="2:33">
      <c r="B2635" s="19"/>
      <c r="P2635" s="16"/>
      <c r="Q2635" s="36" t="s">
        <v>40</v>
      </c>
      <c r="R2635" s="13">
        <v>0</v>
      </c>
      <c r="S2635" s="13">
        <v>0</v>
      </c>
      <c r="T2635" s="13">
        <v>0</v>
      </c>
      <c r="U2635" s="13">
        <v>0</v>
      </c>
      <c r="V2635" s="13">
        <v>0</v>
      </c>
      <c r="W2635" s="37">
        <v>0</v>
      </c>
      <c r="X2635" s="19"/>
      <c r="AG2635" s="16"/>
    </row>
    <row r="2636" spans="2:33">
      <c r="B2636" s="19"/>
      <c r="P2636" s="16"/>
      <c r="Q2636" s="36" t="s">
        <v>41</v>
      </c>
      <c r="R2636" s="13">
        <v>0</v>
      </c>
      <c r="S2636" s="13">
        <v>0</v>
      </c>
      <c r="T2636" s="13">
        <v>0</v>
      </c>
      <c r="U2636" s="13">
        <v>0</v>
      </c>
      <c r="V2636" s="13">
        <v>0</v>
      </c>
      <c r="W2636" s="37">
        <v>0</v>
      </c>
      <c r="X2636" s="19"/>
      <c r="AG2636" s="16"/>
    </row>
    <row r="2637" spans="2:33">
      <c r="B2637" s="19"/>
      <c r="P2637" s="16"/>
      <c r="Q2637" s="36" t="s">
        <v>42</v>
      </c>
      <c r="R2637" s="13">
        <v>0</v>
      </c>
      <c r="S2637" s="13">
        <v>0</v>
      </c>
      <c r="T2637" s="13">
        <v>0</v>
      </c>
      <c r="U2637" s="13">
        <v>0</v>
      </c>
      <c r="V2637" s="13">
        <v>0</v>
      </c>
      <c r="W2637" s="37">
        <v>0</v>
      </c>
      <c r="X2637" s="19"/>
      <c r="AG2637" s="16"/>
    </row>
    <row r="2638" spans="2:33">
      <c r="B2638" s="19"/>
      <c r="P2638" s="16"/>
      <c r="Q2638" s="36" t="s">
        <v>43</v>
      </c>
      <c r="R2638" s="13">
        <v>0</v>
      </c>
      <c r="S2638" s="13">
        <v>0</v>
      </c>
      <c r="T2638" s="13">
        <v>0</v>
      </c>
      <c r="U2638" s="13">
        <v>0</v>
      </c>
      <c r="V2638" s="13">
        <v>0</v>
      </c>
      <c r="W2638" s="37">
        <v>0</v>
      </c>
      <c r="X2638" s="19"/>
      <c r="AG2638" s="16"/>
    </row>
    <row r="2639" spans="2:33">
      <c r="B2639" s="19"/>
      <c r="P2639" s="16"/>
      <c r="Q2639" s="36" t="s">
        <v>44</v>
      </c>
      <c r="R2639" s="13">
        <v>0</v>
      </c>
      <c r="S2639" s="13">
        <v>0</v>
      </c>
      <c r="T2639" s="13">
        <v>0</v>
      </c>
      <c r="U2639" s="13">
        <v>0</v>
      </c>
      <c r="V2639" s="13">
        <v>0</v>
      </c>
      <c r="W2639" s="37">
        <v>0</v>
      </c>
      <c r="X2639" s="19"/>
      <c r="AG2639" s="16"/>
    </row>
    <row r="2640" spans="2:33">
      <c r="B2640" s="19"/>
      <c r="P2640" s="16"/>
      <c r="Q2640" s="36" t="s">
        <v>45</v>
      </c>
      <c r="R2640" s="13">
        <v>0</v>
      </c>
      <c r="S2640" s="13">
        <v>0</v>
      </c>
      <c r="T2640" s="13">
        <v>0</v>
      </c>
      <c r="U2640" s="13">
        <v>0</v>
      </c>
      <c r="V2640" s="13">
        <v>0</v>
      </c>
      <c r="W2640" s="37">
        <v>0</v>
      </c>
      <c r="X2640" s="19"/>
      <c r="AG2640" s="16"/>
    </row>
    <row r="2641" spans="2:33" ht="15" thickBot="1">
      <c r="B2641" s="20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5"/>
      <c r="O2641" s="15"/>
      <c r="P2641" s="17"/>
      <c r="Q2641" s="36" t="s">
        <v>46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37">
        <v>0</v>
      </c>
      <c r="X2641" s="20"/>
      <c r="Y2641" s="15"/>
      <c r="Z2641" s="15"/>
      <c r="AA2641" s="15"/>
      <c r="AB2641" s="15"/>
      <c r="AC2641" s="15"/>
      <c r="AD2641" s="15"/>
      <c r="AE2641" s="15"/>
      <c r="AF2641" s="15"/>
      <c r="AG2641" s="17"/>
    </row>
    <row r="2642" spans="2:33" ht="15" thickBot="1"/>
    <row r="2643" spans="2:33" ht="29.5" thickBot="1">
      <c r="B2643" s="33" t="s">
        <v>2188</v>
      </c>
      <c r="C2643" s="26" t="s">
        <v>1198</v>
      </c>
      <c r="D2643" s="26" t="s">
        <v>1228</v>
      </c>
      <c r="E2643" s="26" t="s">
        <v>1229</v>
      </c>
      <c r="F2643" s="26" t="s">
        <v>126</v>
      </c>
      <c r="G2643" s="26" t="s">
        <v>33</v>
      </c>
      <c r="H2643" s="27" t="s">
        <v>33</v>
      </c>
      <c r="I2643" s="26" t="s">
        <v>1230</v>
      </c>
      <c r="J2643" s="27" t="s">
        <v>1202</v>
      </c>
      <c r="K2643" s="29">
        <v>5</v>
      </c>
      <c r="L2643" s="29">
        <v>5</v>
      </c>
      <c r="M2643" s="29">
        <v>5</v>
      </c>
      <c r="N2643" s="29">
        <v>5</v>
      </c>
      <c r="O2643" s="29">
        <v>5</v>
      </c>
      <c r="P2643" s="40">
        <v>70</v>
      </c>
      <c r="Q2643" s="1" t="s">
        <v>35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43">
        <f>SUM(R2643:W2655)</f>
        <v>0</v>
      </c>
      <c r="Y2643" s="10">
        <v>46204</v>
      </c>
      <c r="Z2643" s="11">
        <v>0.21896900122639595</v>
      </c>
      <c r="AA2643" s="11">
        <v>0.18255917925488163</v>
      </c>
      <c r="AB2643" s="11">
        <v>0.14708513495490375</v>
      </c>
      <c r="AC2643" s="11">
        <v>0.12856702693487934</v>
      </c>
      <c r="AD2643" s="11">
        <v>0.11429546234595808</v>
      </c>
      <c r="AE2643" s="11">
        <v>0.13131505978116356</v>
      </c>
      <c r="AF2643" s="11">
        <v>0.15</v>
      </c>
      <c r="AG2643" s="13">
        <v>0.23899999999999999</v>
      </c>
    </row>
    <row r="2644" spans="2:33"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35"/>
      <c r="Q2644" s="36" t="s">
        <v>36</v>
      </c>
      <c r="R2644" s="13">
        <v>0</v>
      </c>
      <c r="S2644" s="13">
        <v>0</v>
      </c>
      <c r="T2644" s="13">
        <v>0</v>
      </c>
      <c r="U2644" s="13">
        <v>0</v>
      </c>
      <c r="V2644" s="13">
        <v>0</v>
      </c>
      <c r="W2644" s="37">
        <v>0</v>
      </c>
      <c r="X2644" s="18"/>
      <c r="Y2644" s="14"/>
      <c r="Z2644" s="14"/>
      <c r="AA2644" s="14"/>
      <c r="AB2644" s="14"/>
      <c r="AC2644" s="14"/>
      <c r="AD2644" s="14"/>
      <c r="AE2644" s="14"/>
      <c r="AF2644" s="14"/>
      <c r="AG2644" s="35"/>
    </row>
    <row r="2645" spans="2:33">
      <c r="B2645" s="19"/>
      <c r="P2645" s="16"/>
      <c r="Q2645" s="36" t="s">
        <v>37</v>
      </c>
      <c r="R2645" s="13">
        <v>0</v>
      </c>
      <c r="S2645" s="13">
        <v>0</v>
      </c>
      <c r="T2645" s="13">
        <v>0</v>
      </c>
      <c r="U2645" s="13">
        <v>0</v>
      </c>
      <c r="V2645" s="13">
        <v>0</v>
      </c>
      <c r="W2645" s="37">
        <v>0</v>
      </c>
      <c r="X2645" s="19"/>
      <c r="AG2645" s="16"/>
    </row>
    <row r="2646" spans="2:33">
      <c r="B2646" s="19"/>
      <c r="P2646" s="16"/>
      <c r="Q2646" s="36" t="s">
        <v>38</v>
      </c>
      <c r="R2646" s="13">
        <v>0</v>
      </c>
      <c r="S2646" s="13">
        <v>0</v>
      </c>
      <c r="T2646" s="13">
        <v>0</v>
      </c>
      <c r="U2646" s="13">
        <v>0</v>
      </c>
      <c r="V2646" s="13">
        <v>0</v>
      </c>
      <c r="W2646" s="37">
        <v>0</v>
      </c>
      <c r="X2646" s="19"/>
      <c r="AG2646" s="16"/>
    </row>
    <row r="2647" spans="2:33">
      <c r="B2647" s="19"/>
      <c r="P2647" s="16"/>
      <c r="Q2647" s="36" t="s">
        <v>350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37">
        <v>0</v>
      </c>
      <c r="X2647" s="19"/>
      <c r="AG2647" s="16"/>
    </row>
    <row r="2648" spans="2:33">
      <c r="B2648" s="19"/>
      <c r="P2648" s="16"/>
      <c r="Q2648" s="36" t="s">
        <v>351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37">
        <v>0</v>
      </c>
      <c r="X2648" s="19"/>
      <c r="AG2648" s="16"/>
    </row>
    <row r="2649" spans="2:33">
      <c r="B2649" s="19"/>
      <c r="P2649" s="16"/>
      <c r="Q2649" s="36" t="s">
        <v>40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37">
        <v>0</v>
      </c>
      <c r="X2649" s="19"/>
      <c r="AG2649" s="16"/>
    </row>
    <row r="2650" spans="2:33">
      <c r="B2650" s="19"/>
      <c r="P2650" s="16"/>
      <c r="Q2650" s="36" t="s">
        <v>41</v>
      </c>
      <c r="R2650" s="13">
        <v>0</v>
      </c>
      <c r="S2650" s="13">
        <v>0</v>
      </c>
      <c r="T2650" s="13">
        <v>0</v>
      </c>
      <c r="U2650" s="13">
        <v>0</v>
      </c>
      <c r="V2650" s="13">
        <v>0</v>
      </c>
      <c r="W2650" s="37">
        <v>0</v>
      </c>
      <c r="X2650" s="19"/>
      <c r="AG2650" s="16"/>
    </row>
    <row r="2651" spans="2:33">
      <c r="B2651" s="19"/>
      <c r="P2651" s="16"/>
      <c r="Q2651" s="36" t="s">
        <v>42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37">
        <v>0</v>
      </c>
      <c r="X2651" s="19"/>
      <c r="AG2651" s="16"/>
    </row>
    <row r="2652" spans="2:33">
      <c r="B2652" s="19"/>
      <c r="P2652" s="16"/>
      <c r="Q2652" s="36" t="s">
        <v>43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37">
        <v>0</v>
      </c>
      <c r="X2652" s="19"/>
      <c r="AG2652" s="16"/>
    </row>
    <row r="2653" spans="2:33">
      <c r="B2653" s="19"/>
      <c r="P2653" s="16"/>
      <c r="Q2653" s="36" t="s">
        <v>44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37">
        <v>0</v>
      </c>
      <c r="X2653" s="19"/>
      <c r="AG2653" s="16"/>
    </row>
    <row r="2654" spans="2:33">
      <c r="B2654" s="19"/>
      <c r="P2654" s="16"/>
      <c r="Q2654" s="36" t="s">
        <v>45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37">
        <v>0</v>
      </c>
      <c r="X2654" s="19"/>
      <c r="AG2654" s="16"/>
    </row>
    <row r="2655" spans="2:33" ht="15" thickBot="1">
      <c r="B2655" s="20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5"/>
      <c r="O2655" s="15"/>
      <c r="P2655" s="17"/>
      <c r="Q2655" s="36" t="s">
        <v>46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37">
        <v>0</v>
      </c>
      <c r="X2655" s="20"/>
      <c r="Y2655" s="15"/>
      <c r="Z2655" s="15"/>
      <c r="AA2655" s="15"/>
      <c r="AB2655" s="15"/>
      <c r="AC2655" s="15"/>
      <c r="AD2655" s="15"/>
      <c r="AE2655" s="15"/>
      <c r="AF2655" s="15"/>
      <c r="AG2655" s="17"/>
    </row>
    <row r="2656" spans="2:33" ht="15" thickBot="1"/>
    <row r="2657" spans="2:33" ht="29.5" thickBot="1">
      <c r="B2657" s="33" t="s">
        <v>2188</v>
      </c>
      <c r="C2657" s="26" t="s">
        <v>1198</v>
      </c>
      <c r="D2657" s="26" t="s">
        <v>1231</v>
      </c>
      <c r="E2657" s="26" t="s">
        <v>1232</v>
      </c>
      <c r="F2657" s="26" t="s">
        <v>126</v>
      </c>
      <c r="G2657" s="26" t="s">
        <v>33</v>
      </c>
      <c r="H2657" s="27" t="s">
        <v>33</v>
      </c>
      <c r="I2657" s="26" t="s">
        <v>1233</v>
      </c>
      <c r="J2657" s="27" t="s">
        <v>1202</v>
      </c>
      <c r="K2657" s="29">
        <v>5</v>
      </c>
      <c r="L2657" s="29">
        <v>5</v>
      </c>
      <c r="M2657" s="29">
        <v>5</v>
      </c>
      <c r="N2657" s="29">
        <v>5</v>
      </c>
      <c r="O2657" s="29">
        <v>5</v>
      </c>
      <c r="P2657" s="40">
        <v>45</v>
      </c>
      <c r="Q2657" s="1" t="s">
        <v>35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43">
        <f>SUM(R2657:W2669)</f>
        <v>0</v>
      </c>
      <c r="Y2657" s="10">
        <v>46204</v>
      </c>
      <c r="Z2657" s="11">
        <v>0.21896900122639595</v>
      </c>
      <c r="AA2657" s="11">
        <v>0.18255917925488163</v>
      </c>
      <c r="AB2657" s="11">
        <v>0.14708513495490375</v>
      </c>
      <c r="AC2657" s="11">
        <v>0.12856702693487934</v>
      </c>
      <c r="AD2657" s="11">
        <v>0.11429546234595808</v>
      </c>
      <c r="AE2657" s="11">
        <v>0.13131505978116356</v>
      </c>
      <c r="AF2657" s="11">
        <v>0.15</v>
      </c>
      <c r="AG2657" s="13">
        <v>0.23899999999999999</v>
      </c>
    </row>
    <row r="2658" spans="2:33"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35"/>
      <c r="Q2658" s="36" t="s">
        <v>36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37">
        <v>0</v>
      </c>
      <c r="X2658" s="18"/>
      <c r="Y2658" s="14"/>
      <c r="Z2658" s="14"/>
      <c r="AA2658" s="14"/>
      <c r="AB2658" s="14"/>
      <c r="AC2658" s="14"/>
      <c r="AD2658" s="14"/>
      <c r="AE2658" s="14"/>
      <c r="AF2658" s="14"/>
      <c r="AG2658" s="35"/>
    </row>
    <row r="2659" spans="2:33">
      <c r="B2659" s="19"/>
      <c r="P2659" s="16"/>
      <c r="Q2659" s="36" t="s">
        <v>37</v>
      </c>
      <c r="R2659" s="13">
        <v>0</v>
      </c>
      <c r="S2659" s="13">
        <v>0</v>
      </c>
      <c r="T2659" s="13">
        <v>0</v>
      </c>
      <c r="U2659" s="13">
        <v>0</v>
      </c>
      <c r="V2659" s="13">
        <v>0</v>
      </c>
      <c r="W2659" s="37">
        <v>0</v>
      </c>
      <c r="X2659" s="19"/>
      <c r="AG2659" s="16"/>
    </row>
    <row r="2660" spans="2:33">
      <c r="B2660" s="19"/>
      <c r="P2660" s="16"/>
      <c r="Q2660" s="36" t="s">
        <v>38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37">
        <v>0</v>
      </c>
      <c r="X2660" s="19"/>
      <c r="AG2660" s="16"/>
    </row>
    <row r="2661" spans="2:33">
      <c r="B2661" s="19"/>
      <c r="P2661" s="16"/>
      <c r="Q2661" s="36" t="s">
        <v>350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37">
        <v>0</v>
      </c>
      <c r="X2661" s="19"/>
      <c r="AG2661" s="16"/>
    </row>
    <row r="2662" spans="2:33">
      <c r="B2662" s="19"/>
      <c r="P2662" s="16"/>
      <c r="Q2662" s="36" t="s">
        <v>351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37">
        <v>0</v>
      </c>
      <c r="X2662" s="19"/>
      <c r="AG2662" s="16"/>
    </row>
    <row r="2663" spans="2:33">
      <c r="B2663" s="19"/>
      <c r="P2663" s="16"/>
      <c r="Q2663" s="36" t="s">
        <v>40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37">
        <v>0</v>
      </c>
      <c r="X2663" s="19"/>
      <c r="AG2663" s="16"/>
    </row>
    <row r="2664" spans="2:33">
      <c r="B2664" s="19"/>
      <c r="P2664" s="16"/>
      <c r="Q2664" s="36" t="s">
        <v>41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37">
        <v>0</v>
      </c>
      <c r="X2664" s="19"/>
      <c r="AG2664" s="16"/>
    </row>
    <row r="2665" spans="2:33">
      <c r="B2665" s="19"/>
      <c r="P2665" s="16"/>
      <c r="Q2665" s="36" t="s">
        <v>42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37">
        <v>0</v>
      </c>
      <c r="X2665" s="19"/>
      <c r="AG2665" s="16"/>
    </row>
    <row r="2666" spans="2:33">
      <c r="B2666" s="19"/>
      <c r="P2666" s="16"/>
      <c r="Q2666" s="36" t="s">
        <v>43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37">
        <v>0</v>
      </c>
      <c r="X2666" s="19"/>
      <c r="AG2666" s="16"/>
    </row>
    <row r="2667" spans="2:33">
      <c r="B2667" s="19"/>
      <c r="P2667" s="16"/>
      <c r="Q2667" s="36" t="s">
        <v>44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37">
        <v>0</v>
      </c>
      <c r="X2667" s="19"/>
      <c r="AG2667" s="16"/>
    </row>
    <row r="2668" spans="2:33">
      <c r="B2668" s="19"/>
      <c r="P2668" s="16"/>
      <c r="Q2668" s="36" t="s">
        <v>45</v>
      </c>
      <c r="R2668" s="13">
        <v>0</v>
      </c>
      <c r="S2668" s="13">
        <v>0</v>
      </c>
      <c r="T2668" s="13">
        <v>0</v>
      </c>
      <c r="U2668" s="13">
        <v>0</v>
      </c>
      <c r="V2668" s="13">
        <v>0</v>
      </c>
      <c r="W2668" s="37">
        <v>0</v>
      </c>
      <c r="X2668" s="19"/>
      <c r="AG2668" s="16"/>
    </row>
    <row r="2669" spans="2:33" ht="15" thickBot="1">
      <c r="B2669" s="20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5"/>
      <c r="O2669" s="15"/>
      <c r="P2669" s="17"/>
      <c r="Q2669" s="36" t="s">
        <v>46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37">
        <v>0</v>
      </c>
      <c r="X2669" s="20"/>
      <c r="Y2669" s="15"/>
      <c r="Z2669" s="15"/>
      <c r="AA2669" s="15"/>
      <c r="AB2669" s="15"/>
      <c r="AC2669" s="15"/>
      <c r="AD2669" s="15"/>
      <c r="AE2669" s="15"/>
      <c r="AF2669" s="15"/>
      <c r="AG2669" s="17"/>
    </row>
    <row r="2670" spans="2:33" ht="15" thickBot="1"/>
    <row r="2671" spans="2:33" ht="29.5" thickBot="1">
      <c r="B2671" s="33" t="s">
        <v>2188</v>
      </c>
      <c r="C2671" s="26" t="s">
        <v>1198</v>
      </c>
      <c r="D2671" s="26" t="s">
        <v>1234</v>
      </c>
      <c r="E2671" s="26" t="s">
        <v>1235</v>
      </c>
      <c r="F2671" s="26" t="s">
        <v>126</v>
      </c>
      <c r="G2671" s="26" t="s">
        <v>33</v>
      </c>
      <c r="H2671" s="27" t="s">
        <v>33</v>
      </c>
      <c r="I2671" s="26" t="s">
        <v>1236</v>
      </c>
      <c r="J2671" s="27" t="s">
        <v>1202</v>
      </c>
      <c r="K2671" s="29">
        <v>5</v>
      </c>
      <c r="L2671" s="29">
        <v>5</v>
      </c>
      <c r="M2671" s="29">
        <v>5</v>
      </c>
      <c r="N2671" s="29">
        <v>5</v>
      </c>
      <c r="O2671" s="29">
        <v>5</v>
      </c>
      <c r="P2671" s="40">
        <v>45</v>
      </c>
      <c r="Q2671" s="1" t="s">
        <v>35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43">
        <f>SUM(R2671:W2683)</f>
        <v>0</v>
      </c>
      <c r="Y2671" s="10">
        <v>46204</v>
      </c>
      <c r="Z2671" s="11">
        <v>0.21896900122639595</v>
      </c>
      <c r="AA2671" s="11">
        <v>0.18255917925488163</v>
      </c>
      <c r="AB2671" s="11">
        <v>0.14708513495490375</v>
      </c>
      <c r="AC2671" s="11">
        <v>0.12856702693487934</v>
      </c>
      <c r="AD2671" s="11">
        <v>0.11429546234595808</v>
      </c>
      <c r="AE2671" s="11">
        <v>0.13131505978116356</v>
      </c>
      <c r="AF2671" s="11">
        <v>0.15</v>
      </c>
      <c r="AG2671" s="13">
        <v>0.23899999999999999</v>
      </c>
    </row>
    <row r="2672" spans="2:33"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35"/>
      <c r="Q2672" s="36" t="s">
        <v>36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37">
        <v>0</v>
      </c>
      <c r="X2672" s="18"/>
      <c r="Y2672" s="14"/>
      <c r="Z2672" s="14"/>
      <c r="AA2672" s="14"/>
      <c r="AB2672" s="14"/>
      <c r="AC2672" s="14"/>
      <c r="AD2672" s="14"/>
      <c r="AE2672" s="14"/>
      <c r="AF2672" s="14"/>
      <c r="AG2672" s="35"/>
    </row>
    <row r="2673" spans="2:33">
      <c r="B2673" s="19"/>
      <c r="P2673" s="16"/>
      <c r="Q2673" s="36" t="s">
        <v>37</v>
      </c>
      <c r="R2673" s="13">
        <v>0</v>
      </c>
      <c r="S2673" s="13">
        <v>0</v>
      </c>
      <c r="T2673" s="13">
        <v>0</v>
      </c>
      <c r="U2673" s="13">
        <v>0</v>
      </c>
      <c r="V2673" s="13">
        <v>0</v>
      </c>
      <c r="W2673" s="37">
        <v>0</v>
      </c>
      <c r="X2673" s="19"/>
      <c r="AG2673" s="16"/>
    </row>
    <row r="2674" spans="2:33">
      <c r="B2674" s="19"/>
      <c r="P2674" s="16"/>
      <c r="Q2674" s="36" t="s">
        <v>38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37">
        <v>0</v>
      </c>
      <c r="X2674" s="19"/>
      <c r="AG2674" s="16"/>
    </row>
    <row r="2675" spans="2:33">
      <c r="B2675" s="19"/>
      <c r="P2675" s="16"/>
      <c r="Q2675" s="36" t="s">
        <v>350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37">
        <v>0</v>
      </c>
      <c r="X2675" s="19"/>
      <c r="AG2675" s="16"/>
    </row>
    <row r="2676" spans="2:33">
      <c r="B2676" s="19"/>
      <c r="P2676" s="16"/>
      <c r="Q2676" s="36" t="s">
        <v>351</v>
      </c>
      <c r="R2676" s="13">
        <v>0</v>
      </c>
      <c r="S2676" s="13">
        <v>0</v>
      </c>
      <c r="T2676" s="13">
        <v>0</v>
      </c>
      <c r="U2676" s="13">
        <v>0</v>
      </c>
      <c r="V2676" s="13">
        <v>0</v>
      </c>
      <c r="W2676" s="37">
        <v>0</v>
      </c>
      <c r="X2676" s="19"/>
      <c r="AG2676" s="16"/>
    </row>
    <row r="2677" spans="2:33">
      <c r="B2677" s="19"/>
      <c r="P2677" s="16"/>
      <c r="Q2677" s="36" t="s">
        <v>40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37">
        <v>0</v>
      </c>
      <c r="X2677" s="19"/>
      <c r="AG2677" s="16"/>
    </row>
    <row r="2678" spans="2:33">
      <c r="B2678" s="19"/>
      <c r="P2678" s="16"/>
      <c r="Q2678" s="36" t="s">
        <v>41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37">
        <v>0</v>
      </c>
      <c r="X2678" s="19"/>
      <c r="AG2678" s="16"/>
    </row>
    <row r="2679" spans="2:33">
      <c r="B2679" s="19"/>
      <c r="P2679" s="16"/>
      <c r="Q2679" s="36" t="s">
        <v>42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37">
        <v>0</v>
      </c>
      <c r="X2679" s="19"/>
      <c r="AG2679" s="16"/>
    </row>
    <row r="2680" spans="2:33">
      <c r="B2680" s="19"/>
      <c r="P2680" s="16"/>
      <c r="Q2680" s="36" t="s">
        <v>43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37">
        <v>0</v>
      </c>
      <c r="X2680" s="19"/>
      <c r="AG2680" s="16"/>
    </row>
    <row r="2681" spans="2:33">
      <c r="B2681" s="19"/>
      <c r="P2681" s="16"/>
      <c r="Q2681" s="36" t="s">
        <v>44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37">
        <v>0</v>
      </c>
      <c r="X2681" s="19"/>
      <c r="AG2681" s="16"/>
    </row>
    <row r="2682" spans="2:33">
      <c r="B2682" s="19"/>
      <c r="P2682" s="16"/>
      <c r="Q2682" s="36" t="s">
        <v>45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37">
        <v>0</v>
      </c>
      <c r="X2682" s="19"/>
      <c r="AG2682" s="16"/>
    </row>
    <row r="2683" spans="2:33" ht="15" thickBot="1">
      <c r="B2683" s="20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5"/>
      <c r="O2683" s="15"/>
      <c r="P2683" s="17"/>
      <c r="Q2683" s="36" t="s">
        <v>46</v>
      </c>
      <c r="R2683" s="13">
        <v>0</v>
      </c>
      <c r="S2683" s="13">
        <v>0</v>
      </c>
      <c r="T2683" s="13">
        <v>0</v>
      </c>
      <c r="U2683" s="13">
        <v>0</v>
      </c>
      <c r="V2683" s="13">
        <v>0</v>
      </c>
      <c r="W2683" s="37">
        <v>0</v>
      </c>
      <c r="X2683" s="20"/>
      <c r="Y2683" s="15"/>
      <c r="Z2683" s="15"/>
      <c r="AA2683" s="15"/>
      <c r="AB2683" s="15"/>
      <c r="AC2683" s="15"/>
      <c r="AD2683" s="15"/>
      <c r="AE2683" s="15"/>
      <c r="AF2683" s="15"/>
      <c r="AG2683" s="17"/>
    </row>
    <row r="2684" spans="2:33" ht="15" thickBot="1"/>
    <row r="2685" spans="2:33" ht="15" thickBot="1">
      <c r="B2685" s="33" t="s">
        <v>2188</v>
      </c>
      <c r="C2685" s="26" t="s">
        <v>1198</v>
      </c>
      <c r="D2685" s="26" t="s">
        <v>1237</v>
      </c>
      <c r="E2685" s="26" t="s">
        <v>1238</v>
      </c>
      <c r="F2685" s="26" t="s">
        <v>1239</v>
      </c>
      <c r="G2685" s="26" t="s">
        <v>33</v>
      </c>
      <c r="H2685" s="27" t="s">
        <v>33</v>
      </c>
      <c r="I2685" s="26" t="s">
        <v>1240</v>
      </c>
      <c r="J2685" s="27" t="s">
        <v>34</v>
      </c>
      <c r="K2685" s="29">
        <v>550</v>
      </c>
      <c r="L2685" s="29">
        <v>550</v>
      </c>
      <c r="M2685" s="29">
        <v>550</v>
      </c>
      <c r="N2685" s="29">
        <v>550</v>
      </c>
      <c r="O2685" s="29">
        <v>550</v>
      </c>
      <c r="P2685" s="40">
        <v>750</v>
      </c>
      <c r="Q2685" s="1" t="s">
        <v>35</v>
      </c>
      <c r="R2685" s="2">
        <v>54172</v>
      </c>
      <c r="S2685" s="2">
        <v>42141</v>
      </c>
      <c r="T2685" s="2">
        <v>0</v>
      </c>
      <c r="U2685" s="2">
        <v>0</v>
      </c>
      <c r="V2685" s="2">
        <v>0</v>
      </c>
      <c r="W2685" s="2">
        <v>49080</v>
      </c>
      <c r="X2685" s="43">
        <f>SUM(R2685:W2697)</f>
        <v>1808810</v>
      </c>
      <c r="Y2685" s="10">
        <v>46204</v>
      </c>
      <c r="Z2685" s="11">
        <v>0.18944179940637271</v>
      </c>
      <c r="AA2685" s="11">
        <v>0.15835358124143273</v>
      </c>
      <c r="AB2685" s="11">
        <v>0.13112092502991979</v>
      </c>
      <c r="AC2685" s="11">
        <v>0.11711967035536473</v>
      </c>
      <c r="AD2685" s="11">
        <v>0.10620551120181751</v>
      </c>
      <c r="AE2685" s="11">
        <v>0.12187624542640918</v>
      </c>
      <c r="AF2685" s="11">
        <v>0.15</v>
      </c>
      <c r="AG2685" s="13">
        <v>0.23899999999999999</v>
      </c>
    </row>
    <row r="2686" spans="2:33"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35"/>
      <c r="Q2686" s="36" t="s">
        <v>36</v>
      </c>
      <c r="R2686" s="13">
        <v>52733</v>
      </c>
      <c r="S2686" s="13">
        <v>39993</v>
      </c>
      <c r="T2686" s="13">
        <v>0</v>
      </c>
      <c r="U2686" s="13">
        <v>0</v>
      </c>
      <c r="V2686" s="13">
        <v>0</v>
      </c>
      <c r="W2686" s="37">
        <v>40688</v>
      </c>
      <c r="X2686" s="18"/>
      <c r="Y2686" s="14"/>
      <c r="Z2686" s="14"/>
      <c r="AA2686" s="14"/>
      <c r="AB2686" s="14"/>
      <c r="AC2686" s="14"/>
      <c r="AD2686" s="14"/>
      <c r="AE2686" s="14"/>
      <c r="AF2686" s="14"/>
      <c r="AG2686" s="35"/>
    </row>
    <row r="2687" spans="2:33">
      <c r="B2687" s="19"/>
      <c r="P2687" s="16"/>
      <c r="Q2687" s="36" t="s">
        <v>37</v>
      </c>
      <c r="R2687" s="13">
        <v>0</v>
      </c>
      <c r="S2687" s="13">
        <v>55998</v>
      </c>
      <c r="T2687" s="13">
        <v>41648</v>
      </c>
      <c r="U2687" s="13">
        <v>0</v>
      </c>
      <c r="V2687" s="13">
        <v>0</v>
      </c>
      <c r="W2687" s="37">
        <v>48841</v>
      </c>
      <c r="X2687" s="19"/>
      <c r="AG2687" s="16"/>
    </row>
    <row r="2688" spans="2:33">
      <c r="B2688" s="19"/>
      <c r="P2688" s="16"/>
      <c r="Q2688" s="36" t="s">
        <v>38</v>
      </c>
      <c r="R2688" s="13">
        <v>0</v>
      </c>
      <c r="S2688" s="13">
        <v>0</v>
      </c>
      <c r="T2688" s="13">
        <v>0</v>
      </c>
      <c r="U2688" s="13">
        <v>53573</v>
      </c>
      <c r="V2688" s="13">
        <v>38523</v>
      </c>
      <c r="W2688" s="37">
        <v>39726</v>
      </c>
      <c r="X2688" s="19"/>
      <c r="AG2688" s="16"/>
    </row>
    <row r="2689" spans="2:33">
      <c r="B2689" s="19"/>
      <c r="P2689" s="16"/>
      <c r="Q2689" s="36" t="s">
        <v>255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37">
        <v>3400</v>
      </c>
      <c r="X2689" s="19"/>
      <c r="AG2689" s="16"/>
    </row>
    <row r="2690" spans="2:33">
      <c r="B2690" s="19"/>
      <c r="P2690" s="16"/>
      <c r="Q2690" s="36" t="s">
        <v>256</v>
      </c>
      <c r="R2690" s="13">
        <v>0</v>
      </c>
      <c r="S2690" s="13">
        <v>0</v>
      </c>
      <c r="T2690" s="13">
        <v>0</v>
      </c>
      <c r="U2690" s="13">
        <v>53069</v>
      </c>
      <c r="V2690" s="13">
        <v>40013</v>
      </c>
      <c r="W2690" s="37">
        <v>41643</v>
      </c>
      <c r="X2690" s="19"/>
      <c r="AG2690" s="16"/>
    </row>
    <row r="2691" spans="2:33">
      <c r="B2691" s="19"/>
      <c r="P2691" s="16"/>
      <c r="Q2691" s="36" t="s">
        <v>40</v>
      </c>
      <c r="R2691" s="13">
        <v>0</v>
      </c>
      <c r="S2691" s="13">
        <v>0</v>
      </c>
      <c r="T2691" s="13">
        <v>72140</v>
      </c>
      <c r="U2691" s="13">
        <v>54401</v>
      </c>
      <c r="V2691" s="13">
        <v>0</v>
      </c>
      <c r="W2691" s="37">
        <v>51825</v>
      </c>
      <c r="X2691" s="19"/>
      <c r="AG2691" s="16"/>
    </row>
    <row r="2692" spans="2:33">
      <c r="B2692" s="19"/>
      <c r="P2692" s="16"/>
      <c r="Q2692" s="36" t="s">
        <v>41</v>
      </c>
      <c r="R2692" s="13">
        <v>78585</v>
      </c>
      <c r="S2692" s="13">
        <v>59166</v>
      </c>
      <c r="T2692" s="13">
        <v>0</v>
      </c>
      <c r="U2692" s="13">
        <v>0</v>
      </c>
      <c r="V2692" s="13">
        <v>0</v>
      </c>
      <c r="W2692" s="37">
        <v>51844</v>
      </c>
      <c r="X2692" s="19"/>
      <c r="AG2692" s="16"/>
    </row>
    <row r="2693" spans="2:33">
      <c r="B2693" s="19"/>
      <c r="P2693" s="16"/>
      <c r="Q2693" s="36" t="s">
        <v>42</v>
      </c>
      <c r="R2693" s="13">
        <v>0</v>
      </c>
      <c r="S2693" s="13">
        <v>0</v>
      </c>
      <c r="T2693" s="13">
        <v>54510</v>
      </c>
      <c r="U2693" s="13">
        <v>44899</v>
      </c>
      <c r="V2693" s="13">
        <v>0</v>
      </c>
      <c r="W2693" s="37">
        <v>56944</v>
      </c>
      <c r="X2693" s="19"/>
      <c r="AG2693" s="16"/>
    </row>
    <row r="2694" spans="2:33">
      <c r="B2694" s="19"/>
      <c r="P2694" s="16"/>
      <c r="Q2694" s="36" t="s">
        <v>43</v>
      </c>
      <c r="R2694" s="13">
        <v>0</v>
      </c>
      <c r="S2694" s="13">
        <v>0</v>
      </c>
      <c r="T2694" s="13">
        <v>58883</v>
      </c>
      <c r="U2694" s="13">
        <v>48717</v>
      </c>
      <c r="V2694" s="13">
        <v>0</v>
      </c>
      <c r="W2694" s="37">
        <v>46014</v>
      </c>
      <c r="X2694" s="19"/>
      <c r="AG2694" s="16"/>
    </row>
    <row r="2695" spans="2:33">
      <c r="B2695" s="19"/>
      <c r="P2695" s="16"/>
      <c r="Q2695" s="36" t="s">
        <v>44</v>
      </c>
      <c r="R2695" s="13">
        <v>0</v>
      </c>
      <c r="S2695" s="13">
        <v>0</v>
      </c>
      <c r="T2695" s="13">
        <v>0</v>
      </c>
      <c r="U2695" s="13">
        <v>57391</v>
      </c>
      <c r="V2695" s="13">
        <v>46562</v>
      </c>
      <c r="W2695" s="37">
        <v>43755</v>
      </c>
      <c r="X2695" s="19"/>
      <c r="AG2695" s="16"/>
    </row>
    <row r="2696" spans="2:33">
      <c r="B2696" s="19"/>
      <c r="P2696" s="16"/>
      <c r="Q2696" s="36" t="s">
        <v>45</v>
      </c>
      <c r="R2696" s="13">
        <v>0</v>
      </c>
      <c r="S2696" s="13">
        <v>52216</v>
      </c>
      <c r="T2696" s="13">
        <v>41227</v>
      </c>
      <c r="U2696" s="13">
        <v>0</v>
      </c>
      <c r="V2696" s="13">
        <v>0</v>
      </c>
      <c r="W2696" s="37">
        <v>47939</v>
      </c>
      <c r="X2696" s="19"/>
      <c r="AG2696" s="16"/>
    </row>
    <row r="2697" spans="2:33" ht="15" thickBot="1">
      <c r="B2697" s="20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5"/>
      <c r="O2697" s="15"/>
      <c r="P2697" s="17"/>
      <c r="Q2697" s="36" t="s">
        <v>46</v>
      </c>
      <c r="R2697" s="13">
        <v>52865</v>
      </c>
      <c r="S2697" s="13">
        <v>42053</v>
      </c>
      <c r="T2697" s="13">
        <v>0</v>
      </c>
      <c r="U2697" s="13">
        <v>0</v>
      </c>
      <c r="V2697" s="13">
        <v>0</v>
      </c>
      <c r="W2697" s="37">
        <v>51633</v>
      </c>
      <c r="X2697" s="20"/>
      <c r="Y2697" s="15"/>
      <c r="Z2697" s="15"/>
      <c r="AA2697" s="15"/>
      <c r="AB2697" s="15"/>
      <c r="AC2697" s="15"/>
      <c r="AD2697" s="15"/>
      <c r="AE2697" s="15"/>
      <c r="AF2697" s="15"/>
      <c r="AG2697" s="17"/>
    </row>
    <row r="2698" spans="2:33" ht="15" thickBot="1"/>
    <row r="2699" spans="2:33" ht="15" thickBot="1">
      <c r="B2699" s="33" t="s">
        <v>2188</v>
      </c>
      <c r="C2699" s="26" t="s">
        <v>1198</v>
      </c>
      <c r="D2699" s="26" t="s">
        <v>1241</v>
      </c>
      <c r="E2699" s="26" t="s">
        <v>1242</v>
      </c>
      <c r="F2699" s="26" t="s">
        <v>1243</v>
      </c>
      <c r="G2699" s="26" t="s">
        <v>33</v>
      </c>
      <c r="H2699" s="27" t="s">
        <v>33</v>
      </c>
      <c r="I2699" s="26" t="s">
        <v>1244</v>
      </c>
      <c r="J2699" s="27" t="s">
        <v>87</v>
      </c>
      <c r="K2699" s="29">
        <v>250</v>
      </c>
      <c r="L2699" s="29">
        <v>250</v>
      </c>
      <c r="M2699" s="29">
        <v>250</v>
      </c>
      <c r="N2699" s="29">
        <v>250</v>
      </c>
      <c r="O2699" s="29">
        <v>250</v>
      </c>
      <c r="P2699" s="40">
        <v>450</v>
      </c>
      <c r="Q2699" s="1" t="s">
        <v>35</v>
      </c>
      <c r="R2699" s="2">
        <v>19793</v>
      </c>
      <c r="S2699" s="2">
        <v>14245</v>
      </c>
      <c r="T2699" s="2">
        <v>0</v>
      </c>
      <c r="U2699" s="2">
        <v>0</v>
      </c>
      <c r="V2699" s="2">
        <v>0</v>
      </c>
      <c r="W2699" s="2">
        <v>18642</v>
      </c>
      <c r="X2699" s="43">
        <f>SUM(R2699:W2712)</f>
        <v>754128</v>
      </c>
      <c r="Y2699" s="10">
        <v>46204</v>
      </c>
      <c r="Z2699" s="11">
        <v>0.21896900122639595</v>
      </c>
      <c r="AA2699" s="11">
        <v>0.18255917925488163</v>
      </c>
      <c r="AB2699" s="11">
        <v>0.14708513495490375</v>
      </c>
      <c r="AC2699" s="11">
        <v>0.12856702693487934</v>
      </c>
      <c r="AD2699" s="11">
        <v>0.11429546234595808</v>
      </c>
      <c r="AE2699" s="11">
        <v>0.13131505978116356</v>
      </c>
      <c r="AF2699" s="11">
        <v>0.15</v>
      </c>
      <c r="AG2699" s="13">
        <v>0.23899999999999999</v>
      </c>
    </row>
    <row r="2700" spans="2:33"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35"/>
      <c r="Q2700" s="36" t="s">
        <v>36</v>
      </c>
      <c r="R2700" s="13">
        <v>18388</v>
      </c>
      <c r="S2700" s="13">
        <v>13056</v>
      </c>
      <c r="T2700" s="13">
        <v>0</v>
      </c>
      <c r="U2700" s="13">
        <v>0</v>
      </c>
      <c r="V2700" s="13">
        <v>0</v>
      </c>
      <c r="W2700" s="37">
        <v>15723</v>
      </c>
      <c r="X2700" s="18"/>
      <c r="Y2700" s="14"/>
      <c r="Z2700" s="14"/>
      <c r="AA2700" s="14"/>
      <c r="AB2700" s="14"/>
      <c r="AC2700" s="14"/>
      <c r="AD2700" s="14"/>
      <c r="AE2700" s="14"/>
      <c r="AF2700" s="14"/>
      <c r="AG2700" s="35"/>
    </row>
    <row r="2701" spans="2:33">
      <c r="B2701" s="19"/>
      <c r="P2701" s="16"/>
      <c r="Q2701" s="36" t="s">
        <v>37</v>
      </c>
      <c r="R2701" s="13">
        <v>0</v>
      </c>
      <c r="S2701" s="13">
        <v>20178</v>
      </c>
      <c r="T2701" s="13">
        <v>14042</v>
      </c>
      <c r="U2701" s="13">
        <v>0</v>
      </c>
      <c r="V2701" s="13">
        <v>0</v>
      </c>
      <c r="W2701" s="37">
        <v>17205</v>
      </c>
      <c r="X2701" s="19"/>
      <c r="AG2701" s="16"/>
    </row>
    <row r="2702" spans="2:33">
      <c r="B2702" s="19"/>
      <c r="P2702" s="16"/>
      <c r="Q2702" s="36" t="s">
        <v>38</v>
      </c>
      <c r="R2702" s="13">
        <v>0</v>
      </c>
      <c r="S2702" s="13">
        <v>0</v>
      </c>
      <c r="T2702" s="13">
        <v>0</v>
      </c>
      <c r="U2702" s="13">
        <v>19950</v>
      </c>
      <c r="V2702" s="13">
        <v>13985</v>
      </c>
      <c r="W2702" s="37">
        <v>15565</v>
      </c>
      <c r="X2702" s="19"/>
      <c r="AG2702" s="16"/>
    </row>
    <row r="2703" spans="2:33">
      <c r="B2703" s="19"/>
      <c r="P2703" s="16"/>
      <c r="Q2703" s="36" t="s">
        <v>350</v>
      </c>
      <c r="R2703" s="13">
        <v>0</v>
      </c>
      <c r="S2703" s="13">
        <v>0</v>
      </c>
      <c r="T2703" s="13">
        <v>0</v>
      </c>
      <c r="U2703" s="13">
        <v>5954</v>
      </c>
      <c r="V2703" s="13">
        <v>3743</v>
      </c>
      <c r="W2703" s="37">
        <v>6457</v>
      </c>
      <c r="X2703" s="19"/>
      <c r="AG2703" s="16"/>
    </row>
    <row r="2704" spans="2:33">
      <c r="B2704" s="19"/>
      <c r="P2704" s="16"/>
      <c r="Q2704" s="36" t="s">
        <v>351</v>
      </c>
      <c r="R2704" s="13">
        <v>0</v>
      </c>
      <c r="S2704" s="13">
        <v>0</v>
      </c>
      <c r="T2704" s="13">
        <v>0</v>
      </c>
      <c r="U2704" s="13">
        <v>14872</v>
      </c>
      <c r="V2704" s="13">
        <v>11144</v>
      </c>
      <c r="W2704" s="37">
        <v>9566</v>
      </c>
      <c r="X2704" s="19"/>
      <c r="AG2704" s="16"/>
    </row>
    <row r="2705" spans="2:33">
      <c r="B2705" s="19"/>
      <c r="P2705" s="16"/>
      <c r="Q2705" s="36" t="s">
        <v>1245</v>
      </c>
      <c r="R2705" s="13">
        <v>0</v>
      </c>
      <c r="S2705" s="13">
        <v>0</v>
      </c>
      <c r="T2705" s="13">
        <v>24787</v>
      </c>
      <c r="U2705" s="13">
        <v>19336</v>
      </c>
      <c r="V2705" s="13">
        <v>0</v>
      </c>
      <c r="W2705" s="37">
        <v>15322</v>
      </c>
      <c r="X2705" s="19"/>
      <c r="AG2705" s="16"/>
    </row>
    <row r="2706" spans="2:33">
      <c r="B2706" s="19"/>
      <c r="P2706" s="16"/>
      <c r="Q2706" s="36" t="s">
        <v>1246</v>
      </c>
      <c r="R2706" s="13">
        <v>0</v>
      </c>
      <c r="S2706" s="13">
        <v>0</v>
      </c>
      <c r="T2706" s="13">
        <v>30558</v>
      </c>
      <c r="U2706" s="13">
        <v>23850</v>
      </c>
      <c r="V2706" s="13">
        <v>0</v>
      </c>
      <c r="W2706" s="37">
        <v>19330</v>
      </c>
      <c r="X2706" s="19"/>
      <c r="AG2706" s="16"/>
    </row>
    <row r="2707" spans="2:33">
      <c r="B2707" s="19"/>
      <c r="P2707" s="16"/>
      <c r="Q2707" s="36" t="s">
        <v>41</v>
      </c>
      <c r="R2707" s="13">
        <v>30275</v>
      </c>
      <c r="S2707" s="13">
        <v>24076</v>
      </c>
      <c r="T2707" s="13">
        <v>0</v>
      </c>
      <c r="U2707" s="13">
        <v>0</v>
      </c>
      <c r="V2707" s="13">
        <v>0</v>
      </c>
      <c r="W2707" s="37">
        <v>19837</v>
      </c>
      <c r="X2707" s="19"/>
      <c r="AG2707" s="16"/>
    </row>
    <row r="2708" spans="2:33">
      <c r="B2708" s="19"/>
      <c r="P2708" s="16"/>
      <c r="Q2708" s="36" t="s">
        <v>42</v>
      </c>
      <c r="R2708" s="13">
        <v>0</v>
      </c>
      <c r="S2708" s="13">
        <v>0</v>
      </c>
      <c r="T2708" s="13">
        <v>27506</v>
      </c>
      <c r="U2708" s="13">
        <v>21573</v>
      </c>
      <c r="V2708" s="13">
        <v>0</v>
      </c>
      <c r="W2708" s="37">
        <v>21067</v>
      </c>
      <c r="X2708" s="19"/>
      <c r="AG2708" s="16"/>
    </row>
    <row r="2709" spans="2:33">
      <c r="B2709" s="19"/>
      <c r="P2709" s="16"/>
      <c r="Q2709" s="36" t="s">
        <v>43</v>
      </c>
      <c r="R2709" s="13">
        <v>0</v>
      </c>
      <c r="S2709" s="13">
        <v>0</v>
      </c>
      <c r="T2709" s="13">
        <v>26124</v>
      </c>
      <c r="U2709" s="13">
        <v>20543</v>
      </c>
      <c r="V2709" s="13">
        <v>0</v>
      </c>
      <c r="W2709" s="37">
        <v>17057</v>
      </c>
      <c r="X2709" s="19"/>
      <c r="AG2709" s="16"/>
    </row>
    <row r="2710" spans="2:33">
      <c r="B2710" s="19"/>
      <c r="P2710" s="16"/>
      <c r="Q2710" s="36" t="s">
        <v>44</v>
      </c>
      <c r="R2710" s="13">
        <v>0</v>
      </c>
      <c r="S2710" s="13">
        <v>0</v>
      </c>
      <c r="T2710" s="13">
        <v>0</v>
      </c>
      <c r="U2710" s="13">
        <v>24370</v>
      </c>
      <c r="V2710" s="13">
        <v>18947</v>
      </c>
      <c r="W2710" s="37">
        <v>15684</v>
      </c>
      <c r="X2710" s="19"/>
      <c r="AG2710" s="16"/>
    </row>
    <row r="2711" spans="2:33">
      <c r="B2711" s="19"/>
      <c r="P2711" s="16"/>
      <c r="Q2711" s="36" t="s">
        <v>45</v>
      </c>
      <c r="R2711" s="13">
        <v>0</v>
      </c>
      <c r="S2711" s="13">
        <v>18585</v>
      </c>
      <c r="T2711" s="13">
        <v>13818</v>
      </c>
      <c r="U2711" s="13">
        <v>0</v>
      </c>
      <c r="V2711" s="13">
        <v>0</v>
      </c>
      <c r="W2711" s="37">
        <v>17307</v>
      </c>
      <c r="X2711" s="19"/>
      <c r="AG2711" s="16"/>
    </row>
    <row r="2712" spans="2:33" ht="15" thickBot="1">
      <c r="B2712" s="20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7"/>
      <c r="Q2712" s="36" t="s">
        <v>46</v>
      </c>
      <c r="R2712" s="13">
        <v>18782</v>
      </c>
      <c r="S2712" s="13">
        <v>13724</v>
      </c>
      <c r="T2712" s="13">
        <v>0</v>
      </c>
      <c r="U2712" s="13">
        <v>0</v>
      </c>
      <c r="V2712" s="13">
        <v>0</v>
      </c>
      <c r="W2712" s="37">
        <v>19162</v>
      </c>
      <c r="X2712" s="20"/>
      <c r="Y2712" s="15"/>
      <c r="Z2712" s="15"/>
      <c r="AA2712" s="15"/>
      <c r="AB2712" s="15"/>
      <c r="AC2712" s="15"/>
      <c r="AD2712" s="15"/>
      <c r="AE2712" s="15"/>
      <c r="AF2712" s="15"/>
      <c r="AG2712" s="17"/>
    </row>
    <row r="2713" spans="2:33" ht="15" thickBot="1"/>
    <row r="2714" spans="2:33" ht="15" thickBot="1">
      <c r="B2714" s="33" t="s">
        <v>2188</v>
      </c>
      <c r="C2714" s="26" t="s">
        <v>1198</v>
      </c>
      <c r="D2714" s="26" t="s">
        <v>1247</v>
      </c>
      <c r="E2714" s="26" t="s">
        <v>1248</v>
      </c>
      <c r="F2714" s="26" t="s">
        <v>1243</v>
      </c>
      <c r="G2714" s="26" t="s">
        <v>33</v>
      </c>
      <c r="H2714" s="27" t="s">
        <v>33</v>
      </c>
      <c r="I2714" s="26" t="s">
        <v>1249</v>
      </c>
      <c r="J2714" s="27" t="s">
        <v>87</v>
      </c>
      <c r="K2714" s="29">
        <v>250</v>
      </c>
      <c r="L2714" s="29">
        <v>250</v>
      </c>
      <c r="M2714" s="29">
        <v>250</v>
      </c>
      <c r="N2714" s="29">
        <v>250</v>
      </c>
      <c r="O2714" s="29">
        <v>250</v>
      </c>
      <c r="P2714" s="40">
        <v>500</v>
      </c>
      <c r="Q2714" s="1" t="s">
        <v>35</v>
      </c>
      <c r="R2714" s="2">
        <v>13130</v>
      </c>
      <c r="S2714" s="2">
        <v>9222</v>
      </c>
      <c r="T2714" s="2">
        <v>0</v>
      </c>
      <c r="U2714" s="2">
        <v>0</v>
      </c>
      <c r="V2714" s="2">
        <v>0</v>
      </c>
      <c r="W2714" s="2">
        <v>8717</v>
      </c>
      <c r="X2714" s="43">
        <f>SUM(R2714:W2728)</f>
        <v>420833.00244140625</v>
      </c>
      <c r="Y2714" s="10">
        <v>46204</v>
      </c>
      <c r="Z2714" s="11">
        <v>0.21896900122639595</v>
      </c>
      <c r="AA2714" s="11">
        <v>0.18255917925488163</v>
      </c>
      <c r="AB2714" s="11">
        <v>0.14708513495490375</v>
      </c>
      <c r="AC2714" s="11">
        <v>0.12856702693487934</v>
      </c>
      <c r="AD2714" s="11">
        <v>0.11429546234595808</v>
      </c>
      <c r="AE2714" s="11">
        <v>0.13131505978116356</v>
      </c>
      <c r="AF2714" s="11">
        <v>0.15</v>
      </c>
      <c r="AG2714" s="13">
        <v>0.23899999999999999</v>
      </c>
    </row>
    <row r="2715" spans="2:33">
      <c r="C2715" s="14"/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35"/>
      <c r="Q2715" s="36" t="s">
        <v>36</v>
      </c>
      <c r="R2715" s="13">
        <v>11200</v>
      </c>
      <c r="S2715" s="13">
        <v>7613</v>
      </c>
      <c r="T2715" s="13">
        <v>0</v>
      </c>
      <c r="U2715" s="13">
        <v>0</v>
      </c>
      <c r="V2715" s="13">
        <v>0</v>
      </c>
      <c r="W2715" s="37">
        <v>6852</v>
      </c>
      <c r="X2715" s="18"/>
      <c r="Y2715" s="14"/>
      <c r="Z2715" s="14"/>
      <c r="AA2715" s="14"/>
      <c r="AB2715" s="14"/>
      <c r="AC2715" s="14"/>
      <c r="AD2715" s="14"/>
      <c r="AE2715" s="14"/>
      <c r="AF2715" s="14"/>
      <c r="AG2715" s="35"/>
    </row>
    <row r="2716" spans="2:33">
      <c r="B2716" s="19"/>
      <c r="P2716" s="16"/>
      <c r="Q2716" s="36" t="s">
        <v>37</v>
      </c>
      <c r="R2716" s="13">
        <v>0</v>
      </c>
      <c r="S2716" s="13">
        <v>12163</v>
      </c>
      <c r="T2716" s="13">
        <v>8019</v>
      </c>
      <c r="U2716" s="13">
        <v>0</v>
      </c>
      <c r="V2716" s="13">
        <v>0</v>
      </c>
      <c r="W2716" s="37">
        <v>7794</v>
      </c>
      <c r="X2716" s="19"/>
      <c r="AG2716" s="16"/>
    </row>
    <row r="2717" spans="2:33">
      <c r="B2717" s="19"/>
      <c r="P2717" s="16"/>
      <c r="Q2717" s="36" t="s">
        <v>38</v>
      </c>
      <c r="R2717" s="13">
        <v>0</v>
      </c>
      <c r="S2717" s="13">
        <v>0</v>
      </c>
      <c r="T2717" s="13">
        <v>0</v>
      </c>
      <c r="U2717" s="13">
        <v>10965</v>
      </c>
      <c r="V2717" s="13">
        <v>7343</v>
      </c>
      <c r="W2717" s="37">
        <v>6996</v>
      </c>
      <c r="X2717" s="19"/>
      <c r="AG2717" s="16"/>
    </row>
    <row r="2718" spans="2:33">
      <c r="B2718" s="19"/>
      <c r="P2718" s="16"/>
      <c r="Q2718" s="36" t="s">
        <v>350</v>
      </c>
      <c r="R2718" s="13">
        <v>0</v>
      </c>
      <c r="S2718" s="13">
        <v>0</v>
      </c>
      <c r="T2718" s="13">
        <v>0</v>
      </c>
      <c r="U2718" s="13">
        <v>3157</v>
      </c>
      <c r="V2718" s="13">
        <v>1879</v>
      </c>
      <c r="W2718" s="37">
        <v>2774</v>
      </c>
      <c r="X2718" s="19"/>
      <c r="AG2718" s="16"/>
    </row>
    <row r="2719" spans="2:33">
      <c r="B2719" s="19"/>
      <c r="P2719" s="16"/>
      <c r="Q2719" s="36" t="s">
        <v>351</v>
      </c>
      <c r="R2719" s="13">
        <v>0</v>
      </c>
      <c r="S2719" s="13">
        <v>0</v>
      </c>
      <c r="T2719" s="13">
        <v>0</v>
      </c>
      <c r="U2719" s="13">
        <v>9505</v>
      </c>
      <c r="V2719" s="13">
        <v>7077</v>
      </c>
      <c r="W2719" s="37">
        <v>4352</v>
      </c>
      <c r="X2719" s="19"/>
      <c r="AG2719" s="16"/>
    </row>
    <row r="2720" spans="2:33">
      <c r="B2720" s="19"/>
      <c r="P2720" s="16"/>
      <c r="Q2720" s="36" t="s">
        <v>1245</v>
      </c>
      <c r="R2720" s="13">
        <v>0</v>
      </c>
      <c r="S2720" s="13">
        <v>0</v>
      </c>
      <c r="T2720" s="13">
        <v>10153</v>
      </c>
      <c r="U2720" s="13">
        <v>7717</v>
      </c>
      <c r="V2720" s="13">
        <v>0</v>
      </c>
      <c r="W2720" s="37">
        <v>6497</v>
      </c>
      <c r="X2720" s="19"/>
      <c r="AG2720" s="16"/>
    </row>
    <row r="2721" spans="2:33">
      <c r="B2721" s="19"/>
      <c r="P2721" s="16"/>
      <c r="Q2721" s="36" t="s">
        <v>1246</v>
      </c>
      <c r="R2721" s="13">
        <v>0</v>
      </c>
      <c r="S2721" s="13">
        <v>0</v>
      </c>
      <c r="T2721" s="13">
        <v>3118</v>
      </c>
      <c r="U2721" s="13">
        <v>2632</v>
      </c>
      <c r="V2721" s="13">
        <v>0</v>
      </c>
      <c r="W2721" s="37">
        <v>2059</v>
      </c>
      <c r="X2721" s="19"/>
      <c r="AG2721" s="16"/>
    </row>
    <row r="2722" spans="2:33">
      <c r="B2722" s="19"/>
      <c r="P2722" s="16"/>
      <c r="Q2722" s="36" t="s">
        <v>41</v>
      </c>
      <c r="R2722" s="13">
        <v>22854</v>
      </c>
      <c r="S2722" s="13">
        <v>18746</v>
      </c>
      <c r="T2722" s="13">
        <v>0</v>
      </c>
      <c r="U2722" s="13">
        <v>0</v>
      </c>
      <c r="V2722" s="13">
        <v>0</v>
      </c>
      <c r="W2722" s="37">
        <v>13820</v>
      </c>
      <c r="X2722" s="19"/>
      <c r="AG2722" s="16"/>
    </row>
    <row r="2723" spans="2:33">
      <c r="B2723" s="19"/>
      <c r="P2723" s="16"/>
      <c r="Q2723" s="36" t="s">
        <v>1250</v>
      </c>
      <c r="R2723" s="13">
        <v>0</v>
      </c>
      <c r="S2723" s="13">
        <v>0</v>
      </c>
      <c r="T2723" s="13">
        <v>9477.8095703125</v>
      </c>
      <c r="U2723" s="13">
        <v>7371.6298828125</v>
      </c>
      <c r="V2723" s="13">
        <v>0</v>
      </c>
      <c r="W2723" s="37">
        <v>23589.216796875</v>
      </c>
      <c r="X2723" s="19"/>
      <c r="AG2723" s="16"/>
    </row>
    <row r="2724" spans="2:33">
      <c r="B2724" s="19"/>
      <c r="P2724" s="16"/>
      <c r="Q2724" s="36" t="s">
        <v>1251</v>
      </c>
      <c r="R2724" s="13">
        <v>0</v>
      </c>
      <c r="S2724" s="13">
        <v>0</v>
      </c>
      <c r="T2724" s="13">
        <v>3159.27001953125</v>
      </c>
      <c r="U2724" s="13">
        <v>2457.2099609375</v>
      </c>
      <c r="V2724" s="13">
        <v>0</v>
      </c>
      <c r="W2724" s="37">
        <v>6178.1279296875</v>
      </c>
      <c r="X2724" s="19"/>
      <c r="AG2724" s="16"/>
    </row>
    <row r="2725" spans="2:33">
      <c r="B2725" s="19"/>
      <c r="P2725" s="16"/>
      <c r="Q2725" s="36" t="s">
        <v>43</v>
      </c>
      <c r="R2725" s="13">
        <v>0</v>
      </c>
      <c r="S2725" s="13">
        <v>0</v>
      </c>
      <c r="T2725" s="13">
        <v>12007.1162109375</v>
      </c>
      <c r="U2725" s="13">
        <v>9338.8681640625</v>
      </c>
      <c r="V2725" s="13">
        <v>0</v>
      </c>
      <c r="W2725" s="37">
        <v>22376.8984375</v>
      </c>
      <c r="X2725" s="19"/>
      <c r="AG2725" s="16"/>
    </row>
    <row r="2726" spans="2:33">
      <c r="B2726" s="19"/>
      <c r="P2726" s="16"/>
      <c r="Q2726" s="36" t="s">
        <v>44</v>
      </c>
      <c r="R2726" s="13">
        <v>0</v>
      </c>
      <c r="S2726" s="13">
        <v>0</v>
      </c>
      <c r="T2726" s="13">
        <v>0</v>
      </c>
      <c r="U2726" s="13">
        <v>10922.5615234375</v>
      </c>
      <c r="V2726" s="13">
        <v>8495.326171875</v>
      </c>
      <c r="W2726" s="37">
        <v>19840.015625</v>
      </c>
      <c r="X2726" s="19"/>
      <c r="AG2726" s="16"/>
    </row>
    <row r="2727" spans="2:33">
      <c r="B2727" s="19"/>
      <c r="P2727" s="16"/>
      <c r="Q2727" s="36" t="s">
        <v>45</v>
      </c>
      <c r="R2727" s="13">
        <v>0</v>
      </c>
      <c r="S2727" s="13">
        <v>7001.81982421875</v>
      </c>
      <c r="T2727" s="13">
        <v>5445.85986328125</v>
      </c>
      <c r="U2727" s="13">
        <v>0</v>
      </c>
      <c r="V2727" s="13">
        <v>0</v>
      </c>
      <c r="W2727" s="37">
        <v>15559.599609375</v>
      </c>
      <c r="X2727" s="19"/>
      <c r="AG2727" s="16"/>
    </row>
    <row r="2728" spans="2:33" ht="15" thickBot="1">
      <c r="B2728" s="20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7"/>
      <c r="Q2728" s="36" t="s">
        <v>46</v>
      </c>
      <c r="R2728" s="13">
        <v>7940.45703125</v>
      </c>
      <c r="S2728" s="13">
        <v>6175.9111328125</v>
      </c>
      <c r="T2728" s="13">
        <v>0</v>
      </c>
      <c r="U2728" s="13">
        <v>0</v>
      </c>
      <c r="V2728" s="13">
        <v>0</v>
      </c>
      <c r="W2728" s="37">
        <v>17141.3046875</v>
      </c>
      <c r="X2728" s="20"/>
      <c r="Y2728" s="15"/>
      <c r="Z2728" s="15"/>
      <c r="AA2728" s="15"/>
      <c r="AB2728" s="15"/>
      <c r="AC2728" s="15"/>
      <c r="AD2728" s="15"/>
      <c r="AE2728" s="15"/>
      <c r="AF2728" s="15"/>
      <c r="AG2728" s="17"/>
    </row>
    <row r="2729" spans="2:33" ht="15" thickBot="1"/>
    <row r="2730" spans="2:33" ht="15" thickBot="1">
      <c r="B2730" s="33" t="s">
        <v>2188</v>
      </c>
      <c r="C2730" s="26" t="s">
        <v>1198</v>
      </c>
      <c r="D2730" s="26" t="s">
        <v>1252</v>
      </c>
      <c r="E2730" s="26" t="s">
        <v>1253</v>
      </c>
      <c r="F2730" s="26" t="s">
        <v>1239</v>
      </c>
      <c r="G2730" s="26" t="s">
        <v>33</v>
      </c>
      <c r="H2730" s="27" t="s">
        <v>33</v>
      </c>
      <c r="I2730" s="26" t="s">
        <v>1254</v>
      </c>
      <c r="J2730" s="27" t="s">
        <v>87</v>
      </c>
      <c r="K2730" s="29">
        <v>185</v>
      </c>
      <c r="L2730" s="29">
        <v>185</v>
      </c>
      <c r="M2730" s="29">
        <v>185</v>
      </c>
      <c r="N2730" s="29">
        <v>185</v>
      </c>
      <c r="O2730" s="29">
        <v>185</v>
      </c>
      <c r="P2730" s="40">
        <v>310</v>
      </c>
      <c r="Q2730" s="1" t="s">
        <v>35</v>
      </c>
      <c r="R2730" s="2">
        <v>14013</v>
      </c>
      <c r="S2730" s="2">
        <v>9846</v>
      </c>
      <c r="T2730" s="2">
        <v>0</v>
      </c>
      <c r="U2730" s="2">
        <v>0</v>
      </c>
      <c r="V2730" s="2">
        <v>0</v>
      </c>
      <c r="W2730" s="2">
        <v>9559</v>
      </c>
      <c r="X2730" s="43">
        <f>SUM(R2730:W2744)</f>
        <v>408263</v>
      </c>
      <c r="Y2730" s="10">
        <v>46204</v>
      </c>
      <c r="Z2730" s="11">
        <v>0.21896900122639595</v>
      </c>
      <c r="AA2730" s="11">
        <v>0.18255917925488163</v>
      </c>
      <c r="AB2730" s="11">
        <v>0.14708513495490375</v>
      </c>
      <c r="AC2730" s="11">
        <v>0.12856702693487934</v>
      </c>
      <c r="AD2730" s="11">
        <v>0.11429546234595808</v>
      </c>
      <c r="AE2730" s="11">
        <v>0.13131505978116356</v>
      </c>
      <c r="AF2730" s="11">
        <v>0.15</v>
      </c>
      <c r="AG2730" s="13">
        <v>0.23899999999999999</v>
      </c>
    </row>
    <row r="2731" spans="2:33">
      <c r="C2731" s="14"/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35"/>
      <c r="Q2731" s="36" t="s">
        <v>36</v>
      </c>
      <c r="R2731" s="13">
        <v>11774</v>
      </c>
      <c r="S2731" s="13">
        <v>7965</v>
      </c>
      <c r="T2731" s="13">
        <v>0</v>
      </c>
      <c r="U2731" s="13">
        <v>0</v>
      </c>
      <c r="V2731" s="13">
        <v>0</v>
      </c>
      <c r="W2731" s="37">
        <v>8032</v>
      </c>
      <c r="X2731" s="18"/>
      <c r="Y2731" s="14"/>
      <c r="Z2731" s="14"/>
      <c r="AA2731" s="14"/>
      <c r="AB2731" s="14"/>
      <c r="AC2731" s="14"/>
      <c r="AD2731" s="14"/>
      <c r="AE2731" s="14"/>
      <c r="AF2731" s="14"/>
      <c r="AG2731" s="35"/>
    </row>
    <row r="2732" spans="2:33">
      <c r="B2732" s="19"/>
      <c r="P2732" s="16"/>
      <c r="Q2732" s="36" t="s">
        <v>37</v>
      </c>
      <c r="R2732" s="13">
        <v>0</v>
      </c>
      <c r="S2732" s="13">
        <v>12391</v>
      </c>
      <c r="T2732" s="13">
        <v>8755</v>
      </c>
      <c r="U2732" s="13">
        <v>0</v>
      </c>
      <c r="V2732" s="13">
        <v>0</v>
      </c>
      <c r="W2732" s="37">
        <v>8777</v>
      </c>
      <c r="X2732" s="19"/>
      <c r="AG2732" s="16"/>
    </row>
    <row r="2733" spans="2:33">
      <c r="B2733" s="19"/>
      <c r="P2733" s="16"/>
      <c r="Q2733" s="36" t="s">
        <v>38</v>
      </c>
      <c r="R2733" s="13">
        <v>0</v>
      </c>
      <c r="S2733" s="13">
        <v>0</v>
      </c>
      <c r="T2733" s="13">
        <v>0</v>
      </c>
      <c r="U2733" s="13">
        <v>9225</v>
      </c>
      <c r="V2733" s="13">
        <v>5973</v>
      </c>
      <c r="W2733" s="37">
        <v>6366</v>
      </c>
      <c r="X2733" s="19"/>
      <c r="AG2733" s="16"/>
    </row>
    <row r="2734" spans="2:33">
      <c r="B2734" s="19"/>
      <c r="P2734" s="16"/>
      <c r="Q2734" s="36" t="s">
        <v>345</v>
      </c>
      <c r="R2734" s="13">
        <v>0</v>
      </c>
      <c r="S2734" s="13">
        <v>0</v>
      </c>
      <c r="T2734" s="13">
        <v>0</v>
      </c>
      <c r="U2734" s="13">
        <v>549</v>
      </c>
      <c r="V2734" s="13">
        <v>346</v>
      </c>
      <c r="W2734" s="37">
        <v>765</v>
      </c>
      <c r="X2734" s="19"/>
      <c r="AG2734" s="16"/>
    </row>
    <row r="2735" spans="2:33">
      <c r="B2735" s="19"/>
      <c r="P2735" s="16"/>
      <c r="Q2735" s="36" t="s">
        <v>346</v>
      </c>
      <c r="R2735" s="13">
        <v>0</v>
      </c>
      <c r="S2735" s="13">
        <v>0</v>
      </c>
      <c r="T2735" s="13">
        <v>0</v>
      </c>
      <c r="U2735" s="13">
        <v>9465</v>
      </c>
      <c r="V2735" s="13">
        <v>7023</v>
      </c>
      <c r="W2735" s="37">
        <v>4203</v>
      </c>
      <c r="X2735" s="19"/>
      <c r="AG2735" s="16"/>
    </row>
    <row r="2736" spans="2:33">
      <c r="B2736" s="19"/>
      <c r="P2736" s="16"/>
      <c r="Q2736" s="36" t="s">
        <v>1245</v>
      </c>
      <c r="R2736" s="13">
        <v>0</v>
      </c>
      <c r="S2736" s="13">
        <v>0</v>
      </c>
      <c r="T2736" s="13">
        <v>17231</v>
      </c>
      <c r="U2736" s="13">
        <v>14878</v>
      </c>
      <c r="V2736" s="13">
        <v>0</v>
      </c>
      <c r="W2736" s="37">
        <v>7618</v>
      </c>
      <c r="X2736" s="19"/>
      <c r="AG2736" s="16"/>
    </row>
    <row r="2737" spans="2:33">
      <c r="B2737" s="19"/>
      <c r="P2737" s="16"/>
      <c r="Q2737" s="36" t="s">
        <v>1246</v>
      </c>
      <c r="R2737" s="13">
        <v>0</v>
      </c>
      <c r="S2737" s="13">
        <v>0</v>
      </c>
      <c r="T2737" s="13">
        <v>4136</v>
      </c>
      <c r="U2737" s="13">
        <v>3473</v>
      </c>
      <c r="V2737" s="13">
        <v>0</v>
      </c>
      <c r="W2737" s="37">
        <v>2261</v>
      </c>
      <c r="X2737" s="19"/>
      <c r="AG2737" s="16"/>
    </row>
    <row r="2738" spans="2:33">
      <c r="B2738" s="19"/>
      <c r="P2738" s="16"/>
      <c r="Q2738" s="36" t="s">
        <v>41</v>
      </c>
      <c r="R2738" s="13">
        <v>21550</v>
      </c>
      <c r="S2738" s="13">
        <v>17908</v>
      </c>
      <c r="T2738" s="13">
        <v>0</v>
      </c>
      <c r="U2738" s="13">
        <v>0</v>
      </c>
      <c r="V2738" s="13">
        <v>0</v>
      </c>
      <c r="W2738" s="37">
        <v>11520</v>
      </c>
      <c r="X2738" s="19"/>
      <c r="AG2738" s="16"/>
    </row>
    <row r="2739" spans="2:33">
      <c r="B2739" s="19"/>
      <c r="P2739" s="16"/>
      <c r="Q2739" s="36" t="s">
        <v>1250</v>
      </c>
      <c r="R2739" s="13">
        <v>0</v>
      </c>
      <c r="S2739" s="13">
        <v>0</v>
      </c>
      <c r="T2739" s="13">
        <v>14396</v>
      </c>
      <c r="U2739" s="13">
        <v>11842</v>
      </c>
      <c r="V2739" s="13">
        <v>0</v>
      </c>
      <c r="W2739" s="37">
        <v>8425</v>
      </c>
      <c r="X2739" s="19"/>
      <c r="AG2739" s="16"/>
    </row>
    <row r="2740" spans="2:33">
      <c r="B2740" s="19"/>
      <c r="P2740" s="16"/>
      <c r="Q2740" s="36" t="s">
        <v>1251</v>
      </c>
      <c r="R2740" s="13">
        <v>0</v>
      </c>
      <c r="S2740" s="13">
        <v>0</v>
      </c>
      <c r="T2740" s="13">
        <v>4620</v>
      </c>
      <c r="U2740" s="13">
        <v>3597</v>
      </c>
      <c r="V2740" s="13">
        <v>0</v>
      </c>
      <c r="W2740" s="37">
        <v>2426</v>
      </c>
      <c r="X2740" s="19"/>
      <c r="AG2740" s="16"/>
    </row>
    <row r="2741" spans="2:33">
      <c r="B2741" s="19"/>
      <c r="P2741" s="16"/>
      <c r="Q2741" s="36" t="s">
        <v>43</v>
      </c>
      <c r="R2741" s="13">
        <v>0</v>
      </c>
      <c r="S2741" s="13">
        <v>0</v>
      </c>
      <c r="T2741" s="13">
        <v>18767</v>
      </c>
      <c r="U2741" s="13">
        <v>14778</v>
      </c>
      <c r="V2741" s="13">
        <v>0</v>
      </c>
      <c r="W2741" s="37">
        <v>7595</v>
      </c>
      <c r="X2741" s="19"/>
      <c r="AG2741" s="16"/>
    </row>
    <row r="2742" spans="2:33">
      <c r="B2742" s="19"/>
      <c r="P2742" s="16"/>
      <c r="Q2742" s="36" t="s">
        <v>44</v>
      </c>
      <c r="R2742" s="13">
        <v>0</v>
      </c>
      <c r="S2742" s="13">
        <v>0</v>
      </c>
      <c r="T2742" s="13">
        <v>0</v>
      </c>
      <c r="U2742" s="13">
        <v>14974</v>
      </c>
      <c r="V2742" s="13">
        <v>12173</v>
      </c>
      <c r="W2742" s="37">
        <v>4962</v>
      </c>
      <c r="X2742" s="19"/>
      <c r="AG2742" s="16"/>
    </row>
    <row r="2743" spans="2:33">
      <c r="B2743" s="19"/>
      <c r="P2743" s="16"/>
      <c r="Q2743" s="36" t="s">
        <v>45</v>
      </c>
      <c r="R2743" s="13">
        <v>0</v>
      </c>
      <c r="S2743" s="13">
        <v>10867</v>
      </c>
      <c r="T2743" s="13">
        <v>7773</v>
      </c>
      <c r="U2743" s="13">
        <v>0</v>
      </c>
      <c r="V2743" s="13">
        <v>0</v>
      </c>
      <c r="W2743" s="37">
        <v>6664</v>
      </c>
      <c r="X2743" s="19"/>
      <c r="AG2743" s="16"/>
    </row>
    <row r="2744" spans="2:33" ht="15" thickBot="1">
      <c r="B2744" s="20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5"/>
      <c r="O2744" s="15"/>
      <c r="P2744" s="17"/>
      <c r="Q2744" s="36" t="s">
        <v>46</v>
      </c>
      <c r="R2744" s="13">
        <v>11738</v>
      </c>
      <c r="S2744" s="13">
        <v>8946</v>
      </c>
      <c r="T2744" s="13">
        <v>0</v>
      </c>
      <c r="U2744" s="13">
        <v>0</v>
      </c>
      <c r="V2744" s="13">
        <v>0</v>
      </c>
      <c r="W2744" s="37">
        <v>8118</v>
      </c>
      <c r="X2744" s="20"/>
      <c r="Y2744" s="15"/>
      <c r="Z2744" s="15"/>
      <c r="AA2744" s="15"/>
      <c r="AB2744" s="15"/>
      <c r="AC2744" s="15"/>
      <c r="AD2744" s="15"/>
      <c r="AE2744" s="15"/>
      <c r="AF2744" s="15"/>
      <c r="AG2744" s="17"/>
    </row>
    <row r="2745" spans="2:33" ht="15" thickBot="1"/>
    <row r="2746" spans="2:33" ht="15" thickBot="1">
      <c r="B2746" s="33" t="s">
        <v>2188</v>
      </c>
      <c r="C2746" s="26" t="s">
        <v>1198</v>
      </c>
      <c r="D2746" s="26" t="s">
        <v>1255</v>
      </c>
      <c r="E2746" s="26" t="s">
        <v>1256</v>
      </c>
      <c r="F2746" s="26" t="s">
        <v>1239</v>
      </c>
      <c r="G2746" s="26" t="s">
        <v>33</v>
      </c>
      <c r="H2746" s="27" t="s">
        <v>33</v>
      </c>
      <c r="I2746" s="26" t="s">
        <v>1257</v>
      </c>
      <c r="J2746" s="27" t="s">
        <v>87</v>
      </c>
      <c r="K2746" s="29">
        <v>35</v>
      </c>
      <c r="L2746" s="29">
        <v>35</v>
      </c>
      <c r="M2746" s="29">
        <v>35</v>
      </c>
      <c r="N2746" s="29">
        <v>35</v>
      </c>
      <c r="O2746" s="29">
        <v>35</v>
      </c>
      <c r="P2746" s="40">
        <v>65</v>
      </c>
      <c r="Q2746" s="1" t="s">
        <v>35</v>
      </c>
      <c r="R2746" s="2">
        <v>3558</v>
      </c>
      <c r="S2746" s="2">
        <v>2525</v>
      </c>
      <c r="T2746" s="2">
        <v>0</v>
      </c>
      <c r="U2746" s="2">
        <v>0</v>
      </c>
      <c r="V2746" s="2">
        <v>0</v>
      </c>
      <c r="W2746" s="2">
        <v>2724</v>
      </c>
      <c r="X2746" s="43">
        <f>SUM(R2746:W2758)</f>
        <v>102891</v>
      </c>
      <c r="Y2746" s="10">
        <v>46204</v>
      </c>
      <c r="Z2746" s="11">
        <v>0.21896900122639595</v>
      </c>
      <c r="AA2746" s="11">
        <v>0.18255917925488163</v>
      </c>
      <c r="AB2746" s="11">
        <v>0.14708513495490375</v>
      </c>
      <c r="AC2746" s="11">
        <v>0.12856702693487934</v>
      </c>
      <c r="AD2746" s="11">
        <v>0.11429546234595808</v>
      </c>
      <c r="AE2746" s="11">
        <v>0.13131505978116356</v>
      </c>
      <c r="AF2746" s="11">
        <v>0.15</v>
      </c>
      <c r="AG2746" s="13">
        <v>0.23899999999999999</v>
      </c>
    </row>
    <row r="2747" spans="2:33">
      <c r="C2747" s="14"/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35"/>
      <c r="Q2747" s="36" t="s">
        <v>36</v>
      </c>
      <c r="R2747" s="13">
        <v>3296</v>
      </c>
      <c r="S2747" s="13">
        <v>2364</v>
      </c>
      <c r="T2747" s="13">
        <v>0</v>
      </c>
      <c r="U2747" s="13">
        <v>0</v>
      </c>
      <c r="V2747" s="13">
        <v>0</v>
      </c>
      <c r="W2747" s="37">
        <v>2016</v>
      </c>
      <c r="X2747" s="18"/>
      <c r="Y2747" s="14"/>
      <c r="Z2747" s="14"/>
      <c r="AA2747" s="14"/>
      <c r="AB2747" s="14"/>
      <c r="AC2747" s="14"/>
      <c r="AD2747" s="14"/>
      <c r="AE2747" s="14"/>
      <c r="AF2747" s="14"/>
      <c r="AG2747" s="35"/>
    </row>
    <row r="2748" spans="2:33">
      <c r="B2748" s="19"/>
      <c r="P2748" s="16"/>
      <c r="Q2748" s="36" t="s">
        <v>37</v>
      </c>
      <c r="R2748" s="13">
        <v>0</v>
      </c>
      <c r="S2748" s="13">
        <v>3470</v>
      </c>
      <c r="T2748" s="13">
        <v>2515</v>
      </c>
      <c r="U2748" s="13">
        <v>0</v>
      </c>
      <c r="V2748" s="13">
        <v>0</v>
      </c>
      <c r="W2748" s="37">
        <v>2286</v>
      </c>
      <c r="X2748" s="19"/>
      <c r="AG2748" s="16"/>
    </row>
    <row r="2749" spans="2:33">
      <c r="B2749" s="19"/>
      <c r="P2749" s="16"/>
      <c r="Q2749" s="36" t="s">
        <v>38</v>
      </c>
      <c r="R2749" s="13">
        <v>0</v>
      </c>
      <c r="S2749" s="13">
        <v>0</v>
      </c>
      <c r="T2749" s="13">
        <v>0</v>
      </c>
      <c r="U2749" s="13">
        <v>3360</v>
      </c>
      <c r="V2749" s="13">
        <v>2311</v>
      </c>
      <c r="W2749" s="37">
        <v>2068</v>
      </c>
      <c r="X2749" s="19"/>
      <c r="AG2749" s="16"/>
    </row>
    <row r="2750" spans="2:33">
      <c r="B2750" s="19"/>
      <c r="P2750" s="16"/>
      <c r="Q2750" s="36" t="s">
        <v>345</v>
      </c>
      <c r="R2750" s="13">
        <v>0</v>
      </c>
      <c r="S2750" s="13">
        <v>0</v>
      </c>
      <c r="T2750" s="13">
        <v>0</v>
      </c>
      <c r="U2750" s="13">
        <v>70</v>
      </c>
      <c r="V2750" s="13">
        <v>51</v>
      </c>
      <c r="W2750" s="37">
        <v>423</v>
      </c>
      <c r="X2750" s="19"/>
      <c r="AG2750" s="16"/>
    </row>
    <row r="2751" spans="2:33">
      <c r="B2751" s="19"/>
      <c r="P2751" s="16"/>
      <c r="Q2751" s="36" t="s">
        <v>346</v>
      </c>
      <c r="R2751" s="13">
        <v>0</v>
      </c>
      <c r="S2751" s="13">
        <v>0</v>
      </c>
      <c r="T2751" s="13">
        <v>0</v>
      </c>
      <c r="U2751" s="13">
        <v>3447</v>
      </c>
      <c r="V2751" s="13">
        <v>2478</v>
      </c>
      <c r="W2751" s="37">
        <v>1887</v>
      </c>
      <c r="X2751" s="19"/>
      <c r="AG2751" s="16"/>
    </row>
    <row r="2752" spans="2:33">
      <c r="B2752" s="19"/>
      <c r="P2752" s="16"/>
      <c r="Q2752" s="36" t="s">
        <v>40</v>
      </c>
      <c r="R2752" s="13">
        <v>0</v>
      </c>
      <c r="S2752" s="13">
        <v>0</v>
      </c>
      <c r="T2752" s="13">
        <v>4149</v>
      </c>
      <c r="U2752" s="13">
        <v>3101</v>
      </c>
      <c r="V2752" s="13">
        <v>0</v>
      </c>
      <c r="W2752" s="37">
        <v>2422</v>
      </c>
      <c r="X2752" s="19"/>
      <c r="AG2752" s="16"/>
    </row>
    <row r="2753" spans="2:33">
      <c r="B2753" s="19"/>
      <c r="P2753" s="16"/>
      <c r="Q2753" s="36" t="s">
        <v>41</v>
      </c>
      <c r="R2753" s="13">
        <v>4251</v>
      </c>
      <c r="S2753" s="13">
        <v>3025</v>
      </c>
      <c r="T2753" s="13">
        <v>0</v>
      </c>
      <c r="U2753" s="13">
        <v>0</v>
      </c>
      <c r="V2753" s="13">
        <v>0</v>
      </c>
      <c r="W2753" s="37">
        <v>2336</v>
      </c>
      <c r="X2753" s="19"/>
      <c r="AG2753" s="16"/>
    </row>
    <row r="2754" spans="2:33">
      <c r="B2754" s="19"/>
      <c r="P2754" s="16"/>
      <c r="Q2754" s="36" t="s">
        <v>42</v>
      </c>
      <c r="R2754" s="13">
        <v>0</v>
      </c>
      <c r="S2754" s="13">
        <v>0</v>
      </c>
      <c r="T2754" s="13">
        <v>3524</v>
      </c>
      <c r="U2754" s="13">
        <v>2555</v>
      </c>
      <c r="V2754" s="13">
        <v>0</v>
      </c>
      <c r="W2754" s="37">
        <v>2642</v>
      </c>
      <c r="X2754" s="19"/>
      <c r="AG2754" s="16"/>
    </row>
    <row r="2755" spans="2:33">
      <c r="B2755" s="19"/>
      <c r="P2755" s="16"/>
      <c r="Q2755" s="36" t="s">
        <v>43</v>
      </c>
      <c r="R2755" s="13">
        <v>0</v>
      </c>
      <c r="S2755" s="13">
        <v>0</v>
      </c>
      <c r="T2755" s="13">
        <v>3840</v>
      </c>
      <c r="U2755" s="13">
        <v>2830</v>
      </c>
      <c r="V2755" s="13">
        <v>0</v>
      </c>
      <c r="W2755" s="37">
        <v>2159</v>
      </c>
      <c r="X2755" s="19"/>
      <c r="AG2755" s="16"/>
    </row>
    <row r="2756" spans="2:33">
      <c r="B2756" s="19"/>
      <c r="P2756" s="16"/>
      <c r="Q2756" s="36" t="s">
        <v>44</v>
      </c>
      <c r="R2756" s="13">
        <v>0</v>
      </c>
      <c r="S2756" s="13">
        <v>0</v>
      </c>
      <c r="T2756" s="13">
        <v>0</v>
      </c>
      <c r="U2756" s="13">
        <v>3886</v>
      </c>
      <c r="V2756" s="13">
        <v>2818</v>
      </c>
      <c r="W2756" s="37">
        <v>2169</v>
      </c>
      <c r="X2756" s="19"/>
      <c r="AG2756" s="16"/>
    </row>
    <row r="2757" spans="2:33">
      <c r="B2757" s="19"/>
      <c r="P2757" s="16"/>
      <c r="Q2757" s="36" t="s">
        <v>45</v>
      </c>
      <c r="R2757" s="13">
        <v>0</v>
      </c>
      <c r="S2757" s="13">
        <v>3219</v>
      </c>
      <c r="T2757" s="13">
        <v>2294</v>
      </c>
      <c r="U2757" s="13">
        <v>0</v>
      </c>
      <c r="V2757" s="13">
        <v>0</v>
      </c>
      <c r="W2757" s="37">
        <v>2234</v>
      </c>
      <c r="X2757" s="19"/>
      <c r="AG2757" s="16"/>
    </row>
    <row r="2758" spans="2:33" ht="15" thickBot="1">
      <c r="B2758" s="20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5"/>
      <c r="O2758" s="15"/>
      <c r="P2758" s="17"/>
      <c r="Q2758" s="36" t="s">
        <v>46</v>
      </c>
      <c r="R2758" s="13">
        <v>3423</v>
      </c>
      <c r="S2758" s="13">
        <v>2417</v>
      </c>
      <c r="T2758" s="13">
        <v>0</v>
      </c>
      <c r="U2758" s="13">
        <v>0</v>
      </c>
      <c r="V2758" s="13">
        <v>0</v>
      </c>
      <c r="W2758" s="37">
        <v>2748</v>
      </c>
      <c r="X2758" s="20"/>
      <c r="Y2758" s="15"/>
      <c r="Z2758" s="15"/>
      <c r="AA2758" s="15"/>
      <c r="AB2758" s="15"/>
      <c r="AC2758" s="15"/>
      <c r="AD2758" s="15"/>
      <c r="AE2758" s="15"/>
      <c r="AF2758" s="15"/>
      <c r="AG2758" s="17"/>
    </row>
    <row r="2759" spans="2:33" ht="15" thickBot="1"/>
    <row r="2760" spans="2:33" ht="15" thickBot="1">
      <c r="B2760" s="33" t="s">
        <v>2188</v>
      </c>
      <c r="C2760" s="26" t="s">
        <v>1198</v>
      </c>
      <c r="D2760" s="26" t="s">
        <v>1258</v>
      </c>
      <c r="E2760" s="26" t="s">
        <v>1259</v>
      </c>
      <c r="F2760" s="26" t="s">
        <v>1239</v>
      </c>
      <c r="G2760" s="26" t="s">
        <v>33</v>
      </c>
      <c r="H2760" s="27" t="s">
        <v>33</v>
      </c>
      <c r="I2760" s="26" t="s">
        <v>1260</v>
      </c>
      <c r="J2760" s="27" t="s">
        <v>87</v>
      </c>
      <c r="K2760" s="29">
        <v>15.0100002288818</v>
      </c>
      <c r="L2760" s="29">
        <v>20</v>
      </c>
      <c r="M2760" s="29">
        <v>20</v>
      </c>
      <c r="N2760" s="29">
        <v>20</v>
      </c>
      <c r="O2760" s="29">
        <v>20</v>
      </c>
      <c r="P2760" s="40">
        <v>25</v>
      </c>
      <c r="Q2760" s="1" t="s">
        <v>35</v>
      </c>
      <c r="R2760" s="2">
        <v>1324</v>
      </c>
      <c r="S2760" s="2">
        <v>996</v>
      </c>
      <c r="T2760" s="2">
        <v>0</v>
      </c>
      <c r="U2760" s="2">
        <v>0</v>
      </c>
      <c r="V2760" s="2">
        <v>0</v>
      </c>
      <c r="W2760" s="2">
        <v>2348</v>
      </c>
      <c r="X2760" s="43">
        <f>SUM(R2760:W2772)</f>
        <v>44007</v>
      </c>
      <c r="Y2760" s="10">
        <v>46204</v>
      </c>
      <c r="Z2760" s="11">
        <v>0.21896900122639595</v>
      </c>
      <c r="AA2760" s="11">
        <v>0.18255917925488163</v>
      </c>
      <c r="AB2760" s="11">
        <v>0.14708513495490375</v>
      </c>
      <c r="AC2760" s="11">
        <v>0.12856702693487934</v>
      </c>
      <c r="AD2760" s="11">
        <v>0.11429546234595808</v>
      </c>
      <c r="AE2760" s="11">
        <v>0.13131505978116356</v>
      </c>
      <c r="AF2760" s="11">
        <v>0.15</v>
      </c>
      <c r="AG2760" s="13">
        <v>0.23899999999999999</v>
      </c>
    </row>
    <row r="2761" spans="2:33"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35"/>
      <c r="Q2761" s="36" t="s">
        <v>36</v>
      </c>
      <c r="R2761" s="13">
        <v>1246</v>
      </c>
      <c r="S2761" s="13">
        <v>927</v>
      </c>
      <c r="T2761" s="13">
        <v>0</v>
      </c>
      <c r="U2761" s="13">
        <v>0</v>
      </c>
      <c r="V2761" s="13">
        <v>0</v>
      </c>
      <c r="W2761" s="37">
        <v>1960</v>
      </c>
      <c r="X2761" s="18"/>
      <c r="Y2761" s="14"/>
      <c r="Z2761" s="14"/>
      <c r="AA2761" s="14"/>
      <c r="AB2761" s="14"/>
      <c r="AC2761" s="14"/>
      <c r="AD2761" s="14"/>
      <c r="AE2761" s="14"/>
      <c r="AF2761" s="14"/>
      <c r="AG2761" s="35"/>
    </row>
    <row r="2762" spans="2:33">
      <c r="B2762" s="19"/>
      <c r="P2762" s="16"/>
      <c r="Q2762" s="36" t="s">
        <v>37</v>
      </c>
      <c r="R2762" s="13">
        <v>0</v>
      </c>
      <c r="S2762" s="13">
        <v>1307</v>
      </c>
      <c r="T2762" s="13">
        <v>1018</v>
      </c>
      <c r="U2762" s="13">
        <v>0</v>
      </c>
      <c r="V2762" s="13">
        <v>0</v>
      </c>
      <c r="W2762" s="37">
        <v>2367</v>
      </c>
      <c r="X2762" s="19"/>
      <c r="AG2762" s="16"/>
    </row>
    <row r="2763" spans="2:33">
      <c r="B2763" s="19"/>
      <c r="P2763" s="16"/>
      <c r="Q2763" s="36" t="s">
        <v>38</v>
      </c>
      <c r="R2763" s="13">
        <v>0</v>
      </c>
      <c r="S2763" s="13">
        <v>0</v>
      </c>
      <c r="T2763" s="13">
        <v>0</v>
      </c>
      <c r="U2763" s="13">
        <v>1159</v>
      </c>
      <c r="V2763" s="13">
        <v>897</v>
      </c>
      <c r="W2763" s="37">
        <v>1983</v>
      </c>
      <c r="X2763" s="19"/>
      <c r="AG2763" s="16"/>
    </row>
    <row r="2764" spans="2:33">
      <c r="B2764" s="19"/>
      <c r="P2764" s="16"/>
      <c r="Q2764" s="36" t="s">
        <v>345</v>
      </c>
      <c r="R2764" s="13">
        <v>0</v>
      </c>
      <c r="S2764" s="13">
        <v>0</v>
      </c>
      <c r="T2764" s="13">
        <v>0</v>
      </c>
      <c r="U2764" s="13">
        <v>101</v>
      </c>
      <c r="V2764" s="13">
        <v>79</v>
      </c>
      <c r="W2764" s="37">
        <v>491</v>
      </c>
      <c r="X2764" s="19"/>
      <c r="AG2764" s="16"/>
    </row>
    <row r="2765" spans="2:33">
      <c r="B2765" s="19"/>
      <c r="P2765" s="16"/>
      <c r="Q2765" s="36" t="s">
        <v>346</v>
      </c>
      <c r="R2765" s="13">
        <v>0</v>
      </c>
      <c r="S2765" s="13">
        <v>0</v>
      </c>
      <c r="T2765" s="13">
        <v>0</v>
      </c>
      <c r="U2765" s="13">
        <v>1011</v>
      </c>
      <c r="V2765" s="13">
        <v>787</v>
      </c>
      <c r="W2765" s="37">
        <v>1693</v>
      </c>
      <c r="X2765" s="19"/>
      <c r="AG2765" s="16"/>
    </row>
    <row r="2766" spans="2:33">
      <c r="B2766" s="19"/>
      <c r="P2766" s="16"/>
      <c r="Q2766" s="36" t="s">
        <v>40</v>
      </c>
      <c r="R2766" s="13">
        <v>0</v>
      </c>
      <c r="S2766" s="13">
        <v>0</v>
      </c>
      <c r="T2766" s="13">
        <v>1028</v>
      </c>
      <c r="U2766" s="13">
        <v>787</v>
      </c>
      <c r="V2766" s="13">
        <v>0</v>
      </c>
      <c r="W2766" s="37">
        <v>1619</v>
      </c>
      <c r="X2766" s="19"/>
      <c r="AG2766" s="16"/>
    </row>
    <row r="2767" spans="2:33">
      <c r="B2767" s="19"/>
      <c r="P2767" s="16"/>
      <c r="Q2767" s="36" t="s">
        <v>41</v>
      </c>
      <c r="R2767" s="13">
        <v>1032</v>
      </c>
      <c r="S2767" s="13">
        <v>807</v>
      </c>
      <c r="T2767" s="13">
        <v>0</v>
      </c>
      <c r="U2767" s="13">
        <v>0</v>
      </c>
      <c r="V2767" s="13">
        <v>0</v>
      </c>
      <c r="W2767" s="37">
        <v>1358</v>
      </c>
      <c r="X2767" s="19"/>
      <c r="AG2767" s="16"/>
    </row>
    <row r="2768" spans="2:33">
      <c r="B2768" s="19"/>
      <c r="P2768" s="16"/>
      <c r="Q2768" s="36" t="s">
        <v>42</v>
      </c>
      <c r="R2768" s="13">
        <v>0</v>
      </c>
      <c r="S2768" s="13">
        <v>0</v>
      </c>
      <c r="T2768" s="13">
        <v>770</v>
      </c>
      <c r="U2768" s="13">
        <v>607</v>
      </c>
      <c r="V2768" s="13">
        <v>0</v>
      </c>
      <c r="W2768" s="37">
        <v>1402</v>
      </c>
      <c r="X2768" s="19"/>
      <c r="AG2768" s="16"/>
    </row>
    <row r="2769" spans="2:33">
      <c r="B2769" s="19"/>
      <c r="P2769" s="16"/>
      <c r="Q2769" s="36" t="s">
        <v>43</v>
      </c>
      <c r="R2769" s="13">
        <v>0</v>
      </c>
      <c r="S2769" s="13">
        <v>0</v>
      </c>
      <c r="T2769" s="13">
        <v>968</v>
      </c>
      <c r="U2769" s="13">
        <v>733</v>
      </c>
      <c r="V2769" s="13">
        <v>0</v>
      </c>
      <c r="W2769" s="37">
        <v>1347</v>
      </c>
      <c r="X2769" s="19"/>
      <c r="AG2769" s="16"/>
    </row>
    <row r="2770" spans="2:33">
      <c r="B2770" s="19"/>
      <c r="P2770" s="16"/>
      <c r="Q2770" s="36" t="s">
        <v>44</v>
      </c>
      <c r="R2770" s="13">
        <v>0</v>
      </c>
      <c r="S2770" s="13">
        <v>0</v>
      </c>
      <c r="T2770" s="13">
        <v>0</v>
      </c>
      <c r="U2770" s="13">
        <v>1035</v>
      </c>
      <c r="V2770" s="13">
        <v>766</v>
      </c>
      <c r="W2770" s="37">
        <v>1378</v>
      </c>
      <c r="X2770" s="19"/>
      <c r="AG2770" s="16"/>
    </row>
    <row r="2771" spans="2:33">
      <c r="B2771" s="19"/>
      <c r="P2771" s="16"/>
      <c r="Q2771" s="36" t="s">
        <v>45</v>
      </c>
      <c r="R2771" s="13">
        <v>0</v>
      </c>
      <c r="S2771" s="13">
        <v>986</v>
      </c>
      <c r="T2771" s="13">
        <v>731</v>
      </c>
      <c r="U2771" s="13">
        <v>0</v>
      </c>
      <c r="V2771" s="13">
        <v>0</v>
      </c>
      <c r="W2771" s="37">
        <v>1529</v>
      </c>
      <c r="X2771" s="19"/>
      <c r="AG2771" s="16"/>
    </row>
    <row r="2772" spans="2:33" ht="15" thickBot="1">
      <c r="B2772" s="20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  <c r="O2772" s="15"/>
      <c r="P2772" s="17"/>
      <c r="Q2772" s="36" t="s">
        <v>46</v>
      </c>
      <c r="R2772" s="13">
        <v>1060</v>
      </c>
      <c r="S2772" s="13">
        <v>777</v>
      </c>
      <c r="T2772" s="13">
        <v>0</v>
      </c>
      <c r="U2772" s="13">
        <v>0</v>
      </c>
      <c r="V2772" s="13">
        <v>0</v>
      </c>
      <c r="W2772" s="37">
        <v>1593</v>
      </c>
      <c r="X2772" s="20"/>
      <c r="Y2772" s="15"/>
      <c r="Z2772" s="15"/>
      <c r="AA2772" s="15"/>
      <c r="AB2772" s="15"/>
      <c r="AC2772" s="15"/>
      <c r="AD2772" s="15"/>
      <c r="AE2772" s="15"/>
      <c r="AF2772" s="15"/>
      <c r="AG2772" s="17"/>
    </row>
    <row r="2773" spans="2:33" ht="15" thickBot="1"/>
    <row r="2774" spans="2:33" ht="15" thickBot="1">
      <c r="B2774" s="33" t="s">
        <v>2188</v>
      </c>
      <c r="C2774" s="26" t="s">
        <v>1198</v>
      </c>
      <c r="D2774" s="26" t="s">
        <v>1261</v>
      </c>
      <c r="E2774" s="26" t="s">
        <v>1262</v>
      </c>
      <c r="F2774" s="26" t="s">
        <v>126</v>
      </c>
      <c r="G2774" s="26" t="s">
        <v>33</v>
      </c>
      <c r="H2774" s="27" t="s">
        <v>33</v>
      </c>
      <c r="I2774" s="26" t="s">
        <v>1263</v>
      </c>
      <c r="J2774" s="27" t="s">
        <v>87</v>
      </c>
      <c r="K2774" s="29">
        <v>145</v>
      </c>
      <c r="L2774" s="29">
        <v>150</v>
      </c>
      <c r="M2774" s="29">
        <v>150</v>
      </c>
      <c r="N2774" s="29">
        <v>160</v>
      </c>
      <c r="O2774" s="29">
        <v>160</v>
      </c>
      <c r="P2774" s="40">
        <v>225</v>
      </c>
      <c r="Q2774" s="1" t="s">
        <v>35</v>
      </c>
      <c r="R2774" s="2">
        <v>4000</v>
      </c>
      <c r="S2774" s="2">
        <v>3209</v>
      </c>
      <c r="T2774" s="2">
        <v>0</v>
      </c>
      <c r="U2774" s="2">
        <v>0</v>
      </c>
      <c r="V2774" s="2">
        <v>0</v>
      </c>
      <c r="W2774" s="2">
        <v>4259</v>
      </c>
      <c r="X2774" s="43">
        <f>SUM(R2774:W2788)</f>
        <v>174050.88916015625</v>
      </c>
      <c r="Y2774" s="10">
        <v>46204</v>
      </c>
      <c r="Z2774" s="11">
        <v>0.21896900122639595</v>
      </c>
      <c r="AA2774" s="11">
        <v>0.18255917925488163</v>
      </c>
      <c r="AB2774" s="11">
        <v>0.14708513495490375</v>
      </c>
      <c r="AC2774" s="11">
        <v>0.12856702693487934</v>
      </c>
      <c r="AD2774" s="11">
        <v>0.11429546234595808</v>
      </c>
      <c r="AE2774" s="11">
        <v>0.13131505978116356</v>
      </c>
      <c r="AF2774" s="11">
        <v>0.15</v>
      </c>
      <c r="AG2774" s="13">
        <v>0.23899999999999999</v>
      </c>
    </row>
    <row r="2775" spans="2:33"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35"/>
      <c r="Q2775" s="36" t="s">
        <v>36</v>
      </c>
      <c r="R2775" s="13">
        <v>5132</v>
      </c>
      <c r="S2775" s="13">
        <v>4458</v>
      </c>
      <c r="T2775" s="13">
        <v>0</v>
      </c>
      <c r="U2775" s="13">
        <v>0</v>
      </c>
      <c r="V2775" s="13">
        <v>0</v>
      </c>
      <c r="W2775" s="37">
        <v>3866</v>
      </c>
      <c r="X2775" s="18"/>
      <c r="Y2775" s="14"/>
      <c r="Z2775" s="14"/>
      <c r="AA2775" s="14"/>
      <c r="AB2775" s="14"/>
      <c r="AC2775" s="14"/>
      <c r="AD2775" s="14"/>
      <c r="AE2775" s="14"/>
      <c r="AF2775" s="14"/>
      <c r="AG2775" s="35"/>
    </row>
    <row r="2776" spans="2:33">
      <c r="B2776" s="19"/>
      <c r="P2776" s="16"/>
      <c r="Q2776" s="36" t="s">
        <v>37</v>
      </c>
      <c r="R2776" s="13">
        <v>0</v>
      </c>
      <c r="S2776" s="13">
        <v>5623</v>
      </c>
      <c r="T2776" s="13">
        <v>4530</v>
      </c>
      <c r="U2776" s="13">
        <v>0</v>
      </c>
      <c r="V2776" s="13">
        <v>0</v>
      </c>
      <c r="W2776" s="37">
        <v>4529</v>
      </c>
      <c r="X2776" s="19"/>
      <c r="AG2776" s="16"/>
    </row>
    <row r="2777" spans="2:33">
      <c r="B2777" s="19"/>
      <c r="P2777" s="16"/>
      <c r="Q2777" s="36" t="s">
        <v>38</v>
      </c>
      <c r="R2777" s="13">
        <v>0</v>
      </c>
      <c r="S2777" s="13">
        <v>0</v>
      </c>
      <c r="T2777" s="13">
        <v>0</v>
      </c>
      <c r="U2777" s="13">
        <v>4681</v>
      </c>
      <c r="V2777" s="13">
        <v>3424</v>
      </c>
      <c r="W2777" s="37">
        <v>4017</v>
      </c>
      <c r="X2777" s="19"/>
      <c r="AG2777" s="16"/>
    </row>
    <row r="2778" spans="2:33">
      <c r="B2778" s="19"/>
      <c r="P2778" s="16"/>
      <c r="Q2778" s="36" t="s">
        <v>350</v>
      </c>
      <c r="R2778" s="13">
        <v>0</v>
      </c>
      <c r="S2778" s="13">
        <v>0</v>
      </c>
      <c r="T2778" s="13">
        <v>0</v>
      </c>
      <c r="U2778" s="13">
        <v>1460</v>
      </c>
      <c r="V2778" s="13">
        <v>1058</v>
      </c>
      <c r="W2778" s="37">
        <v>1522</v>
      </c>
      <c r="X2778" s="19"/>
      <c r="AG2778" s="16"/>
    </row>
    <row r="2779" spans="2:33">
      <c r="B2779" s="19"/>
      <c r="P2779" s="16"/>
      <c r="Q2779" s="36" t="s">
        <v>351</v>
      </c>
      <c r="R2779" s="13">
        <v>0</v>
      </c>
      <c r="S2779" s="13">
        <v>0</v>
      </c>
      <c r="T2779" s="13">
        <v>0</v>
      </c>
      <c r="U2779" s="13">
        <v>2843</v>
      </c>
      <c r="V2779" s="13">
        <v>2148</v>
      </c>
      <c r="W2779" s="37">
        <v>2390</v>
      </c>
      <c r="X2779" s="19"/>
      <c r="AG2779" s="16"/>
    </row>
    <row r="2780" spans="2:33">
      <c r="B2780" s="19"/>
      <c r="P2780" s="16"/>
      <c r="Q2780" s="36" t="s">
        <v>1245</v>
      </c>
      <c r="R2780" s="13">
        <v>0</v>
      </c>
      <c r="S2780" s="13">
        <v>0</v>
      </c>
      <c r="T2780" s="13">
        <v>3909</v>
      </c>
      <c r="U2780" s="13">
        <v>3162</v>
      </c>
      <c r="V2780" s="13">
        <v>0</v>
      </c>
      <c r="W2780" s="37">
        <v>3758</v>
      </c>
      <c r="X2780" s="19"/>
      <c r="AG2780" s="16"/>
    </row>
    <row r="2781" spans="2:33">
      <c r="B2781" s="19"/>
      <c r="P2781" s="16"/>
      <c r="Q2781" s="36" t="s">
        <v>1246</v>
      </c>
      <c r="R2781" s="13">
        <v>0</v>
      </c>
      <c r="S2781" s="13">
        <v>0</v>
      </c>
      <c r="T2781" s="13">
        <v>857</v>
      </c>
      <c r="U2781" s="13">
        <v>869</v>
      </c>
      <c r="V2781" s="13">
        <v>0</v>
      </c>
      <c r="W2781" s="37">
        <v>835</v>
      </c>
      <c r="X2781" s="19"/>
      <c r="AG2781" s="16"/>
    </row>
    <row r="2782" spans="2:33">
      <c r="B2782" s="19"/>
      <c r="P2782" s="16"/>
      <c r="Q2782" s="36" t="s">
        <v>41</v>
      </c>
      <c r="R2782" s="13">
        <v>7113</v>
      </c>
      <c r="S2782" s="13">
        <v>6033</v>
      </c>
      <c r="T2782" s="13">
        <v>0</v>
      </c>
      <c r="U2782" s="13">
        <v>0</v>
      </c>
      <c r="V2782" s="13">
        <v>0</v>
      </c>
      <c r="W2782" s="37">
        <v>5339</v>
      </c>
      <c r="X2782" s="19"/>
      <c r="AG2782" s="16"/>
    </row>
    <row r="2783" spans="2:33">
      <c r="B2783" s="19"/>
      <c r="P2783" s="16"/>
      <c r="Q2783" s="36" t="s">
        <v>1250</v>
      </c>
      <c r="R2783" s="13">
        <v>0</v>
      </c>
      <c r="S2783" s="13">
        <v>0</v>
      </c>
      <c r="T2783" s="13">
        <v>3627.5849609375</v>
      </c>
      <c r="U2783" s="13">
        <v>2821.455078125</v>
      </c>
      <c r="V2783" s="13">
        <v>0</v>
      </c>
      <c r="W2783" s="37">
        <v>9028.65625</v>
      </c>
      <c r="X2783" s="19"/>
      <c r="AG2783" s="16"/>
    </row>
    <row r="2784" spans="2:33">
      <c r="B2784" s="19"/>
      <c r="P2784" s="16"/>
      <c r="Q2784" s="36" t="s">
        <v>1251</v>
      </c>
      <c r="R2784" s="13">
        <v>0</v>
      </c>
      <c r="S2784" s="13">
        <v>0</v>
      </c>
      <c r="T2784" s="13">
        <v>1209.1949462890625</v>
      </c>
      <c r="U2784" s="13">
        <v>940.4849853515625</v>
      </c>
      <c r="V2784" s="13">
        <v>0</v>
      </c>
      <c r="W2784" s="37">
        <v>2364.64794921875</v>
      </c>
      <c r="X2784" s="19"/>
      <c r="AG2784" s="16"/>
    </row>
    <row r="2785" spans="2:33">
      <c r="B2785" s="19"/>
      <c r="P2785" s="16"/>
      <c r="Q2785" s="36" t="s">
        <v>43</v>
      </c>
      <c r="R2785" s="13">
        <v>0</v>
      </c>
      <c r="S2785" s="13">
        <v>0</v>
      </c>
      <c r="T2785" s="13">
        <v>4212.4501953125</v>
      </c>
      <c r="U2785" s="13">
        <v>3276.35009765625</v>
      </c>
      <c r="V2785" s="13">
        <v>0</v>
      </c>
      <c r="W2785" s="37">
        <v>7829.2001953125</v>
      </c>
      <c r="X2785" s="19"/>
      <c r="AG2785" s="16"/>
    </row>
    <row r="2786" spans="2:33">
      <c r="B2786" s="19"/>
      <c r="P2786" s="16"/>
      <c r="Q2786" s="36" t="s">
        <v>44</v>
      </c>
      <c r="R2786" s="13">
        <v>0</v>
      </c>
      <c r="S2786" s="13">
        <v>0</v>
      </c>
      <c r="T2786" s="13">
        <v>0</v>
      </c>
      <c r="U2786" s="13">
        <v>3978.5400390625</v>
      </c>
      <c r="V2786" s="13">
        <v>3094.419921875</v>
      </c>
      <c r="W2786" s="37">
        <v>7226.72021484375</v>
      </c>
      <c r="X2786" s="19"/>
      <c r="AG2786" s="16"/>
    </row>
    <row r="2787" spans="2:33">
      <c r="B2787" s="19"/>
      <c r="P2787" s="16"/>
      <c r="Q2787" s="36" t="s">
        <v>45</v>
      </c>
      <c r="R2787" s="13">
        <v>0</v>
      </c>
      <c r="S2787" s="13">
        <v>3536.4599609375</v>
      </c>
      <c r="T2787" s="13">
        <v>2750.580078125</v>
      </c>
      <c r="U2787" s="13">
        <v>0</v>
      </c>
      <c r="V2787" s="13">
        <v>0</v>
      </c>
      <c r="W2787" s="37">
        <v>7858.7998046875</v>
      </c>
      <c r="X2787" s="19"/>
      <c r="AG2787" s="16"/>
    </row>
    <row r="2788" spans="2:33" ht="15" thickBot="1">
      <c r="B2788" s="20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  <c r="O2788" s="15"/>
      <c r="P2788" s="17"/>
      <c r="Q2788" s="36" t="s">
        <v>46</v>
      </c>
      <c r="R2788" s="13">
        <v>3879.4140625</v>
      </c>
      <c r="S2788" s="13">
        <v>3017.322021484375</v>
      </c>
      <c r="T2788" s="13">
        <v>0</v>
      </c>
      <c r="U2788" s="13">
        <v>0</v>
      </c>
      <c r="V2788" s="13">
        <v>0</v>
      </c>
      <c r="W2788" s="37">
        <v>8374.6083984375</v>
      </c>
      <c r="X2788" s="20"/>
      <c r="Y2788" s="15"/>
      <c r="Z2788" s="15"/>
      <c r="AA2788" s="15"/>
      <c r="AB2788" s="15"/>
      <c r="AC2788" s="15"/>
      <c r="AD2788" s="15"/>
      <c r="AE2788" s="15"/>
      <c r="AF2788" s="15"/>
      <c r="AG2788" s="17"/>
    </row>
    <row r="2789" spans="2:33" ht="15" thickBot="1"/>
    <row r="2790" spans="2:33" ht="15" thickBot="1">
      <c r="B2790" s="33" t="s">
        <v>2188</v>
      </c>
      <c r="C2790" s="26" t="s">
        <v>1198</v>
      </c>
      <c r="D2790" s="26" t="s">
        <v>1264</v>
      </c>
      <c r="E2790" s="26" t="s">
        <v>1265</v>
      </c>
      <c r="F2790" s="26" t="s">
        <v>126</v>
      </c>
      <c r="G2790" s="26" t="s">
        <v>33</v>
      </c>
      <c r="H2790" s="27" t="s">
        <v>33</v>
      </c>
      <c r="I2790" s="26" t="s">
        <v>1266</v>
      </c>
      <c r="J2790" s="27" t="s">
        <v>87</v>
      </c>
      <c r="K2790" s="29">
        <v>145</v>
      </c>
      <c r="L2790" s="29">
        <v>150</v>
      </c>
      <c r="M2790" s="29">
        <v>150</v>
      </c>
      <c r="N2790" s="29">
        <v>160</v>
      </c>
      <c r="O2790" s="29">
        <v>160</v>
      </c>
      <c r="P2790" s="40">
        <v>300</v>
      </c>
      <c r="Q2790" s="1" t="s">
        <v>35</v>
      </c>
      <c r="R2790" s="2">
        <v>2903</v>
      </c>
      <c r="S2790" s="2">
        <v>2270</v>
      </c>
      <c r="T2790" s="2">
        <v>0</v>
      </c>
      <c r="U2790" s="2">
        <v>0</v>
      </c>
      <c r="V2790" s="2">
        <v>0</v>
      </c>
      <c r="W2790" s="2">
        <v>2893</v>
      </c>
      <c r="X2790" s="43">
        <f>SUM(R2790:W2802)</f>
        <v>91091</v>
      </c>
      <c r="Y2790" s="10">
        <v>46204</v>
      </c>
      <c r="Z2790" s="11">
        <v>0.21896900122639595</v>
      </c>
      <c r="AA2790" s="11">
        <v>0.18255917925488163</v>
      </c>
      <c r="AB2790" s="11">
        <v>0.14708513495490375</v>
      </c>
      <c r="AC2790" s="11">
        <v>0.12856702693487934</v>
      </c>
      <c r="AD2790" s="11">
        <v>0.11429546234595808</v>
      </c>
      <c r="AE2790" s="11">
        <v>0.13131505978116356</v>
      </c>
      <c r="AF2790" s="11">
        <v>0.15</v>
      </c>
      <c r="AG2790" s="13">
        <v>0.23899999999999999</v>
      </c>
    </row>
    <row r="2791" spans="2:33">
      <c r="C2791" s="14"/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35"/>
      <c r="Q2791" s="36" t="s">
        <v>36</v>
      </c>
      <c r="R2791" s="13">
        <v>2768</v>
      </c>
      <c r="S2791" s="13">
        <v>2330</v>
      </c>
      <c r="T2791" s="13">
        <v>0</v>
      </c>
      <c r="U2791" s="13">
        <v>0</v>
      </c>
      <c r="V2791" s="13">
        <v>0</v>
      </c>
      <c r="W2791" s="37">
        <v>2303</v>
      </c>
      <c r="X2791" s="18"/>
      <c r="Y2791" s="14"/>
      <c r="Z2791" s="14"/>
      <c r="AA2791" s="14"/>
      <c r="AB2791" s="14"/>
      <c r="AC2791" s="14"/>
      <c r="AD2791" s="14"/>
      <c r="AE2791" s="14"/>
      <c r="AF2791" s="14"/>
      <c r="AG2791" s="35"/>
    </row>
    <row r="2792" spans="2:33">
      <c r="B2792" s="19"/>
      <c r="P2792" s="16"/>
      <c r="Q2792" s="36" t="s">
        <v>37</v>
      </c>
      <c r="R2792" s="13">
        <v>0</v>
      </c>
      <c r="S2792" s="13">
        <v>2379</v>
      </c>
      <c r="T2792" s="13">
        <v>2061</v>
      </c>
      <c r="U2792" s="13">
        <v>0</v>
      </c>
      <c r="V2792" s="13">
        <v>0</v>
      </c>
      <c r="W2792" s="37">
        <v>2389</v>
      </c>
      <c r="X2792" s="19"/>
      <c r="AG2792" s="16"/>
    </row>
    <row r="2793" spans="2:33">
      <c r="B2793" s="19"/>
      <c r="P2793" s="16"/>
      <c r="Q2793" s="36" t="s">
        <v>38</v>
      </c>
      <c r="R2793" s="13">
        <v>0</v>
      </c>
      <c r="S2793" s="13">
        <v>0</v>
      </c>
      <c r="T2793" s="13">
        <v>0</v>
      </c>
      <c r="U2793" s="13">
        <v>2115</v>
      </c>
      <c r="V2793" s="13">
        <v>1684</v>
      </c>
      <c r="W2793" s="37">
        <v>2099</v>
      </c>
      <c r="X2793" s="19"/>
      <c r="AG2793" s="16"/>
    </row>
    <row r="2794" spans="2:33">
      <c r="B2794" s="19"/>
      <c r="P2794" s="16"/>
      <c r="Q2794" s="36" t="s">
        <v>1267</v>
      </c>
      <c r="R2794" s="13">
        <v>0</v>
      </c>
      <c r="S2794" s="13">
        <v>0</v>
      </c>
      <c r="T2794" s="13">
        <v>0</v>
      </c>
      <c r="U2794" s="13">
        <v>248</v>
      </c>
      <c r="V2794" s="13">
        <v>199</v>
      </c>
      <c r="W2794" s="37">
        <v>455</v>
      </c>
      <c r="X2794" s="19"/>
      <c r="AG2794" s="16"/>
    </row>
    <row r="2795" spans="2:33">
      <c r="B2795" s="19"/>
      <c r="P2795" s="16"/>
      <c r="Q2795" s="36" t="s">
        <v>1268</v>
      </c>
      <c r="R2795" s="13">
        <v>0</v>
      </c>
      <c r="S2795" s="13">
        <v>0</v>
      </c>
      <c r="T2795" s="13">
        <v>0</v>
      </c>
      <c r="U2795" s="13">
        <v>1980</v>
      </c>
      <c r="V2795" s="13">
        <v>1658</v>
      </c>
      <c r="W2795" s="37">
        <v>1933</v>
      </c>
      <c r="X2795" s="19"/>
      <c r="AG2795" s="16"/>
    </row>
    <row r="2796" spans="2:33">
      <c r="B2796" s="19"/>
      <c r="P2796" s="16"/>
      <c r="Q2796" s="36" t="s">
        <v>1245</v>
      </c>
      <c r="R2796" s="13">
        <v>0</v>
      </c>
      <c r="S2796" s="13">
        <v>0</v>
      </c>
      <c r="T2796" s="13">
        <v>3023</v>
      </c>
      <c r="U2796" s="13">
        <v>2395</v>
      </c>
      <c r="V2796" s="13">
        <v>0</v>
      </c>
      <c r="W2796" s="37">
        <v>2882</v>
      </c>
      <c r="X2796" s="19"/>
      <c r="AG2796" s="16"/>
    </row>
    <row r="2797" spans="2:33">
      <c r="B2797" s="19"/>
      <c r="P2797" s="16"/>
      <c r="Q2797" s="36" t="s">
        <v>1246</v>
      </c>
      <c r="R2797" s="13">
        <v>0</v>
      </c>
      <c r="S2797" s="13">
        <v>0</v>
      </c>
      <c r="T2797" s="13">
        <v>531</v>
      </c>
      <c r="U2797" s="13">
        <v>510</v>
      </c>
      <c r="V2797" s="13">
        <v>0</v>
      </c>
      <c r="W2797" s="37">
        <v>497</v>
      </c>
      <c r="X2797" s="19"/>
      <c r="AG2797" s="16"/>
    </row>
    <row r="2798" spans="2:33">
      <c r="B2798" s="19"/>
      <c r="P2798" s="16"/>
      <c r="Q2798" s="36" t="s">
        <v>41</v>
      </c>
      <c r="R2798" s="13">
        <v>3906</v>
      </c>
      <c r="S2798" s="13">
        <v>3654</v>
      </c>
      <c r="T2798" s="13">
        <v>0</v>
      </c>
      <c r="U2798" s="13">
        <v>0</v>
      </c>
      <c r="V2798" s="13">
        <v>0</v>
      </c>
      <c r="W2798" s="37">
        <v>3111</v>
      </c>
      <c r="X2798" s="19"/>
      <c r="AG2798" s="16"/>
    </row>
    <row r="2799" spans="2:33">
      <c r="B2799" s="19"/>
      <c r="P2799" s="16"/>
      <c r="Q2799" s="36" t="s">
        <v>42</v>
      </c>
      <c r="R2799" s="13">
        <v>0</v>
      </c>
      <c r="S2799" s="13">
        <v>0</v>
      </c>
      <c r="T2799" s="13">
        <v>3986</v>
      </c>
      <c r="U2799" s="13">
        <v>3630</v>
      </c>
      <c r="V2799" s="13">
        <v>0</v>
      </c>
      <c r="W2799" s="37">
        <v>3370</v>
      </c>
      <c r="X2799" s="19"/>
      <c r="AG2799" s="16"/>
    </row>
    <row r="2800" spans="2:33">
      <c r="B2800" s="19"/>
      <c r="P2800" s="16"/>
      <c r="Q2800" s="36" t="s">
        <v>43</v>
      </c>
      <c r="R2800" s="13">
        <v>0</v>
      </c>
      <c r="S2800" s="13">
        <v>0</v>
      </c>
      <c r="T2800" s="13">
        <v>3334</v>
      </c>
      <c r="U2800" s="13">
        <v>2782</v>
      </c>
      <c r="V2800" s="13">
        <v>0</v>
      </c>
      <c r="W2800" s="37">
        <v>2716</v>
      </c>
      <c r="X2800" s="19"/>
      <c r="AG2800" s="16"/>
    </row>
    <row r="2801" spans="2:33">
      <c r="B2801" s="19"/>
      <c r="P2801" s="16"/>
      <c r="Q2801" s="36" t="s">
        <v>44</v>
      </c>
      <c r="R2801" s="13">
        <v>0</v>
      </c>
      <c r="S2801" s="13">
        <v>0</v>
      </c>
      <c r="T2801" s="13">
        <v>0</v>
      </c>
      <c r="U2801" s="13">
        <v>3185</v>
      </c>
      <c r="V2801" s="13">
        <v>2403</v>
      </c>
      <c r="W2801" s="37">
        <v>2201</v>
      </c>
      <c r="X2801" s="19"/>
      <c r="AG2801" s="16"/>
    </row>
    <row r="2802" spans="2:33" ht="15" thickBot="1">
      <c r="B2802" s="20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5"/>
      <c r="O2802" s="15"/>
      <c r="P2802" s="17"/>
      <c r="Q2802" s="36" t="s">
        <v>45</v>
      </c>
      <c r="R2802" s="13">
        <v>0</v>
      </c>
      <c r="S2802" s="13">
        <v>3212</v>
      </c>
      <c r="T2802" s="13">
        <v>2425</v>
      </c>
      <c r="U2802" s="13">
        <v>0</v>
      </c>
      <c r="V2802" s="13">
        <v>0</v>
      </c>
      <c r="W2802" s="37">
        <v>2671</v>
      </c>
      <c r="X2802" s="20"/>
      <c r="Y2802" s="15"/>
      <c r="Z2802" s="15"/>
      <c r="AA2802" s="15"/>
      <c r="AB2802" s="15"/>
      <c r="AC2802" s="15"/>
      <c r="AD2802" s="15"/>
      <c r="AE2802" s="15"/>
      <c r="AF2802" s="15"/>
      <c r="AG2802" s="17"/>
    </row>
    <row r="2803" spans="2:33" ht="15" thickBot="1"/>
    <row r="2804" spans="2:33" ht="15" thickBot="1">
      <c r="B2804" s="33" t="s">
        <v>2188</v>
      </c>
      <c r="C2804" s="26" t="s">
        <v>1198</v>
      </c>
      <c r="D2804" s="26" t="s">
        <v>1269</v>
      </c>
      <c r="E2804" s="26" t="s">
        <v>1270</v>
      </c>
      <c r="F2804" s="26" t="s">
        <v>126</v>
      </c>
      <c r="G2804" s="26" t="s">
        <v>33</v>
      </c>
      <c r="H2804" s="27" t="s">
        <v>33</v>
      </c>
      <c r="I2804" s="26" t="s">
        <v>1271</v>
      </c>
      <c r="J2804" s="27" t="s">
        <v>87</v>
      </c>
      <c r="K2804" s="29">
        <v>53.299999237060497</v>
      </c>
      <c r="L2804" s="29">
        <v>53.299999237060497</v>
      </c>
      <c r="M2804" s="29">
        <v>53.299999237060497</v>
      </c>
      <c r="N2804" s="29">
        <v>53.299999237060497</v>
      </c>
      <c r="O2804" s="29">
        <v>53.299999237060497</v>
      </c>
      <c r="P2804" s="40">
        <v>53.299999237060497</v>
      </c>
      <c r="Q2804" s="1" t="s">
        <v>1272</v>
      </c>
      <c r="R2804" s="2">
        <v>2417</v>
      </c>
      <c r="S2804" s="2">
        <v>1751</v>
      </c>
      <c r="T2804" s="2">
        <v>0</v>
      </c>
      <c r="U2804" s="2">
        <v>0</v>
      </c>
      <c r="V2804" s="2">
        <v>0</v>
      </c>
      <c r="W2804" s="2">
        <v>4684</v>
      </c>
      <c r="X2804" s="43">
        <f>SUM(R2804:W2817)</f>
        <v>110874</v>
      </c>
      <c r="Y2804" s="10">
        <v>46204</v>
      </c>
      <c r="Z2804" s="11">
        <v>0.21896900122639595</v>
      </c>
      <c r="AA2804" s="11">
        <v>0.18255917925488163</v>
      </c>
      <c r="AB2804" s="11">
        <v>0.14708513495490375</v>
      </c>
      <c r="AC2804" s="11">
        <v>0.12856702693487934</v>
      </c>
      <c r="AD2804" s="11">
        <v>0.11429546234595808</v>
      </c>
      <c r="AE2804" s="11">
        <v>0.13131505978116356</v>
      </c>
      <c r="AF2804" s="11">
        <v>0.15</v>
      </c>
      <c r="AG2804" s="13">
        <v>0.23899999999999999</v>
      </c>
    </row>
    <row r="2805" spans="2:33">
      <c r="C2805" s="14"/>
      <c r="D2805" s="14"/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35"/>
      <c r="Q2805" s="36" t="s">
        <v>1273</v>
      </c>
      <c r="R2805" s="13">
        <v>3206</v>
      </c>
      <c r="S2805" s="13">
        <v>2264</v>
      </c>
      <c r="T2805" s="13">
        <v>0</v>
      </c>
      <c r="U2805" s="13">
        <v>0</v>
      </c>
      <c r="V2805" s="13">
        <v>0</v>
      </c>
      <c r="W2805" s="37">
        <v>4014</v>
      </c>
      <c r="X2805" s="18"/>
      <c r="Y2805" s="14"/>
      <c r="Z2805" s="14"/>
      <c r="AA2805" s="14"/>
      <c r="AB2805" s="14"/>
      <c r="AC2805" s="14"/>
      <c r="AD2805" s="14"/>
      <c r="AE2805" s="14"/>
      <c r="AF2805" s="14"/>
      <c r="AG2805" s="35"/>
    </row>
    <row r="2806" spans="2:33">
      <c r="B2806" s="19"/>
      <c r="P2806" s="16"/>
      <c r="Q2806" s="36" t="s">
        <v>1207</v>
      </c>
      <c r="R2806" s="13">
        <v>1007</v>
      </c>
      <c r="S2806" s="13">
        <v>2455</v>
      </c>
      <c r="T2806" s="13">
        <v>1216</v>
      </c>
      <c r="U2806" s="13">
        <v>0</v>
      </c>
      <c r="V2806" s="13">
        <v>0</v>
      </c>
      <c r="W2806" s="37">
        <v>4031</v>
      </c>
      <c r="X2806" s="19"/>
      <c r="AG2806" s="16"/>
    </row>
    <row r="2807" spans="2:33">
      <c r="B2807" s="19"/>
      <c r="P2807" s="16"/>
      <c r="Q2807" s="36" t="s">
        <v>1208</v>
      </c>
      <c r="R2807" s="13">
        <v>0</v>
      </c>
      <c r="S2807" s="13">
        <v>1157</v>
      </c>
      <c r="T2807" s="13">
        <v>550</v>
      </c>
      <c r="U2807" s="13">
        <v>0</v>
      </c>
      <c r="V2807" s="13">
        <v>0</v>
      </c>
      <c r="W2807" s="37">
        <v>1826</v>
      </c>
      <c r="X2807" s="19"/>
      <c r="AG2807" s="16"/>
    </row>
    <row r="2808" spans="2:33">
      <c r="B2808" s="19"/>
      <c r="P2808" s="16"/>
      <c r="Q2808" s="36" t="s">
        <v>1209</v>
      </c>
      <c r="R2808" s="13">
        <v>0</v>
      </c>
      <c r="S2808" s="13">
        <v>0</v>
      </c>
      <c r="T2808" s="13">
        <v>0</v>
      </c>
      <c r="U2808" s="13">
        <v>3705</v>
      </c>
      <c r="V2808" s="13">
        <v>2535</v>
      </c>
      <c r="W2808" s="37">
        <v>4108</v>
      </c>
      <c r="X2808" s="19"/>
      <c r="AG2808" s="16"/>
    </row>
    <row r="2809" spans="2:33">
      <c r="B2809" s="19"/>
      <c r="P2809" s="16"/>
      <c r="Q2809" s="36" t="s">
        <v>1274</v>
      </c>
      <c r="R2809" s="13">
        <v>0</v>
      </c>
      <c r="S2809" s="13">
        <v>0</v>
      </c>
      <c r="T2809" s="13">
        <v>0</v>
      </c>
      <c r="U2809" s="13">
        <v>2151</v>
      </c>
      <c r="V2809" s="13">
        <v>1233</v>
      </c>
      <c r="W2809" s="37">
        <v>3418</v>
      </c>
      <c r="X2809" s="19"/>
      <c r="AG2809" s="16"/>
    </row>
    <row r="2810" spans="2:33">
      <c r="B2810" s="19"/>
      <c r="P2810" s="16"/>
      <c r="Q2810" s="36" t="s">
        <v>1275</v>
      </c>
      <c r="R2810" s="13">
        <v>0</v>
      </c>
      <c r="S2810" s="13">
        <v>0</v>
      </c>
      <c r="T2810" s="13">
        <v>501</v>
      </c>
      <c r="U2810" s="13">
        <v>905</v>
      </c>
      <c r="V2810" s="13">
        <v>387</v>
      </c>
      <c r="W2810" s="37">
        <v>1513</v>
      </c>
      <c r="X2810" s="19"/>
      <c r="AG2810" s="16"/>
    </row>
    <row r="2811" spans="2:33">
      <c r="B2811" s="19"/>
      <c r="P2811" s="16"/>
      <c r="Q2811" s="36" t="s">
        <v>1276</v>
      </c>
      <c r="R2811" s="13">
        <v>0</v>
      </c>
      <c r="S2811" s="13">
        <v>0</v>
      </c>
      <c r="T2811" s="13">
        <v>1313</v>
      </c>
      <c r="U2811" s="13">
        <v>918</v>
      </c>
      <c r="V2811" s="13">
        <v>0</v>
      </c>
      <c r="W2811" s="37">
        <v>1725</v>
      </c>
      <c r="X2811" s="19"/>
      <c r="AG2811" s="16"/>
    </row>
    <row r="2812" spans="2:33">
      <c r="B2812" s="19"/>
      <c r="P2812" s="16"/>
      <c r="Q2812" s="36" t="s">
        <v>1213</v>
      </c>
      <c r="R2812" s="13">
        <v>1683</v>
      </c>
      <c r="S2812" s="13">
        <v>1127</v>
      </c>
      <c r="T2812" s="13">
        <v>849</v>
      </c>
      <c r="U2812" s="13">
        <v>638</v>
      </c>
      <c r="V2812" s="13">
        <v>0</v>
      </c>
      <c r="W2812" s="37">
        <v>3363</v>
      </c>
      <c r="X2812" s="19"/>
      <c r="AG2812" s="16"/>
    </row>
    <row r="2813" spans="2:33">
      <c r="B2813" s="19"/>
      <c r="P2813" s="16"/>
      <c r="Q2813" s="36" t="s">
        <v>1214</v>
      </c>
      <c r="R2813" s="13">
        <v>1357</v>
      </c>
      <c r="S2813" s="13">
        <v>962</v>
      </c>
      <c r="T2813" s="13">
        <v>1181</v>
      </c>
      <c r="U2813" s="13">
        <v>825</v>
      </c>
      <c r="V2813" s="13">
        <v>0</v>
      </c>
      <c r="W2813" s="37">
        <v>3499</v>
      </c>
      <c r="X2813" s="19"/>
      <c r="AG2813" s="16"/>
    </row>
    <row r="2814" spans="2:33">
      <c r="B2814" s="19"/>
      <c r="P2814" s="16"/>
      <c r="Q2814" s="36" t="s">
        <v>1277</v>
      </c>
      <c r="R2814" s="13">
        <v>0</v>
      </c>
      <c r="S2814" s="13">
        <v>0</v>
      </c>
      <c r="T2814" s="13">
        <v>3536</v>
      </c>
      <c r="U2814" s="13">
        <v>2462</v>
      </c>
      <c r="V2814" s="13">
        <v>0</v>
      </c>
      <c r="W2814" s="37">
        <v>5251</v>
      </c>
      <c r="X2814" s="19"/>
      <c r="AG2814" s="16"/>
    </row>
    <row r="2815" spans="2:33">
      <c r="B2815" s="19"/>
      <c r="P2815" s="16"/>
      <c r="Q2815" s="36" t="s">
        <v>1278</v>
      </c>
      <c r="R2815" s="13">
        <v>0</v>
      </c>
      <c r="S2815" s="13">
        <v>0</v>
      </c>
      <c r="T2815" s="13">
        <v>677</v>
      </c>
      <c r="U2815" s="13">
        <v>2181</v>
      </c>
      <c r="V2815" s="13">
        <v>1158</v>
      </c>
      <c r="W2815" s="37">
        <v>3206</v>
      </c>
      <c r="X2815" s="19"/>
      <c r="AG2815" s="16"/>
    </row>
    <row r="2816" spans="2:33">
      <c r="B2816" s="19"/>
      <c r="P2816" s="16"/>
      <c r="Q2816" s="36" t="s">
        <v>73</v>
      </c>
      <c r="R2816" s="13">
        <v>0</v>
      </c>
      <c r="S2816" s="13">
        <v>2051</v>
      </c>
      <c r="T2816" s="13">
        <v>1396</v>
      </c>
      <c r="U2816" s="13">
        <v>1257</v>
      </c>
      <c r="V2816" s="13">
        <v>912</v>
      </c>
      <c r="W2816" s="37">
        <v>4124</v>
      </c>
      <c r="X2816" s="19"/>
      <c r="AG2816" s="16"/>
    </row>
    <row r="2817" spans="2:33" ht="15" thickBot="1">
      <c r="B2817" s="20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5"/>
      <c r="O2817" s="15"/>
      <c r="P2817" s="17"/>
      <c r="Q2817" s="36" t="s">
        <v>1218</v>
      </c>
      <c r="R2817" s="13">
        <v>2701</v>
      </c>
      <c r="S2817" s="13">
        <v>2930</v>
      </c>
      <c r="T2817" s="13">
        <v>789</v>
      </c>
      <c r="U2817" s="13">
        <v>0</v>
      </c>
      <c r="V2817" s="13">
        <v>0</v>
      </c>
      <c r="W2817" s="37">
        <v>5769</v>
      </c>
      <c r="X2817" s="20"/>
      <c r="Y2817" s="15"/>
      <c r="Z2817" s="15"/>
      <c r="AA2817" s="15"/>
      <c r="AB2817" s="15"/>
      <c r="AC2817" s="15"/>
      <c r="AD2817" s="15"/>
      <c r="AE2817" s="15"/>
      <c r="AF2817" s="15"/>
      <c r="AG2817" s="17"/>
    </row>
    <row r="2818" spans="2:33" ht="15" thickBot="1"/>
    <row r="2819" spans="2:33" ht="15" thickBot="1">
      <c r="B2819" s="33" t="s">
        <v>2188</v>
      </c>
      <c r="C2819" s="26" t="s">
        <v>1198</v>
      </c>
      <c r="D2819" s="26" t="s">
        <v>1279</v>
      </c>
      <c r="E2819" s="26" t="s">
        <v>1280</v>
      </c>
      <c r="F2819" s="26" t="s">
        <v>126</v>
      </c>
      <c r="G2819" s="26" t="s">
        <v>33</v>
      </c>
      <c r="H2819" s="27" t="s">
        <v>33</v>
      </c>
      <c r="I2819" s="26" t="s">
        <v>1281</v>
      </c>
      <c r="J2819" s="27" t="s">
        <v>87</v>
      </c>
      <c r="K2819" s="29">
        <v>40</v>
      </c>
      <c r="L2819" s="29">
        <v>40</v>
      </c>
      <c r="M2819" s="29">
        <v>40</v>
      </c>
      <c r="N2819" s="29">
        <v>40</v>
      </c>
      <c r="O2819" s="29">
        <v>40</v>
      </c>
      <c r="P2819" s="40">
        <v>45</v>
      </c>
      <c r="Q2819" s="1" t="s">
        <v>35</v>
      </c>
      <c r="R2819" s="2">
        <v>3994</v>
      </c>
      <c r="S2819" s="2">
        <v>2554</v>
      </c>
      <c r="T2819" s="2">
        <v>0</v>
      </c>
      <c r="U2819" s="2">
        <v>0</v>
      </c>
      <c r="V2819" s="2">
        <v>0</v>
      </c>
      <c r="W2819" s="2">
        <v>6755</v>
      </c>
      <c r="X2819" s="43">
        <f>SUM(R2819:W2831)</f>
        <v>149253</v>
      </c>
      <c r="Y2819" s="10">
        <v>46204</v>
      </c>
      <c r="Z2819" s="11">
        <v>0.21896900122639595</v>
      </c>
      <c r="AA2819" s="11">
        <v>0.18255917925488163</v>
      </c>
      <c r="AB2819" s="11">
        <v>0.14708513495490375</v>
      </c>
      <c r="AC2819" s="11">
        <v>0.12856702693487934</v>
      </c>
      <c r="AD2819" s="11">
        <v>0.11429546234595808</v>
      </c>
      <c r="AE2819" s="11">
        <v>0.13131505978116356</v>
      </c>
      <c r="AF2819" s="11">
        <v>0.15</v>
      </c>
      <c r="AG2819" s="13">
        <v>0.23899999999999999</v>
      </c>
    </row>
    <row r="2820" spans="2:33">
      <c r="C2820" s="14"/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35"/>
      <c r="Q2820" s="36" t="s">
        <v>36</v>
      </c>
      <c r="R2820" s="13">
        <v>3431</v>
      </c>
      <c r="S2820" s="13">
        <v>2300</v>
      </c>
      <c r="T2820" s="13">
        <v>0</v>
      </c>
      <c r="U2820" s="13">
        <v>0</v>
      </c>
      <c r="V2820" s="13">
        <v>0</v>
      </c>
      <c r="W2820" s="37">
        <v>5555</v>
      </c>
      <c r="X2820" s="18"/>
      <c r="Y2820" s="14"/>
      <c r="Z2820" s="14"/>
      <c r="AA2820" s="14"/>
      <c r="AB2820" s="14"/>
      <c r="AC2820" s="14"/>
      <c r="AD2820" s="14"/>
      <c r="AE2820" s="14"/>
      <c r="AF2820" s="14"/>
      <c r="AG2820" s="35"/>
    </row>
    <row r="2821" spans="2:33">
      <c r="B2821" s="19"/>
      <c r="P2821" s="16"/>
      <c r="Q2821" s="36" t="s">
        <v>37</v>
      </c>
      <c r="R2821" s="13">
        <v>1716</v>
      </c>
      <c r="S2821" s="13">
        <v>4245</v>
      </c>
      <c r="T2821" s="13">
        <v>4932</v>
      </c>
      <c r="U2821" s="13">
        <v>-6477</v>
      </c>
      <c r="V2821" s="13">
        <v>-2108</v>
      </c>
      <c r="W2821" s="37">
        <v>5640</v>
      </c>
      <c r="X2821" s="19"/>
      <c r="AG2821" s="16"/>
    </row>
    <row r="2822" spans="2:33">
      <c r="B2822" s="19"/>
      <c r="P2822" s="16"/>
      <c r="Q2822" s="36" t="s">
        <v>38</v>
      </c>
      <c r="R2822" s="13">
        <v>0</v>
      </c>
      <c r="S2822" s="13">
        <v>0</v>
      </c>
      <c r="T2822" s="13">
        <v>0</v>
      </c>
      <c r="U2822" s="13">
        <v>2920</v>
      </c>
      <c r="V2822" s="13">
        <v>2047</v>
      </c>
      <c r="W2822" s="37">
        <v>3636</v>
      </c>
      <c r="X2822" s="19"/>
      <c r="AG2822" s="16"/>
    </row>
    <row r="2823" spans="2:33">
      <c r="B2823" s="19"/>
      <c r="P2823" s="16"/>
      <c r="Q2823" s="36" t="s">
        <v>39</v>
      </c>
      <c r="R2823" s="13">
        <v>0</v>
      </c>
      <c r="S2823" s="13">
        <v>0</v>
      </c>
      <c r="T2823" s="13">
        <v>0</v>
      </c>
      <c r="U2823" s="13">
        <v>11755</v>
      </c>
      <c r="V2823" s="13">
        <v>5479</v>
      </c>
      <c r="W2823" s="37">
        <v>14855</v>
      </c>
      <c r="X2823" s="19"/>
      <c r="AG2823" s="16"/>
    </row>
    <row r="2824" spans="2:33">
      <c r="B2824" s="19"/>
      <c r="P2824" s="16"/>
      <c r="Q2824" s="36" t="s">
        <v>1282</v>
      </c>
      <c r="R2824" s="13">
        <v>0</v>
      </c>
      <c r="S2824" s="13">
        <v>0</v>
      </c>
      <c r="T2824" s="13">
        <v>2682</v>
      </c>
      <c r="U2824" s="13">
        <v>1981</v>
      </c>
      <c r="V2824" s="13">
        <v>0</v>
      </c>
      <c r="W2824" s="37">
        <v>4710</v>
      </c>
      <c r="X2824" s="19"/>
      <c r="AG2824" s="16"/>
    </row>
    <row r="2825" spans="2:33">
      <c r="B2825" s="19"/>
      <c r="P2825" s="16"/>
      <c r="Q2825" s="36" t="s">
        <v>1283</v>
      </c>
      <c r="R2825" s="13">
        <v>0</v>
      </c>
      <c r="S2825" s="13">
        <v>0</v>
      </c>
      <c r="T2825" s="13">
        <v>11617</v>
      </c>
      <c r="U2825" s="13">
        <v>6117</v>
      </c>
      <c r="V2825" s="13">
        <v>0</v>
      </c>
      <c r="W2825" s="37">
        <v>12010</v>
      </c>
      <c r="X2825" s="19"/>
      <c r="AG2825" s="16"/>
    </row>
    <row r="2826" spans="2:33">
      <c r="B2826" s="19"/>
      <c r="P2826" s="16"/>
      <c r="Q2826" s="36" t="s">
        <v>1284</v>
      </c>
      <c r="R2826" s="13">
        <v>2541</v>
      </c>
      <c r="S2826" s="13">
        <v>1784</v>
      </c>
      <c r="T2826" s="13">
        <v>0</v>
      </c>
      <c r="U2826" s="13">
        <v>0</v>
      </c>
      <c r="V2826" s="13">
        <v>0</v>
      </c>
      <c r="W2826" s="37">
        <v>3252</v>
      </c>
      <c r="X2826" s="19"/>
      <c r="AG2826" s="16"/>
    </row>
    <row r="2827" spans="2:33">
      <c r="B2827" s="19"/>
      <c r="P2827" s="16"/>
      <c r="Q2827" s="36" t="s">
        <v>1285</v>
      </c>
      <c r="R2827" s="13">
        <v>710</v>
      </c>
      <c r="S2827" s="13">
        <v>499</v>
      </c>
      <c r="T2827" s="13">
        <v>0</v>
      </c>
      <c r="U2827" s="13">
        <v>0</v>
      </c>
      <c r="V2827" s="13">
        <v>0</v>
      </c>
      <c r="W2827" s="37">
        <v>1043</v>
      </c>
      <c r="X2827" s="19"/>
      <c r="AG2827" s="16"/>
    </row>
    <row r="2828" spans="2:33">
      <c r="B2828" s="19"/>
      <c r="P2828" s="16"/>
      <c r="Q2828" s="36" t="s">
        <v>42</v>
      </c>
      <c r="R2828" s="13">
        <v>0</v>
      </c>
      <c r="S2828" s="13">
        <v>0</v>
      </c>
      <c r="T2828" s="13">
        <v>3025</v>
      </c>
      <c r="U2828" s="13">
        <v>2119</v>
      </c>
      <c r="V2828" s="13">
        <v>0</v>
      </c>
      <c r="W2828" s="37">
        <v>4108</v>
      </c>
      <c r="X2828" s="19"/>
      <c r="AG2828" s="16"/>
    </row>
    <row r="2829" spans="2:33">
      <c r="B2829" s="19"/>
      <c r="P2829" s="16"/>
      <c r="Q2829" s="36" t="s">
        <v>43</v>
      </c>
      <c r="R2829" s="13">
        <v>0</v>
      </c>
      <c r="S2829" s="13">
        <v>0</v>
      </c>
      <c r="T2829" s="13">
        <v>2738</v>
      </c>
      <c r="U2829" s="13">
        <v>1883</v>
      </c>
      <c r="V2829" s="13">
        <v>0</v>
      </c>
      <c r="W2829" s="37">
        <v>3224</v>
      </c>
      <c r="X2829" s="19"/>
      <c r="AG2829" s="16"/>
    </row>
    <row r="2830" spans="2:33">
      <c r="B2830" s="19"/>
      <c r="P2830" s="16"/>
      <c r="Q2830" s="36" t="s">
        <v>44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37">
        <v>0</v>
      </c>
      <c r="X2830" s="19"/>
      <c r="AG2830" s="16"/>
    </row>
    <row r="2831" spans="2:33" ht="15" thickBot="1">
      <c r="B2831" s="20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5"/>
      <c r="O2831" s="15"/>
      <c r="P2831" s="17"/>
      <c r="Q2831" s="36" t="s">
        <v>45</v>
      </c>
      <c r="R2831" s="13">
        <v>0</v>
      </c>
      <c r="S2831" s="13">
        <v>3072</v>
      </c>
      <c r="T2831" s="13">
        <v>1962</v>
      </c>
      <c r="U2831" s="13">
        <v>0</v>
      </c>
      <c r="V2831" s="13">
        <v>0</v>
      </c>
      <c r="W2831" s="37">
        <v>4947</v>
      </c>
      <c r="X2831" s="20"/>
      <c r="Y2831" s="15"/>
      <c r="Z2831" s="15"/>
      <c r="AA2831" s="15"/>
      <c r="AB2831" s="15"/>
      <c r="AC2831" s="15"/>
      <c r="AD2831" s="15"/>
      <c r="AE2831" s="15"/>
      <c r="AF2831" s="15"/>
      <c r="AG2831" s="17"/>
    </row>
    <row r="2832" spans="2:33" ht="15" thickBot="1"/>
    <row r="2833" spans="2:33" ht="15" thickBot="1">
      <c r="B2833" s="33" t="s">
        <v>2188</v>
      </c>
      <c r="C2833" s="26" t="s">
        <v>1198</v>
      </c>
      <c r="D2833" s="26" t="s">
        <v>1286</v>
      </c>
      <c r="E2833" s="26" t="s">
        <v>1287</v>
      </c>
      <c r="F2833" s="26" t="s">
        <v>126</v>
      </c>
      <c r="G2833" s="26" t="s">
        <v>33</v>
      </c>
      <c r="H2833" s="27" t="s">
        <v>33</v>
      </c>
      <c r="I2833" s="26" t="s">
        <v>1288</v>
      </c>
      <c r="J2833" s="27" t="s">
        <v>87</v>
      </c>
      <c r="K2833" s="29">
        <v>190</v>
      </c>
      <c r="L2833" s="29">
        <v>190</v>
      </c>
      <c r="M2833" s="29">
        <v>190</v>
      </c>
      <c r="N2833" s="29">
        <v>190</v>
      </c>
      <c r="O2833" s="29">
        <v>190</v>
      </c>
      <c r="P2833" s="40">
        <v>300</v>
      </c>
      <c r="Q2833" s="1" t="s">
        <v>35</v>
      </c>
      <c r="R2833" s="2">
        <v>2139</v>
      </c>
      <c r="S2833" s="2">
        <v>1396</v>
      </c>
      <c r="T2833" s="2">
        <v>0</v>
      </c>
      <c r="U2833" s="2">
        <v>0</v>
      </c>
      <c r="V2833" s="2">
        <v>0</v>
      </c>
      <c r="W2833" s="2">
        <v>3899</v>
      </c>
      <c r="X2833" s="43">
        <f>SUM(R2833:W2846)</f>
        <v>93001</v>
      </c>
      <c r="Y2833" s="10">
        <v>46204</v>
      </c>
      <c r="Z2833" s="11">
        <v>0.21896900122639595</v>
      </c>
      <c r="AA2833" s="11">
        <v>0.18255917925488163</v>
      </c>
      <c r="AB2833" s="11">
        <v>0.14708513495490375</v>
      </c>
      <c r="AC2833" s="11">
        <v>0.12856702693487934</v>
      </c>
      <c r="AD2833" s="11">
        <v>0.11429546234595808</v>
      </c>
      <c r="AE2833" s="11">
        <v>0.13131505978116356</v>
      </c>
      <c r="AF2833" s="11">
        <v>0.15</v>
      </c>
      <c r="AG2833" s="13">
        <v>0.23899999999999999</v>
      </c>
    </row>
    <row r="2834" spans="2:33"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35"/>
      <c r="Q2834" s="36" t="s">
        <v>36</v>
      </c>
      <c r="R2834" s="13">
        <v>2623</v>
      </c>
      <c r="S2834" s="13">
        <v>1775</v>
      </c>
      <c r="T2834" s="13">
        <v>0</v>
      </c>
      <c r="U2834" s="13">
        <v>0</v>
      </c>
      <c r="V2834" s="13">
        <v>0</v>
      </c>
      <c r="W2834" s="37">
        <v>3300</v>
      </c>
      <c r="X2834" s="18"/>
      <c r="Y2834" s="14"/>
      <c r="Z2834" s="14"/>
      <c r="AA2834" s="14"/>
      <c r="AB2834" s="14"/>
      <c r="AC2834" s="14"/>
      <c r="AD2834" s="14"/>
      <c r="AE2834" s="14"/>
      <c r="AF2834" s="14"/>
      <c r="AG2834" s="35"/>
    </row>
    <row r="2835" spans="2:33">
      <c r="B2835" s="19"/>
      <c r="P2835" s="16"/>
      <c r="Q2835" s="36" t="s">
        <v>37</v>
      </c>
      <c r="R2835" s="13">
        <v>0</v>
      </c>
      <c r="S2835" s="13">
        <v>3262</v>
      </c>
      <c r="T2835" s="13">
        <v>1949</v>
      </c>
      <c r="U2835" s="13">
        <v>0</v>
      </c>
      <c r="V2835" s="13">
        <v>0</v>
      </c>
      <c r="W2835" s="37">
        <v>3601</v>
      </c>
      <c r="X2835" s="19"/>
      <c r="AG2835" s="16"/>
    </row>
    <row r="2836" spans="2:33">
      <c r="B2836" s="19"/>
      <c r="P2836" s="16"/>
      <c r="Q2836" s="36" t="s">
        <v>38</v>
      </c>
      <c r="R2836" s="13">
        <v>0</v>
      </c>
      <c r="S2836" s="13">
        <v>0</v>
      </c>
      <c r="T2836" s="13">
        <v>0</v>
      </c>
      <c r="U2836" s="13">
        <v>2136</v>
      </c>
      <c r="V2836" s="13">
        <v>1332</v>
      </c>
      <c r="W2836" s="37">
        <v>3087</v>
      </c>
      <c r="X2836" s="19"/>
      <c r="AG2836" s="16"/>
    </row>
    <row r="2837" spans="2:33">
      <c r="B2837" s="19"/>
      <c r="P2837" s="16"/>
      <c r="Q2837" s="36" t="s">
        <v>350</v>
      </c>
      <c r="R2837" s="13">
        <v>0</v>
      </c>
      <c r="S2837" s="13">
        <v>0</v>
      </c>
      <c r="T2837" s="13">
        <v>0</v>
      </c>
      <c r="U2837" s="13">
        <v>1404</v>
      </c>
      <c r="V2837" s="13">
        <v>788</v>
      </c>
      <c r="W2837" s="37">
        <v>2480</v>
      </c>
      <c r="X2837" s="19"/>
      <c r="AG2837" s="16"/>
    </row>
    <row r="2838" spans="2:33">
      <c r="B2838" s="19"/>
      <c r="P2838" s="16"/>
      <c r="Q2838" s="36" t="s">
        <v>351</v>
      </c>
      <c r="R2838" s="13">
        <v>0</v>
      </c>
      <c r="S2838" s="13">
        <v>0</v>
      </c>
      <c r="T2838" s="13">
        <v>0</v>
      </c>
      <c r="U2838" s="13">
        <v>647</v>
      </c>
      <c r="V2838" s="13">
        <v>394</v>
      </c>
      <c r="W2838" s="37">
        <v>1577</v>
      </c>
      <c r="X2838" s="19"/>
      <c r="AG2838" s="16"/>
    </row>
    <row r="2839" spans="2:33">
      <c r="B2839" s="19"/>
      <c r="P2839" s="16"/>
      <c r="Q2839" s="36" t="s">
        <v>40</v>
      </c>
      <c r="R2839" s="13">
        <v>0</v>
      </c>
      <c r="S2839" s="13">
        <v>0</v>
      </c>
      <c r="T2839" s="13">
        <v>777</v>
      </c>
      <c r="U2839" s="13">
        <v>633</v>
      </c>
      <c r="V2839" s="13">
        <v>0</v>
      </c>
      <c r="W2839" s="37">
        <v>2344</v>
      </c>
      <c r="X2839" s="19"/>
      <c r="AG2839" s="16"/>
    </row>
    <row r="2840" spans="2:33">
      <c r="B2840" s="19"/>
      <c r="P2840" s="16"/>
      <c r="Q2840" s="36" t="s">
        <v>41</v>
      </c>
      <c r="R2840" s="13">
        <v>743</v>
      </c>
      <c r="S2840" s="13">
        <v>726</v>
      </c>
      <c r="T2840" s="13">
        <v>0</v>
      </c>
      <c r="U2840" s="13">
        <v>0</v>
      </c>
      <c r="V2840" s="13">
        <v>0</v>
      </c>
      <c r="W2840" s="37">
        <v>2604</v>
      </c>
      <c r="X2840" s="19"/>
      <c r="AG2840" s="16"/>
    </row>
    <row r="2841" spans="2:33">
      <c r="B2841" s="19"/>
      <c r="P2841" s="16"/>
      <c r="Q2841" s="36" t="s">
        <v>1250</v>
      </c>
      <c r="R2841" s="13">
        <v>0</v>
      </c>
      <c r="S2841" s="13">
        <v>0</v>
      </c>
      <c r="T2841" s="13">
        <v>755</v>
      </c>
      <c r="U2841" s="13">
        <v>587</v>
      </c>
      <c r="V2841" s="13">
        <v>0</v>
      </c>
      <c r="W2841" s="37">
        <v>1879</v>
      </c>
      <c r="X2841" s="19"/>
      <c r="AG2841" s="16"/>
    </row>
    <row r="2842" spans="2:33">
      <c r="B2842" s="19"/>
      <c r="P2842" s="16"/>
      <c r="Q2842" s="36" t="s">
        <v>1251</v>
      </c>
      <c r="R2842" s="13">
        <v>0</v>
      </c>
      <c r="S2842" s="13">
        <v>0</v>
      </c>
      <c r="T2842" s="13">
        <v>251</v>
      </c>
      <c r="U2842" s="13">
        <v>195</v>
      </c>
      <c r="V2842" s="13">
        <v>0</v>
      </c>
      <c r="W2842" s="37">
        <v>492</v>
      </c>
      <c r="X2842" s="19"/>
      <c r="AG2842" s="16"/>
    </row>
    <row r="2843" spans="2:33">
      <c r="B2843" s="19"/>
      <c r="P2843" s="16"/>
      <c r="Q2843" s="36" t="s">
        <v>43</v>
      </c>
      <c r="R2843" s="13">
        <v>0</v>
      </c>
      <c r="S2843" s="13">
        <v>0</v>
      </c>
      <c r="T2843" s="13">
        <v>1183</v>
      </c>
      <c r="U2843" s="13">
        <v>920</v>
      </c>
      <c r="V2843" s="13">
        <v>0</v>
      </c>
      <c r="W2843" s="37">
        <v>2199</v>
      </c>
      <c r="X2843" s="19"/>
      <c r="AG2843" s="16"/>
    </row>
    <row r="2844" spans="2:33">
      <c r="B2844" s="19"/>
      <c r="P2844" s="16"/>
      <c r="Q2844" s="36" t="s">
        <v>44</v>
      </c>
      <c r="R2844" s="13">
        <v>0</v>
      </c>
      <c r="S2844" s="13">
        <v>0</v>
      </c>
      <c r="T2844" s="13">
        <v>0</v>
      </c>
      <c r="U2844" s="13">
        <v>2482</v>
      </c>
      <c r="V2844" s="13">
        <v>1930</v>
      </c>
      <c r="W2844" s="37">
        <v>4521</v>
      </c>
      <c r="X2844" s="19"/>
      <c r="AG2844" s="16"/>
    </row>
    <row r="2845" spans="2:33">
      <c r="B2845" s="19"/>
      <c r="P2845" s="16"/>
      <c r="Q2845" s="36" t="s">
        <v>45</v>
      </c>
      <c r="R2845" s="13">
        <v>0</v>
      </c>
      <c r="S2845" s="13">
        <v>3894</v>
      </c>
      <c r="T2845" s="13">
        <v>3028</v>
      </c>
      <c r="U2845" s="13">
        <v>0</v>
      </c>
      <c r="V2845" s="13">
        <v>0</v>
      </c>
      <c r="W2845" s="37">
        <v>8654</v>
      </c>
      <c r="X2845" s="19"/>
      <c r="AG2845" s="16"/>
    </row>
    <row r="2846" spans="2:33" ht="15" thickBot="1">
      <c r="B2846" s="20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5"/>
      <c r="O2846" s="15"/>
      <c r="P2846" s="17"/>
      <c r="Q2846" s="36" t="s">
        <v>46</v>
      </c>
      <c r="R2846" s="13">
        <v>3662</v>
      </c>
      <c r="S2846" s="13">
        <v>2848</v>
      </c>
      <c r="T2846" s="13">
        <v>0</v>
      </c>
      <c r="U2846" s="13">
        <v>0</v>
      </c>
      <c r="V2846" s="13">
        <v>0</v>
      </c>
      <c r="W2846" s="37">
        <v>7905</v>
      </c>
      <c r="X2846" s="20"/>
      <c r="Y2846" s="15"/>
      <c r="Z2846" s="15"/>
      <c r="AA2846" s="15"/>
      <c r="AB2846" s="15"/>
      <c r="AC2846" s="15"/>
      <c r="AD2846" s="15"/>
      <c r="AE2846" s="15"/>
      <c r="AF2846" s="15"/>
      <c r="AG2846" s="17"/>
    </row>
    <row r="2847" spans="2:33" ht="15" thickBot="1"/>
    <row r="2848" spans="2:33" ht="15" thickBot="1">
      <c r="B2848" s="33" t="s">
        <v>2188</v>
      </c>
      <c r="C2848" s="26" t="s">
        <v>1198</v>
      </c>
      <c r="D2848" s="26" t="s">
        <v>1289</v>
      </c>
      <c r="E2848" s="26" t="s">
        <v>1290</v>
      </c>
      <c r="F2848" s="26" t="s">
        <v>126</v>
      </c>
      <c r="G2848" s="26" t="s">
        <v>33</v>
      </c>
      <c r="H2848" s="27" t="s">
        <v>33</v>
      </c>
      <c r="I2848" s="26" t="s">
        <v>1291</v>
      </c>
      <c r="J2848" s="27" t="s">
        <v>87</v>
      </c>
      <c r="K2848" s="29">
        <v>160</v>
      </c>
      <c r="L2848" s="29">
        <v>195</v>
      </c>
      <c r="M2848" s="29">
        <v>195</v>
      </c>
      <c r="N2848" s="29">
        <v>195</v>
      </c>
      <c r="O2848" s="29">
        <v>195</v>
      </c>
      <c r="P2848" s="40">
        <v>250</v>
      </c>
      <c r="Q2848" s="1" t="s">
        <v>35</v>
      </c>
      <c r="R2848" s="2">
        <v>5925</v>
      </c>
      <c r="S2848" s="2">
        <v>4242</v>
      </c>
      <c r="T2848" s="2">
        <v>0</v>
      </c>
      <c r="U2848" s="2">
        <v>0</v>
      </c>
      <c r="V2848" s="2">
        <v>0</v>
      </c>
      <c r="W2848" s="2">
        <v>4697</v>
      </c>
      <c r="X2848" s="43">
        <f>SUM(R2848:W2861)</f>
        <v>169287.07971191406</v>
      </c>
      <c r="Y2848" s="10">
        <v>46204</v>
      </c>
      <c r="Z2848" s="11">
        <v>0.21896900122639595</v>
      </c>
      <c r="AA2848" s="11">
        <v>0.18255917925488163</v>
      </c>
      <c r="AB2848" s="11">
        <v>0.14708513495490375</v>
      </c>
      <c r="AC2848" s="11">
        <v>0.12856702693487934</v>
      </c>
      <c r="AD2848" s="11">
        <v>0.11429546234595808</v>
      </c>
      <c r="AE2848" s="11">
        <v>0.13131505978116356</v>
      </c>
      <c r="AF2848" s="11">
        <v>0.15</v>
      </c>
      <c r="AG2848" s="13">
        <v>0.23899999999999999</v>
      </c>
    </row>
    <row r="2849" spans="2:33"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35"/>
      <c r="Q2849" s="36" t="s">
        <v>36</v>
      </c>
      <c r="R2849" s="13">
        <v>4439</v>
      </c>
      <c r="S2849" s="13">
        <v>3708</v>
      </c>
      <c r="T2849" s="13">
        <v>0</v>
      </c>
      <c r="U2849" s="13">
        <v>0</v>
      </c>
      <c r="V2849" s="13">
        <v>0</v>
      </c>
      <c r="W2849" s="37">
        <v>3672</v>
      </c>
      <c r="X2849" s="18"/>
      <c r="Y2849" s="14"/>
      <c r="Z2849" s="14"/>
      <c r="AA2849" s="14"/>
      <c r="AB2849" s="14"/>
      <c r="AC2849" s="14"/>
      <c r="AD2849" s="14"/>
      <c r="AE2849" s="14"/>
      <c r="AF2849" s="14"/>
      <c r="AG2849" s="35"/>
    </row>
    <row r="2850" spans="2:33">
      <c r="B2850" s="19"/>
      <c r="P2850" s="16"/>
      <c r="Q2850" s="36" t="s">
        <v>37</v>
      </c>
      <c r="R2850" s="13">
        <v>0</v>
      </c>
      <c r="S2850" s="13">
        <v>6135</v>
      </c>
      <c r="T2850" s="13">
        <v>5118</v>
      </c>
      <c r="U2850" s="13">
        <v>0</v>
      </c>
      <c r="V2850" s="13">
        <v>0</v>
      </c>
      <c r="W2850" s="37">
        <v>5084</v>
      </c>
      <c r="X2850" s="19"/>
      <c r="AG2850" s="16"/>
    </row>
    <row r="2851" spans="2:33">
      <c r="B2851" s="19"/>
      <c r="P2851" s="16"/>
      <c r="Q2851" s="36" t="s">
        <v>38</v>
      </c>
      <c r="R2851" s="13">
        <v>0</v>
      </c>
      <c r="S2851" s="13">
        <v>0</v>
      </c>
      <c r="T2851" s="13">
        <v>0</v>
      </c>
      <c r="U2851" s="13">
        <v>5178</v>
      </c>
      <c r="V2851" s="13">
        <v>4018</v>
      </c>
      <c r="W2851" s="37">
        <v>3711</v>
      </c>
      <c r="X2851" s="19"/>
      <c r="AG2851" s="16"/>
    </row>
    <row r="2852" spans="2:33">
      <c r="B2852" s="19"/>
      <c r="P2852" s="16"/>
      <c r="Q2852" s="36" t="s">
        <v>350</v>
      </c>
      <c r="R2852" s="13">
        <v>0</v>
      </c>
      <c r="S2852" s="13">
        <v>0</v>
      </c>
      <c r="T2852" s="13">
        <v>0</v>
      </c>
      <c r="U2852" s="13">
        <v>2004</v>
      </c>
      <c r="V2852" s="13">
        <v>1655</v>
      </c>
      <c r="W2852" s="37">
        <v>2405</v>
      </c>
      <c r="X2852" s="19"/>
      <c r="AG2852" s="16"/>
    </row>
    <row r="2853" spans="2:33">
      <c r="B2853" s="19"/>
      <c r="P2853" s="16"/>
      <c r="Q2853" s="36" t="s">
        <v>351</v>
      </c>
      <c r="R2853" s="13">
        <v>0</v>
      </c>
      <c r="S2853" s="13">
        <v>0</v>
      </c>
      <c r="T2853" s="13">
        <v>0</v>
      </c>
      <c r="U2853" s="13">
        <v>4050</v>
      </c>
      <c r="V2853" s="13">
        <v>3352</v>
      </c>
      <c r="W2853" s="37">
        <v>3007</v>
      </c>
      <c r="X2853" s="19"/>
      <c r="AG2853" s="16"/>
    </row>
    <row r="2854" spans="2:33">
      <c r="B2854" s="19"/>
      <c r="P2854" s="16"/>
      <c r="Q2854" s="36" t="s">
        <v>40</v>
      </c>
      <c r="R2854" s="13">
        <v>0</v>
      </c>
      <c r="S2854" s="13">
        <v>0</v>
      </c>
      <c r="T2854" s="13">
        <v>6135</v>
      </c>
      <c r="U2854" s="13">
        <v>5118</v>
      </c>
      <c r="V2854" s="13">
        <v>0</v>
      </c>
      <c r="W2854" s="37">
        <v>4899</v>
      </c>
      <c r="X2854" s="19"/>
      <c r="AG2854" s="16"/>
    </row>
    <row r="2855" spans="2:33">
      <c r="B2855" s="19"/>
      <c r="P2855" s="16"/>
      <c r="Q2855" s="36" t="s">
        <v>41</v>
      </c>
      <c r="R2855" s="13">
        <v>4825</v>
      </c>
      <c r="S2855" s="13">
        <v>3403</v>
      </c>
      <c r="T2855" s="13">
        <v>0</v>
      </c>
      <c r="U2855" s="13">
        <v>0</v>
      </c>
      <c r="V2855" s="13">
        <v>0</v>
      </c>
      <c r="W2855" s="37">
        <v>3818</v>
      </c>
      <c r="X2855" s="19"/>
      <c r="AG2855" s="16"/>
    </row>
    <row r="2856" spans="2:33">
      <c r="B2856" s="19"/>
      <c r="P2856" s="16"/>
      <c r="Q2856" s="36" t="s">
        <v>1250</v>
      </c>
      <c r="R2856" s="13">
        <v>0</v>
      </c>
      <c r="S2856" s="13">
        <v>0</v>
      </c>
      <c r="T2856" s="13">
        <v>2062.530029296875</v>
      </c>
      <c r="U2856" s="13">
        <v>1604.18994140625</v>
      </c>
      <c r="V2856" s="13">
        <v>0</v>
      </c>
      <c r="W2856" s="37">
        <v>5133.408203125</v>
      </c>
      <c r="X2856" s="19"/>
      <c r="AG2856" s="16"/>
    </row>
    <row r="2857" spans="2:33">
      <c r="B2857" s="19"/>
      <c r="P2857" s="16"/>
      <c r="Q2857" s="36" t="s">
        <v>1251</v>
      </c>
      <c r="R2857" s="13">
        <v>0</v>
      </c>
      <c r="S2857" s="13">
        <v>0</v>
      </c>
      <c r="T2857" s="13">
        <v>687.510009765625</v>
      </c>
      <c r="U2857" s="13">
        <v>534.72998046875</v>
      </c>
      <c r="V2857" s="13">
        <v>0</v>
      </c>
      <c r="W2857" s="37">
        <v>1344.4639892578125</v>
      </c>
      <c r="X2857" s="19"/>
      <c r="AG2857" s="16"/>
    </row>
    <row r="2858" spans="2:33">
      <c r="B2858" s="19"/>
      <c r="P2858" s="16"/>
      <c r="Q2858" s="36" t="s">
        <v>43</v>
      </c>
      <c r="R2858" s="13">
        <v>0</v>
      </c>
      <c r="S2858" s="13">
        <v>0</v>
      </c>
      <c r="T2858" s="13">
        <v>4605.47998046875</v>
      </c>
      <c r="U2858" s="13">
        <v>3582.0400390625</v>
      </c>
      <c r="V2858" s="13">
        <v>0</v>
      </c>
      <c r="W2858" s="37">
        <v>8559.6796875</v>
      </c>
      <c r="X2858" s="19"/>
      <c r="AG2858" s="16"/>
    </row>
    <row r="2859" spans="2:33">
      <c r="B2859" s="19"/>
      <c r="P2859" s="16"/>
      <c r="Q2859" s="36" t="s">
        <v>44</v>
      </c>
      <c r="R2859" s="13">
        <v>0</v>
      </c>
      <c r="S2859" s="13">
        <v>0</v>
      </c>
      <c r="T2859" s="13">
        <v>3349.881103515625</v>
      </c>
      <c r="U2859" s="13">
        <v>2605.462890625</v>
      </c>
      <c r="V2859" s="13">
        <v>0</v>
      </c>
      <c r="W2859" s="37">
        <v>6084.80810546875</v>
      </c>
      <c r="X2859" s="19"/>
      <c r="AG2859" s="16"/>
    </row>
    <row r="2860" spans="2:33">
      <c r="B2860" s="19"/>
      <c r="P2860" s="16"/>
      <c r="Q2860" s="36" t="s">
        <v>45</v>
      </c>
      <c r="R2860" s="13">
        <v>0</v>
      </c>
      <c r="S2860" s="13">
        <v>3837.06005859375</v>
      </c>
      <c r="T2860" s="13">
        <v>2984.3798828125</v>
      </c>
      <c r="U2860" s="13">
        <v>0</v>
      </c>
      <c r="V2860" s="13">
        <v>0</v>
      </c>
      <c r="W2860" s="37">
        <v>8526.7998046875</v>
      </c>
      <c r="X2860" s="19"/>
      <c r="AG2860" s="16"/>
    </row>
    <row r="2861" spans="2:33" ht="15" thickBot="1">
      <c r="B2861" s="20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7"/>
      <c r="Q2861" s="36" t="s">
        <v>46</v>
      </c>
      <c r="R2861" s="13">
        <v>3349.8359375</v>
      </c>
      <c r="S2861" s="13">
        <v>2605.427978515625</v>
      </c>
      <c r="T2861" s="13">
        <v>0</v>
      </c>
      <c r="U2861" s="13">
        <v>0</v>
      </c>
      <c r="V2861" s="13">
        <v>0</v>
      </c>
      <c r="W2861" s="37">
        <v>7231.39208984375</v>
      </c>
      <c r="X2861" s="20"/>
      <c r="Y2861" s="15"/>
      <c r="Z2861" s="15"/>
      <c r="AA2861" s="15"/>
      <c r="AB2861" s="15"/>
      <c r="AC2861" s="15"/>
      <c r="AD2861" s="15"/>
      <c r="AE2861" s="15"/>
      <c r="AF2861" s="15"/>
      <c r="AG2861" s="17"/>
    </row>
    <row r="2862" spans="2:33" ht="15" thickBot="1"/>
    <row r="2863" spans="2:33" ht="15" thickBot="1">
      <c r="B2863" s="33" t="s">
        <v>2188</v>
      </c>
      <c r="C2863" s="26" t="s">
        <v>1198</v>
      </c>
      <c r="D2863" s="26" t="s">
        <v>1292</v>
      </c>
      <c r="E2863" s="26" t="s">
        <v>1293</v>
      </c>
      <c r="F2863" s="26" t="s">
        <v>126</v>
      </c>
      <c r="G2863" s="26" t="s">
        <v>33</v>
      </c>
      <c r="H2863" s="27" t="s">
        <v>33</v>
      </c>
      <c r="I2863" s="26" t="s">
        <v>1294</v>
      </c>
      <c r="J2863" s="27" t="s">
        <v>87</v>
      </c>
      <c r="K2863" s="29">
        <v>20</v>
      </c>
      <c r="L2863" s="29">
        <v>20</v>
      </c>
      <c r="M2863" s="29">
        <v>20</v>
      </c>
      <c r="N2863" s="29">
        <v>20</v>
      </c>
      <c r="O2863" s="29">
        <v>20</v>
      </c>
      <c r="P2863" s="40">
        <v>50</v>
      </c>
      <c r="Q2863" s="1" t="s">
        <v>1272</v>
      </c>
      <c r="R2863" s="2">
        <v>359</v>
      </c>
      <c r="S2863" s="2">
        <v>217</v>
      </c>
      <c r="T2863" s="2">
        <v>0</v>
      </c>
      <c r="U2863" s="2">
        <v>0</v>
      </c>
      <c r="V2863" s="2">
        <v>0</v>
      </c>
      <c r="W2863" s="2">
        <v>452</v>
      </c>
      <c r="X2863" s="43">
        <f>SUM(R2863:W2875)</f>
        <v>19483</v>
      </c>
      <c r="Y2863" s="10">
        <v>46204</v>
      </c>
      <c r="Z2863" s="11">
        <v>0.21896900122639595</v>
      </c>
      <c r="AA2863" s="11">
        <v>0.18255917925488163</v>
      </c>
      <c r="AB2863" s="11">
        <v>0.14708513495490375</v>
      </c>
      <c r="AC2863" s="11">
        <v>0.12856702693487934</v>
      </c>
      <c r="AD2863" s="11">
        <v>0.11429546234595808</v>
      </c>
      <c r="AE2863" s="11">
        <v>0.13131505978116356</v>
      </c>
      <c r="AF2863" s="11">
        <v>0.15</v>
      </c>
      <c r="AG2863" s="13">
        <v>0.23899999999999999</v>
      </c>
    </row>
    <row r="2864" spans="2:33"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35"/>
      <c r="Q2864" s="36" t="s">
        <v>1273</v>
      </c>
      <c r="R2864" s="13">
        <v>714</v>
      </c>
      <c r="S2864" s="13">
        <v>457</v>
      </c>
      <c r="T2864" s="13">
        <v>0</v>
      </c>
      <c r="U2864" s="13">
        <v>0</v>
      </c>
      <c r="V2864" s="13">
        <v>0</v>
      </c>
      <c r="W2864" s="37">
        <v>738</v>
      </c>
      <c r="X2864" s="18"/>
      <c r="Y2864" s="14"/>
      <c r="Z2864" s="14"/>
      <c r="AA2864" s="14"/>
      <c r="AB2864" s="14"/>
      <c r="AC2864" s="14"/>
      <c r="AD2864" s="14"/>
      <c r="AE2864" s="14"/>
      <c r="AF2864" s="14"/>
      <c r="AG2864" s="35"/>
    </row>
    <row r="2865" spans="2:33">
      <c r="B2865" s="19"/>
      <c r="P2865" s="16"/>
      <c r="Q2865" s="36" t="s">
        <v>1295</v>
      </c>
      <c r="R2865" s="13">
        <v>117</v>
      </c>
      <c r="S2865" s="13">
        <v>800</v>
      </c>
      <c r="T2865" s="13">
        <v>235</v>
      </c>
      <c r="U2865" s="13">
        <v>0</v>
      </c>
      <c r="V2865" s="13">
        <v>0</v>
      </c>
      <c r="W2865" s="37">
        <v>567</v>
      </c>
      <c r="X2865" s="19"/>
      <c r="AG2865" s="16"/>
    </row>
    <row r="2866" spans="2:33">
      <c r="B2866" s="19"/>
      <c r="P2866" s="16"/>
      <c r="Q2866" s="36" t="s">
        <v>1209</v>
      </c>
      <c r="R2866" s="13">
        <v>0</v>
      </c>
      <c r="S2866" s="13">
        <v>0</v>
      </c>
      <c r="T2866" s="13">
        <v>0</v>
      </c>
      <c r="U2866" s="13">
        <v>415</v>
      </c>
      <c r="V2866" s="13">
        <v>284</v>
      </c>
      <c r="W2866" s="37">
        <v>460</v>
      </c>
      <c r="X2866" s="19"/>
      <c r="AG2866" s="16"/>
    </row>
    <row r="2867" spans="2:33">
      <c r="B2867" s="19"/>
      <c r="P2867" s="16"/>
      <c r="Q2867" s="36" t="s">
        <v>1210</v>
      </c>
      <c r="R2867" s="13">
        <v>0</v>
      </c>
      <c r="S2867" s="13">
        <v>0</v>
      </c>
      <c r="T2867" s="13">
        <v>0</v>
      </c>
      <c r="U2867" s="13">
        <v>414</v>
      </c>
      <c r="V2867" s="13">
        <v>213</v>
      </c>
      <c r="W2867" s="37">
        <v>242</v>
      </c>
      <c r="X2867" s="19"/>
      <c r="AG2867" s="16"/>
    </row>
    <row r="2868" spans="2:33">
      <c r="B2868" s="19"/>
      <c r="P2868" s="16"/>
      <c r="Q2868" s="36" t="s">
        <v>1211</v>
      </c>
      <c r="R2868" s="13">
        <v>0</v>
      </c>
      <c r="S2868" s="13">
        <v>0</v>
      </c>
      <c r="T2868" s="13">
        <v>0</v>
      </c>
      <c r="U2868" s="13">
        <v>264</v>
      </c>
      <c r="V2868" s="13">
        <v>200</v>
      </c>
      <c r="W2868" s="37">
        <v>145</v>
      </c>
      <c r="X2868" s="19"/>
      <c r="AG2868" s="16"/>
    </row>
    <row r="2869" spans="2:33">
      <c r="B2869" s="19"/>
      <c r="P2869" s="16"/>
      <c r="Q2869" s="36" t="s">
        <v>1212</v>
      </c>
      <c r="R2869" s="13">
        <v>0</v>
      </c>
      <c r="S2869" s="13">
        <v>0</v>
      </c>
      <c r="T2869" s="13">
        <v>538</v>
      </c>
      <c r="U2869" s="13">
        <v>830</v>
      </c>
      <c r="V2869" s="13">
        <v>274</v>
      </c>
      <c r="W2869" s="37">
        <v>473</v>
      </c>
      <c r="X2869" s="19"/>
      <c r="AG2869" s="16"/>
    </row>
    <row r="2870" spans="2:33">
      <c r="B2870" s="19"/>
      <c r="P2870" s="16"/>
      <c r="Q2870" s="36" t="s">
        <v>1213</v>
      </c>
      <c r="R2870" s="13">
        <v>374</v>
      </c>
      <c r="S2870" s="13">
        <v>213</v>
      </c>
      <c r="T2870" s="13">
        <v>261</v>
      </c>
      <c r="U2870" s="13">
        <v>150</v>
      </c>
      <c r="V2870" s="13">
        <v>0</v>
      </c>
      <c r="W2870" s="37">
        <v>406</v>
      </c>
      <c r="X2870" s="19"/>
      <c r="AG2870" s="16"/>
    </row>
    <row r="2871" spans="2:33">
      <c r="B2871" s="19"/>
      <c r="P2871" s="16"/>
      <c r="Q2871" s="36" t="s">
        <v>1214</v>
      </c>
      <c r="R2871" s="13">
        <v>187</v>
      </c>
      <c r="S2871" s="13">
        <v>135</v>
      </c>
      <c r="T2871" s="13">
        <v>151</v>
      </c>
      <c r="U2871" s="13">
        <v>82</v>
      </c>
      <c r="V2871" s="13">
        <v>0</v>
      </c>
      <c r="W2871" s="37">
        <v>448</v>
      </c>
      <c r="X2871" s="19"/>
      <c r="AG2871" s="16"/>
    </row>
    <row r="2872" spans="2:33">
      <c r="B2872" s="19"/>
      <c r="P2872" s="16"/>
      <c r="Q2872" s="36" t="s">
        <v>1277</v>
      </c>
      <c r="R2872" s="13">
        <v>0</v>
      </c>
      <c r="S2872" s="13">
        <v>0</v>
      </c>
      <c r="T2872" s="13">
        <v>1135</v>
      </c>
      <c r="U2872" s="13">
        <v>666</v>
      </c>
      <c r="V2872" s="13">
        <v>30</v>
      </c>
      <c r="W2872" s="37">
        <v>668</v>
      </c>
      <c r="X2872" s="19"/>
      <c r="AG2872" s="16"/>
    </row>
    <row r="2873" spans="2:33">
      <c r="B2873" s="19"/>
      <c r="P2873" s="16"/>
      <c r="Q2873" s="36" t="s">
        <v>1278</v>
      </c>
      <c r="R2873" s="13">
        <v>0</v>
      </c>
      <c r="S2873" s="13">
        <v>0</v>
      </c>
      <c r="T2873" s="13">
        <v>319</v>
      </c>
      <c r="U2873" s="13">
        <v>774</v>
      </c>
      <c r="V2873" s="13">
        <v>289</v>
      </c>
      <c r="W2873" s="37">
        <v>344</v>
      </c>
      <c r="X2873" s="19"/>
      <c r="AG2873" s="16"/>
    </row>
    <row r="2874" spans="2:33">
      <c r="B2874" s="19"/>
      <c r="P2874" s="16"/>
      <c r="Q2874" s="36" t="s">
        <v>73</v>
      </c>
      <c r="R2874" s="13">
        <v>0</v>
      </c>
      <c r="S2874" s="13">
        <v>468</v>
      </c>
      <c r="T2874" s="13">
        <v>285</v>
      </c>
      <c r="U2874" s="13">
        <v>417</v>
      </c>
      <c r="V2874" s="13">
        <v>213</v>
      </c>
      <c r="W2874" s="37">
        <v>399</v>
      </c>
      <c r="X2874" s="19"/>
      <c r="AG2874" s="16"/>
    </row>
    <row r="2875" spans="2:33" ht="15" thickBot="1">
      <c r="B2875" s="20"/>
      <c r="C2875" s="15"/>
      <c r="D2875" s="15"/>
      <c r="E2875" s="15"/>
      <c r="F2875" s="15"/>
      <c r="G2875" s="15"/>
      <c r="H2875" s="15"/>
      <c r="I2875" s="15"/>
      <c r="J2875" s="15"/>
      <c r="K2875" s="15"/>
      <c r="L2875" s="15"/>
      <c r="M2875" s="15"/>
      <c r="N2875" s="15"/>
      <c r="O2875" s="15"/>
      <c r="P2875" s="17"/>
      <c r="Q2875" s="36" t="s">
        <v>1218</v>
      </c>
      <c r="R2875" s="13">
        <v>483</v>
      </c>
      <c r="S2875" s="13">
        <v>579</v>
      </c>
      <c r="T2875" s="13">
        <v>154</v>
      </c>
      <c r="U2875" s="13">
        <v>0</v>
      </c>
      <c r="V2875" s="13">
        <v>0</v>
      </c>
      <c r="W2875" s="37">
        <v>445</v>
      </c>
      <c r="X2875" s="20"/>
      <c r="Y2875" s="15"/>
      <c r="Z2875" s="15"/>
      <c r="AA2875" s="15"/>
      <c r="AB2875" s="15"/>
      <c r="AC2875" s="15"/>
      <c r="AD2875" s="15"/>
      <c r="AE2875" s="15"/>
      <c r="AF2875" s="15"/>
      <c r="AG2875" s="17"/>
    </row>
    <row r="2876" spans="2:33" ht="15" thickBot="1"/>
    <row r="2877" spans="2:33" ht="15" thickBot="1">
      <c r="B2877" s="33" t="s">
        <v>2188</v>
      </c>
      <c r="C2877" s="26" t="s">
        <v>1198</v>
      </c>
      <c r="D2877" s="26" t="s">
        <v>1296</v>
      </c>
      <c r="E2877" s="26" t="s">
        <v>1297</v>
      </c>
      <c r="F2877" s="26" t="s">
        <v>126</v>
      </c>
      <c r="G2877" s="26" t="s">
        <v>33</v>
      </c>
      <c r="H2877" s="27" t="s">
        <v>33</v>
      </c>
      <c r="I2877" s="26" t="s">
        <v>1298</v>
      </c>
      <c r="J2877" s="27" t="s">
        <v>34</v>
      </c>
      <c r="K2877" s="29">
        <v>550</v>
      </c>
      <c r="L2877" s="29">
        <v>550</v>
      </c>
      <c r="M2877" s="29">
        <v>550</v>
      </c>
      <c r="N2877" s="29">
        <v>550</v>
      </c>
      <c r="O2877" s="29">
        <v>550</v>
      </c>
      <c r="P2877" s="40">
        <v>1300</v>
      </c>
      <c r="Q2877" s="1" t="s">
        <v>35</v>
      </c>
      <c r="R2877" s="2">
        <v>40636</v>
      </c>
      <c r="S2877" s="2">
        <v>30418</v>
      </c>
      <c r="T2877" s="2">
        <v>0</v>
      </c>
      <c r="U2877" s="2">
        <v>0</v>
      </c>
      <c r="V2877" s="2">
        <v>0</v>
      </c>
      <c r="W2877" s="2">
        <v>51660</v>
      </c>
      <c r="X2877" s="43">
        <f>SUM(R2877:W2889)</f>
        <v>1718923</v>
      </c>
      <c r="Y2877" s="10">
        <v>46204</v>
      </c>
      <c r="Z2877" s="11">
        <v>0.18944179940637271</v>
      </c>
      <c r="AA2877" s="11">
        <v>0.15835358124143273</v>
      </c>
      <c r="AB2877" s="11">
        <v>0.13112092502991979</v>
      </c>
      <c r="AC2877" s="11">
        <v>0.11711967035536473</v>
      </c>
      <c r="AD2877" s="11">
        <v>0.10620551120181751</v>
      </c>
      <c r="AE2877" s="11">
        <v>0.12187624542640918</v>
      </c>
      <c r="AF2877" s="11">
        <v>0.15</v>
      </c>
      <c r="AG2877" s="13">
        <v>0.23899999999999999</v>
      </c>
    </row>
    <row r="2878" spans="2:33"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35"/>
      <c r="Q2878" s="36" t="s">
        <v>36</v>
      </c>
      <c r="R2878" s="13">
        <v>41586</v>
      </c>
      <c r="S2878" s="13">
        <v>32787</v>
      </c>
      <c r="T2878" s="13">
        <v>0</v>
      </c>
      <c r="U2878" s="13">
        <v>0</v>
      </c>
      <c r="V2878" s="13">
        <v>0</v>
      </c>
      <c r="W2878" s="37">
        <v>47221</v>
      </c>
      <c r="X2878" s="18"/>
      <c r="Y2878" s="14"/>
      <c r="Z2878" s="14"/>
      <c r="AA2878" s="14"/>
      <c r="AB2878" s="14"/>
      <c r="AC2878" s="14"/>
      <c r="AD2878" s="14"/>
      <c r="AE2878" s="14"/>
      <c r="AF2878" s="14"/>
      <c r="AG2878" s="35"/>
    </row>
    <row r="2879" spans="2:33">
      <c r="B2879" s="19"/>
      <c r="P2879" s="16"/>
      <c r="Q2879" s="36" t="s">
        <v>37</v>
      </c>
      <c r="R2879" s="13">
        <v>0</v>
      </c>
      <c r="S2879" s="13">
        <v>41472</v>
      </c>
      <c r="T2879" s="13">
        <v>31861</v>
      </c>
      <c r="U2879" s="13">
        <v>0</v>
      </c>
      <c r="V2879" s="13">
        <v>0</v>
      </c>
      <c r="W2879" s="37">
        <v>49456</v>
      </c>
      <c r="X2879" s="19"/>
      <c r="AG2879" s="16"/>
    </row>
    <row r="2880" spans="2:33">
      <c r="B2880" s="19"/>
      <c r="P2880" s="16"/>
      <c r="Q2880" s="36" t="s">
        <v>38</v>
      </c>
      <c r="R2880" s="13">
        <v>0</v>
      </c>
      <c r="S2880" s="13">
        <v>0</v>
      </c>
      <c r="T2880" s="13">
        <v>0</v>
      </c>
      <c r="U2880" s="13">
        <v>39482</v>
      </c>
      <c r="V2880" s="13">
        <v>29698</v>
      </c>
      <c r="W2880" s="37">
        <v>45222</v>
      </c>
      <c r="X2880" s="19"/>
      <c r="AG2880" s="16"/>
    </row>
    <row r="2881" spans="2:33">
      <c r="B2881" s="19"/>
      <c r="P2881" s="16"/>
      <c r="Q2881" s="36" t="s">
        <v>255</v>
      </c>
      <c r="R2881" s="13">
        <v>0</v>
      </c>
      <c r="S2881" s="13">
        <v>0</v>
      </c>
      <c r="T2881" s="13">
        <v>0</v>
      </c>
      <c r="U2881" s="13">
        <v>0</v>
      </c>
      <c r="V2881" s="13">
        <v>0</v>
      </c>
      <c r="W2881" s="37">
        <v>2857</v>
      </c>
      <c r="X2881" s="19"/>
      <c r="AG2881" s="16"/>
    </row>
    <row r="2882" spans="2:33">
      <c r="B2882" s="19"/>
      <c r="P2882" s="16"/>
      <c r="Q2882" s="36" t="s">
        <v>256</v>
      </c>
      <c r="R2882" s="13">
        <v>0</v>
      </c>
      <c r="S2882" s="13">
        <v>0</v>
      </c>
      <c r="T2882" s="13">
        <v>0</v>
      </c>
      <c r="U2882" s="13">
        <v>45432</v>
      </c>
      <c r="V2882" s="13">
        <v>34124</v>
      </c>
      <c r="W2882" s="37">
        <v>51910</v>
      </c>
      <c r="X2882" s="19"/>
      <c r="AG2882" s="16"/>
    </row>
    <row r="2883" spans="2:33">
      <c r="B2883" s="19"/>
      <c r="P2883" s="16"/>
      <c r="Q2883" s="36" t="s">
        <v>40</v>
      </c>
      <c r="R2883" s="13">
        <v>0</v>
      </c>
      <c r="S2883" s="13">
        <v>0</v>
      </c>
      <c r="T2883" s="13">
        <v>61557</v>
      </c>
      <c r="U2883" s="13">
        <v>46251</v>
      </c>
      <c r="V2883" s="13">
        <v>0</v>
      </c>
      <c r="W2883" s="37">
        <v>61885</v>
      </c>
      <c r="X2883" s="19"/>
      <c r="AG2883" s="16"/>
    </row>
    <row r="2884" spans="2:33">
      <c r="B2884" s="19"/>
      <c r="P2884" s="16"/>
      <c r="Q2884" s="36" t="s">
        <v>41</v>
      </c>
      <c r="R2884" s="13">
        <v>66637</v>
      </c>
      <c r="S2884" s="13">
        <v>48075</v>
      </c>
      <c r="T2884" s="13">
        <v>0</v>
      </c>
      <c r="U2884" s="13">
        <v>0</v>
      </c>
      <c r="V2884" s="13">
        <v>0</v>
      </c>
      <c r="W2884" s="37">
        <v>60191</v>
      </c>
      <c r="X2884" s="19"/>
      <c r="AG2884" s="16"/>
    </row>
    <row r="2885" spans="2:33">
      <c r="B2885" s="19"/>
      <c r="P2885" s="16"/>
      <c r="Q2885" s="36" t="s">
        <v>42</v>
      </c>
      <c r="R2885" s="13">
        <v>0</v>
      </c>
      <c r="S2885" s="13">
        <v>0</v>
      </c>
      <c r="T2885" s="13">
        <v>59957</v>
      </c>
      <c r="U2885" s="13">
        <v>44458</v>
      </c>
      <c r="V2885" s="13">
        <v>0</v>
      </c>
      <c r="W2885" s="37">
        <v>73043</v>
      </c>
      <c r="X2885" s="19"/>
      <c r="AG2885" s="16"/>
    </row>
    <row r="2886" spans="2:33">
      <c r="B2886" s="19"/>
      <c r="P2886" s="16"/>
      <c r="Q2886" s="36" t="s">
        <v>43</v>
      </c>
      <c r="R2886" s="13">
        <v>0</v>
      </c>
      <c r="S2886" s="13">
        <v>0</v>
      </c>
      <c r="T2886" s="13">
        <v>60913</v>
      </c>
      <c r="U2886" s="13">
        <v>44374</v>
      </c>
      <c r="V2886" s="13">
        <v>0</v>
      </c>
      <c r="W2886" s="37">
        <v>60983</v>
      </c>
      <c r="X2886" s="19"/>
      <c r="AG2886" s="16"/>
    </row>
    <row r="2887" spans="2:33">
      <c r="B2887" s="19"/>
      <c r="P2887" s="16"/>
      <c r="Q2887" s="36" t="s">
        <v>44</v>
      </c>
      <c r="R2887" s="13">
        <v>0</v>
      </c>
      <c r="S2887" s="13">
        <v>0</v>
      </c>
      <c r="T2887" s="13">
        <v>0</v>
      </c>
      <c r="U2887" s="13">
        <v>55634</v>
      </c>
      <c r="V2887" s="13">
        <v>42676</v>
      </c>
      <c r="W2887" s="37">
        <v>59319</v>
      </c>
      <c r="X2887" s="19"/>
      <c r="AG2887" s="16"/>
    </row>
    <row r="2888" spans="2:33">
      <c r="B2888" s="19"/>
      <c r="P2888" s="16"/>
      <c r="Q2888" s="36" t="s">
        <v>45</v>
      </c>
      <c r="R2888" s="13">
        <v>0</v>
      </c>
      <c r="S2888" s="13">
        <v>43154</v>
      </c>
      <c r="T2888" s="13">
        <v>32764</v>
      </c>
      <c r="U2888" s="13">
        <v>0</v>
      </c>
      <c r="V2888" s="13">
        <v>0</v>
      </c>
      <c r="W2888" s="37">
        <v>58856</v>
      </c>
      <c r="X2888" s="19"/>
      <c r="AG2888" s="16"/>
    </row>
    <row r="2889" spans="2:33" ht="15" thickBot="1">
      <c r="B2889" s="20"/>
      <c r="C2889" s="15"/>
      <c r="D2889" s="15"/>
      <c r="E2889" s="15"/>
      <c r="F2889" s="15"/>
      <c r="G2889" s="15"/>
      <c r="H2889" s="15"/>
      <c r="I2889" s="15"/>
      <c r="J2889" s="15"/>
      <c r="K2889" s="15"/>
      <c r="L2889" s="15"/>
      <c r="M2889" s="15"/>
      <c r="N2889" s="15"/>
      <c r="O2889" s="15"/>
      <c r="P2889" s="17"/>
      <c r="Q2889" s="36" t="s">
        <v>46</v>
      </c>
      <c r="R2889" s="13">
        <v>38878</v>
      </c>
      <c r="S2889" s="13">
        <v>29065</v>
      </c>
      <c r="T2889" s="13">
        <v>0</v>
      </c>
      <c r="U2889" s="13">
        <v>0</v>
      </c>
      <c r="V2889" s="13">
        <v>0</v>
      </c>
      <c r="W2889" s="37">
        <v>54431</v>
      </c>
      <c r="X2889" s="20"/>
      <c r="Y2889" s="15"/>
      <c r="Z2889" s="15"/>
      <c r="AA2889" s="15"/>
      <c r="AB2889" s="15"/>
      <c r="AC2889" s="15"/>
      <c r="AD2889" s="15"/>
      <c r="AE2889" s="15"/>
      <c r="AF2889" s="15"/>
      <c r="AG2889" s="17"/>
    </row>
    <row r="2890" spans="2:33" ht="15" thickBot="1"/>
    <row r="2891" spans="2:33" ht="15" thickBot="1">
      <c r="B2891" s="33" t="s">
        <v>2188</v>
      </c>
      <c r="C2891" s="26" t="s">
        <v>1198</v>
      </c>
      <c r="D2891" s="26" t="s">
        <v>1299</v>
      </c>
      <c r="E2891" s="26" t="s">
        <v>1300</v>
      </c>
      <c r="F2891" s="26" t="s">
        <v>126</v>
      </c>
      <c r="G2891" s="26" t="s">
        <v>33</v>
      </c>
      <c r="H2891" s="27" t="s">
        <v>33</v>
      </c>
      <c r="I2891" s="26" t="s">
        <v>1301</v>
      </c>
      <c r="J2891" s="27" t="s">
        <v>87</v>
      </c>
      <c r="K2891" s="29">
        <v>80</v>
      </c>
      <c r="L2891" s="29">
        <v>80</v>
      </c>
      <c r="M2891" s="29">
        <v>80</v>
      </c>
      <c r="N2891" s="29">
        <v>80</v>
      </c>
      <c r="O2891" s="29">
        <v>80</v>
      </c>
      <c r="P2891" s="40">
        <v>131</v>
      </c>
      <c r="Q2891" s="1" t="s">
        <v>35</v>
      </c>
      <c r="R2891" s="2">
        <v>4517</v>
      </c>
      <c r="S2891" s="2">
        <v>3739</v>
      </c>
      <c r="T2891" s="2">
        <v>0</v>
      </c>
      <c r="U2891" s="2">
        <v>0</v>
      </c>
      <c r="V2891" s="2">
        <v>0</v>
      </c>
      <c r="W2891" s="2">
        <v>2874</v>
      </c>
      <c r="X2891" s="43">
        <f>SUM(R2891:W2905)</f>
        <v>142529</v>
      </c>
      <c r="Y2891" s="10">
        <v>46204</v>
      </c>
      <c r="Z2891" s="11">
        <v>0.21896900122639595</v>
      </c>
      <c r="AA2891" s="11">
        <v>0.18255917925488163</v>
      </c>
      <c r="AB2891" s="11">
        <v>0.14708513495490375</v>
      </c>
      <c r="AC2891" s="11">
        <v>0.12856702693487934</v>
      </c>
      <c r="AD2891" s="11">
        <v>0.11429546234595808</v>
      </c>
      <c r="AE2891" s="11">
        <v>0.13131505978116356</v>
      </c>
      <c r="AF2891" s="11">
        <v>0.15</v>
      </c>
      <c r="AG2891" s="13">
        <v>0.23899999999999999</v>
      </c>
    </row>
    <row r="2892" spans="2:33">
      <c r="C2892" s="14"/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35"/>
      <c r="Q2892" s="36" t="s">
        <v>36</v>
      </c>
      <c r="R2892" s="13">
        <v>4172</v>
      </c>
      <c r="S2892" s="13">
        <v>3807</v>
      </c>
      <c r="T2892" s="13">
        <v>0</v>
      </c>
      <c r="U2892" s="13">
        <v>0</v>
      </c>
      <c r="V2892" s="13">
        <v>0</v>
      </c>
      <c r="W2892" s="37">
        <v>2299</v>
      </c>
      <c r="X2892" s="18"/>
      <c r="Y2892" s="14"/>
      <c r="Z2892" s="14"/>
      <c r="AA2892" s="14"/>
      <c r="AB2892" s="14"/>
      <c r="AC2892" s="14"/>
      <c r="AD2892" s="14"/>
      <c r="AE2892" s="14"/>
      <c r="AF2892" s="14"/>
      <c r="AG2892" s="35"/>
    </row>
    <row r="2893" spans="2:33">
      <c r="B2893" s="19"/>
      <c r="P2893" s="16"/>
      <c r="Q2893" s="36" t="s">
        <v>37</v>
      </c>
      <c r="R2893" s="13">
        <v>0</v>
      </c>
      <c r="S2893" s="13">
        <v>3887</v>
      </c>
      <c r="T2893" s="13">
        <v>3523</v>
      </c>
      <c r="U2893" s="13">
        <v>0</v>
      </c>
      <c r="V2893" s="13">
        <v>0</v>
      </c>
      <c r="W2893" s="37">
        <v>2663</v>
      </c>
      <c r="X2893" s="19"/>
      <c r="AG2893" s="16"/>
    </row>
    <row r="2894" spans="2:33">
      <c r="B2894" s="19"/>
      <c r="P2894" s="16"/>
      <c r="Q2894" s="36" t="s">
        <v>38</v>
      </c>
      <c r="R2894" s="13">
        <v>0</v>
      </c>
      <c r="S2894" s="13">
        <v>0</v>
      </c>
      <c r="T2894" s="13">
        <v>0</v>
      </c>
      <c r="U2894" s="13">
        <v>3517</v>
      </c>
      <c r="V2894" s="13">
        <v>2751</v>
      </c>
      <c r="W2894" s="37">
        <v>2349</v>
      </c>
      <c r="X2894" s="19"/>
      <c r="AG2894" s="16"/>
    </row>
    <row r="2895" spans="2:33">
      <c r="B2895" s="19"/>
      <c r="P2895" s="16"/>
      <c r="Q2895" s="36" t="s">
        <v>1267</v>
      </c>
      <c r="R2895" s="13">
        <v>0</v>
      </c>
      <c r="S2895" s="13">
        <v>0</v>
      </c>
      <c r="T2895" s="13">
        <v>0</v>
      </c>
      <c r="U2895" s="13">
        <v>367</v>
      </c>
      <c r="V2895" s="13">
        <v>315</v>
      </c>
      <c r="W2895" s="37">
        <v>473</v>
      </c>
      <c r="X2895" s="19"/>
      <c r="AG2895" s="16"/>
    </row>
    <row r="2896" spans="2:33">
      <c r="B2896" s="19"/>
      <c r="P2896" s="16"/>
      <c r="Q2896" s="36" t="s">
        <v>1268</v>
      </c>
      <c r="R2896" s="13">
        <v>0</v>
      </c>
      <c r="S2896" s="13">
        <v>0</v>
      </c>
      <c r="T2896" s="13">
        <v>0</v>
      </c>
      <c r="U2896" s="13">
        <v>3868</v>
      </c>
      <c r="V2896" s="13">
        <v>3066</v>
      </c>
      <c r="W2896" s="37">
        <v>2013</v>
      </c>
      <c r="X2896" s="19"/>
      <c r="AG2896" s="16"/>
    </row>
    <row r="2897" spans="2:33">
      <c r="B2897" s="19"/>
      <c r="P2897" s="16"/>
      <c r="Q2897" s="36" t="s">
        <v>1245</v>
      </c>
      <c r="R2897" s="13">
        <v>0</v>
      </c>
      <c r="S2897" s="13">
        <v>0</v>
      </c>
      <c r="T2897" s="13">
        <v>3753</v>
      </c>
      <c r="U2897" s="13">
        <v>3159</v>
      </c>
      <c r="V2897" s="13">
        <v>0</v>
      </c>
      <c r="W2897" s="37">
        <v>2511</v>
      </c>
      <c r="X2897" s="19"/>
      <c r="AG2897" s="16"/>
    </row>
    <row r="2898" spans="2:33">
      <c r="B2898" s="19"/>
      <c r="P2898" s="16"/>
      <c r="Q2898" s="36" t="s">
        <v>1246</v>
      </c>
      <c r="R2898" s="13">
        <v>0</v>
      </c>
      <c r="S2898" s="13">
        <v>0</v>
      </c>
      <c r="T2898" s="13">
        <v>1311</v>
      </c>
      <c r="U2898" s="13">
        <v>1044</v>
      </c>
      <c r="V2898" s="13">
        <v>0</v>
      </c>
      <c r="W2898" s="37">
        <v>650</v>
      </c>
      <c r="X2898" s="19"/>
      <c r="AG2898" s="16"/>
    </row>
    <row r="2899" spans="2:33">
      <c r="B2899" s="19"/>
      <c r="P2899" s="16"/>
      <c r="Q2899" s="36" t="s">
        <v>41</v>
      </c>
      <c r="R2899" s="13">
        <v>7936</v>
      </c>
      <c r="S2899" s="13">
        <v>6488</v>
      </c>
      <c r="T2899" s="13">
        <v>0</v>
      </c>
      <c r="U2899" s="13">
        <v>0</v>
      </c>
      <c r="V2899" s="13">
        <v>0</v>
      </c>
      <c r="W2899" s="37">
        <v>4693</v>
      </c>
      <c r="X2899" s="19"/>
      <c r="AG2899" s="16"/>
    </row>
    <row r="2900" spans="2:33">
      <c r="B2900" s="19"/>
      <c r="P2900" s="16"/>
      <c r="Q2900" s="36" t="s">
        <v>1250</v>
      </c>
      <c r="R2900" s="13">
        <v>0</v>
      </c>
      <c r="S2900" s="13">
        <v>0</v>
      </c>
      <c r="T2900" s="13">
        <v>3223</v>
      </c>
      <c r="U2900" s="13">
        <v>2506</v>
      </c>
      <c r="V2900" s="13">
        <v>0</v>
      </c>
      <c r="W2900" s="37">
        <v>8022</v>
      </c>
      <c r="X2900" s="19"/>
      <c r="AG2900" s="16"/>
    </row>
    <row r="2901" spans="2:33">
      <c r="B2901" s="19"/>
      <c r="P2901" s="16"/>
      <c r="Q2901" s="36" t="s">
        <v>1251</v>
      </c>
      <c r="R2901" s="13">
        <v>0</v>
      </c>
      <c r="S2901" s="13">
        <v>0</v>
      </c>
      <c r="T2901" s="13">
        <v>1074</v>
      </c>
      <c r="U2901" s="13">
        <v>835</v>
      </c>
      <c r="V2901" s="13">
        <v>0</v>
      </c>
      <c r="W2901" s="37">
        <v>2101</v>
      </c>
      <c r="X2901" s="19"/>
      <c r="AG2901" s="16"/>
    </row>
    <row r="2902" spans="2:33">
      <c r="B2902" s="19"/>
      <c r="P2902" s="16"/>
      <c r="Q2902" s="36" t="s">
        <v>43</v>
      </c>
      <c r="R2902" s="13">
        <v>0</v>
      </c>
      <c r="S2902" s="13">
        <v>0</v>
      </c>
      <c r="T2902" s="13">
        <v>3682</v>
      </c>
      <c r="U2902" s="13">
        <v>2864</v>
      </c>
      <c r="V2902" s="13">
        <v>0</v>
      </c>
      <c r="W2902" s="37">
        <v>6844</v>
      </c>
      <c r="X2902" s="19"/>
      <c r="AG2902" s="16"/>
    </row>
    <row r="2903" spans="2:33">
      <c r="B2903" s="19"/>
      <c r="P2903" s="16"/>
      <c r="Q2903" s="36" t="s">
        <v>44</v>
      </c>
      <c r="R2903" s="13">
        <v>0</v>
      </c>
      <c r="S2903" s="13">
        <v>0</v>
      </c>
      <c r="T2903" s="13">
        <v>0</v>
      </c>
      <c r="U2903" s="13">
        <v>2719</v>
      </c>
      <c r="V2903" s="13">
        <v>2114</v>
      </c>
      <c r="W2903" s="37">
        <v>4952</v>
      </c>
      <c r="X2903" s="19"/>
      <c r="AG2903" s="16"/>
    </row>
    <row r="2904" spans="2:33">
      <c r="B2904" s="19"/>
      <c r="P2904" s="16"/>
      <c r="Q2904" s="36" t="s">
        <v>45</v>
      </c>
      <c r="R2904" s="13">
        <v>0</v>
      </c>
      <c r="S2904" s="13">
        <v>2327</v>
      </c>
      <c r="T2904" s="13">
        <v>1810</v>
      </c>
      <c r="U2904" s="13">
        <v>0</v>
      </c>
      <c r="V2904" s="13">
        <v>0</v>
      </c>
      <c r="W2904" s="37">
        <v>5172</v>
      </c>
      <c r="X2904" s="19"/>
      <c r="AG2904" s="16"/>
    </row>
    <row r="2905" spans="2:33" ht="15" thickBot="1">
      <c r="B2905" s="20"/>
      <c r="C2905" s="15"/>
      <c r="D2905" s="15"/>
      <c r="E2905" s="15"/>
      <c r="F2905" s="15"/>
      <c r="G2905" s="15"/>
      <c r="H2905" s="15"/>
      <c r="I2905" s="15"/>
      <c r="J2905" s="15"/>
      <c r="K2905" s="15"/>
      <c r="L2905" s="15"/>
      <c r="M2905" s="15"/>
      <c r="N2905" s="15"/>
      <c r="O2905" s="15"/>
      <c r="P2905" s="17"/>
      <c r="Q2905" s="36" t="s">
        <v>46</v>
      </c>
      <c r="R2905" s="13">
        <v>2677</v>
      </c>
      <c r="S2905" s="13">
        <v>2082</v>
      </c>
      <c r="T2905" s="13">
        <v>0</v>
      </c>
      <c r="U2905" s="13">
        <v>0</v>
      </c>
      <c r="V2905" s="13">
        <v>0</v>
      </c>
      <c r="W2905" s="37">
        <v>5780</v>
      </c>
      <c r="X2905" s="20"/>
      <c r="Y2905" s="15"/>
      <c r="Z2905" s="15"/>
      <c r="AA2905" s="15"/>
      <c r="AB2905" s="15"/>
      <c r="AC2905" s="15"/>
      <c r="AD2905" s="15"/>
      <c r="AE2905" s="15"/>
      <c r="AF2905" s="15"/>
      <c r="AG2905" s="17"/>
    </row>
    <row r="2906" spans="2:33" ht="15" thickBot="1"/>
    <row r="2907" spans="2:33" ht="15" thickBot="1">
      <c r="B2907" s="33" t="s">
        <v>2188</v>
      </c>
      <c r="C2907" s="26" t="s">
        <v>1198</v>
      </c>
      <c r="D2907" s="26" t="s">
        <v>1302</v>
      </c>
      <c r="E2907" s="26" t="s">
        <v>1303</v>
      </c>
      <c r="F2907" s="26" t="s">
        <v>126</v>
      </c>
      <c r="G2907" s="26" t="s">
        <v>33</v>
      </c>
      <c r="H2907" s="27" t="s">
        <v>33</v>
      </c>
      <c r="I2907" s="26" t="s">
        <v>1304</v>
      </c>
      <c r="J2907" s="27" t="s">
        <v>56</v>
      </c>
      <c r="K2907" s="29">
        <v>5.5</v>
      </c>
      <c r="L2907" s="29">
        <v>5.5</v>
      </c>
      <c r="M2907" s="29">
        <v>5.5</v>
      </c>
      <c r="N2907" s="29">
        <v>0</v>
      </c>
      <c r="O2907" s="29">
        <v>0</v>
      </c>
      <c r="P2907" s="40">
        <v>0</v>
      </c>
      <c r="Q2907" s="1" t="s">
        <v>274</v>
      </c>
      <c r="R2907" s="2">
        <v>23</v>
      </c>
      <c r="S2907" s="2">
        <v>23</v>
      </c>
      <c r="T2907" s="2">
        <v>54</v>
      </c>
      <c r="U2907" s="2">
        <v>0</v>
      </c>
      <c r="V2907" s="2">
        <v>0</v>
      </c>
      <c r="W2907" s="2">
        <v>0</v>
      </c>
      <c r="X2907" s="43">
        <f>SUM(R2907:W2919)</f>
        <v>1150</v>
      </c>
      <c r="Y2907" s="10">
        <v>46204</v>
      </c>
      <c r="Z2907" s="11">
        <v>0.23914913165546237</v>
      </c>
      <c r="AA2907" s="11">
        <v>0.16263468186376903</v>
      </c>
      <c r="AB2907" s="11">
        <v>0.13490905978116355</v>
      </c>
      <c r="AC2907" s="11"/>
      <c r="AD2907" s="11"/>
      <c r="AE2907" s="11"/>
      <c r="AF2907" s="11">
        <v>0.15</v>
      </c>
      <c r="AG2907" s="13">
        <v>0.23899999999999999</v>
      </c>
    </row>
    <row r="2908" spans="2:33">
      <c r="C2908" s="14"/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35"/>
      <c r="Q2908" s="36" t="s">
        <v>1305</v>
      </c>
      <c r="R2908" s="13">
        <v>21</v>
      </c>
      <c r="S2908" s="13">
        <v>20</v>
      </c>
      <c r="T2908" s="13">
        <v>42</v>
      </c>
      <c r="U2908" s="13">
        <v>0</v>
      </c>
      <c r="V2908" s="13">
        <v>0</v>
      </c>
      <c r="W2908" s="37">
        <v>0</v>
      </c>
      <c r="X2908" s="18"/>
      <c r="Y2908" s="14"/>
      <c r="Z2908" s="14"/>
      <c r="AA2908" s="14"/>
      <c r="AB2908" s="14"/>
      <c r="AC2908" s="14"/>
      <c r="AD2908" s="14"/>
      <c r="AE2908" s="14"/>
      <c r="AF2908" s="14"/>
      <c r="AG2908" s="35"/>
    </row>
    <row r="2909" spans="2:33">
      <c r="B2909" s="19"/>
      <c r="P2909" s="16"/>
      <c r="Q2909" s="36" t="s">
        <v>1306</v>
      </c>
      <c r="R2909" s="13">
        <v>23</v>
      </c>
      <c r="S2909" s="13">
        <v>23</v>
      </c>
      <c r="T2909" s="13">
        <v>51</v>
      </c>
      <c r="U2909" s="13">
        <v>0</v>
      </c>
      <c r="V2909" s="13">
        <v>0</v>
      </c>
      <c r="W2909" s="37">
        <v>0</v>
      </c>
      <c r="X2909" s="19"/>
      <c r="AG2909" s="16"/>
    </row>
    <row r="2910" spans="2:33">
      <c r="B2910" s="19"/>
      <c r="P2910" s="16"/>
      <c r="Q2910" s="36" t="s">
        <v>287</v>
      </c>
      <c r="R2910" s="13">
        <v>17</v>
      </c>
      <c r="S2910" s="13">
        <v>18</v>
      </c>
      <c r="T2910" s="13">
        <v>46</v>
      </c>
      <c r="U2910" s="13">
        <v>0</v>
      </c>
      <c r="V2910" s="13">
        <v>0</v>
      </c>
      <c r="W2910" s="37">
        <v>0</v>
      </c>
      <c r="X2910" s="19"/>
      <c r="AG2910" s="16"/>
    </row>
    <row r="2911" spans="2:33">
      <c r="B2911" s="19"/>
      <c r="P2911" s="16"/>
      <c r="Q2911" s="36" t="s">
        <v>1307</v>
      </c>
      <c r="R2911" s="13">
        <v>4</v>
      </c>
      <c r="S2911" s="13">
        <v>4</v>
      </c>
      <c r="T2911" s="13">
        <v>4</v>
      </c>
      <c r="U2911" s="13">
        <v>0</v>
      </c>
      <c r="V2911" s="13">
        <v>0</v>
      </c>
      <c r="W2911" s="37">
        <v>0</v>
      </c>
      <c r="X2911" s="19"/>
      <c r="AG2911" s="16"/>
    </row>
    <row r="2912" spans="2:33">
      <c r="B2912" s="19"/>
      <c r="P2912" s="16"/>
      <c r="Q2912" s="36" t="s">
        <v>82</v>
      </c>
      <c r="R2912" s="13">
        <v>22</v>
      </c>
      <c r="S2912" s="13">
        <v>22</v>
      </c>
      <c r="T2912" s="13">
        <v>53</v>
      </c>
      <c r="U2912" s="13">
        <v>0</v>
      </c>
      <c r="V2912" s="13">
        <v>0</v>
      </c>
      <c r="W2912" s="37">
        <v>0</v>
      </c>
      <c r="X2912" s="19"/>
      <c r="AG2912" s="16"/>
    </row>
    <row r="2913" spans="2:33">
      <c r="B2913" s="19"/>
      <c r="P2913" s="16"/>
      <c r="Q2913" s="36" t="s">
        <v>83</v>
      </c>
      <c r="R2913" s="13">
        <v>23</v>
      </c>
      <c r="S2913" s="13">
        <v>23</v>
      </c>
      <c r="T2913" s="13">
        <v>49</v>
      </c>
      <c r="U2913" s="13">
        <v>0</v>
      </c>
      <c r="V2913" s="13">
        <v>0</v>
      </c>
      <c r="W2913" s="37">
        <v>0</v>
      </c>
      <c r="X2913" s="19"/>
      <c r="AG2913" s="16"/>
    </row>
    <row r="2914" spans="2:33">
      <c r="B2914" s="19"/>
      <c r="P2914" s="16"/>
      <c r="Q2914" s="36" t="s">
        <v>1308</v>
      </c>
      <c r="R2914" s="13">
        <v>23</v>
      </c>
      <c r="S2914" s="13">
        <v>23</v>
      </c>
      <c r="T2914" s="13">
        <v>49</v>
      </c>
      <c r="U2914" s="13">
        <v>0</v>
      </c>
      <c r="V2914" s="13">
        <v>0</v>
      </c>
      <c r="W2914" s="37">
        <v>0</v>
      </c>
      <c r="X2914" s="19"/>
      <c r="AG2914" s="16"/>
    </row>
    <row r="2915" spans="2:33">
      <c r="B2915" s="19"/>
      <c r="P2915" s="16"/>
      <c r="Q2915" s="36" t="s">
        <v>1309</v>
      </c>
      <c r="R2915" s="13">
        <v>23</v>
      </c>
      <c r="S2915" s="13">
        <v>23</v>
      </c>
      <c r="T2915" s="13">
        <v>57</v>
      </c>
      <c r="U2915" s="13">
        <v>0</v>
      </c>
      <c r="V2915" s="13">
        <v>0</v>
      </c>
      <c r="W2915" s="37">
        <v>0</v>
      </c>
      <c r="X2915" s="19"/>
      <c r="AG2915" s="16"/>
    </row>
    <row r="2916" spans="2:33">
      <c r="B2916" s="19"/>
      <c r="P2916" s="16"/>
      <c r="Q2916" s="36" t="s">
        <v>1013</v>
      </c>
      <c r="R2916" s="13">
        <v>23</v>
      </c>
      <c r="S2916" s="13">
        <v>23</v>
      </c>
      <c r="T2916" s="13">
        <v>49</v>
      </c>
      <c r="U2916" s="13">
        <v>0</v>
      </c>
      <c r="V2916" s="13">
        <v>0</v>
      </c>
      <c r="W2916" s="37">
        <v>0</v>
      </c>
      <c r="X2916" s="19"/>
      <c r="AG2916" s="16"/>
    </row>
    <row r="2917" spans="2:33">
      <c r="B2917" s="19"/>
      <c r="P2917" s="16"/>
      <c r="Q2917" s="36" t="s">
        <v>1310</v>
      </c>
      <c r="R2917" s="13">
        <v>23</v>
      </c>
      <c r="S2917" s="13">
        <v>23</v>
      </c>
      <c r="T2917" s="13">
        <v>55</v>
      </c>
      <c r="U2917" s="13">
        <v>0</v>
      </c>
      <c r="V2917" s="13">
        <v>0</v>
      </c>
      <c r="W2917" s="37">
        <v>0</v>
      </c>
      <c r="X2917" s="19"/>
      <c r="AG2917" s="16"/>
    </row>
    <row r="2918" spans="2:33">
      <c r="B2918" s="19"/>
      <c r="P2918" s="16"/>
      <c r="Q2918" s="36" t="s">
        <v>1311</v>
      </c>
      <c r="R2918" s="13">
        <v>17</v>
      </c>
      <c r="S2918" s="13">
        <v>17</v>
      </c>
      <c r="T2918" s="13">
        <v>39</v>
      </c>
      <c r="U2918" s="13">
        <v>0</v>
      </c>
      <c r="V2918" s="13">
        <v>0</v>
      </c>
      <c r="W2918" s="37">
        <v>0</v>
      </c>
      <c r="X2918" s="19"/>
      <c r="AG2918" s="16"/>
    </row>
    <row r="2919" spans="2:33" ht="15" thickBot="1">
      <c r="B2919" s="20"/>
      <c r="C2919" s="15"/>
      <c r="D2919" s="15"/>
      <c r="E2919" s="15"/>
      <c r="F2919" s="15"/>
      <c r="G2919" s="15"/>
      <c r="H2919" s="15"/>
      <c r="I2919" s="15"/>
      <c r="J2919" s="15"/>
      <c r="K2919" s="15"/>
      <c r="L2919" s="15"/>
      <c r="M2919" s="15"/>
      <c r="N2919" s="15"/>
      <c r="O2919" s="15"/>
      <c r="P2919" s="17"/>
      <c r="Q2919" s="36" t="s">
        <v>1312</v>
      </c>
      <c r="R2919" s="13">
        <v>26</v>
      </c>
      <c r="S2919" s="13">
        <v>26</v>
      </c>
      <c r="T2919" s="13">
        <v>66</v>
      </c>
      <c r="U2919" s="13">
        <v>0</v>
      </c>
      <c r="V2919" s="13">
        <v>0</v>
      </c>
      <c r="W2919" s="37">
        <v>0</v>
      </c>
      <c r="X2919" s="20"/>
      <c r="Y2919" s="15"/>
      <c r="Z2919" s="15"/>
      <c r="AA2919" s="15"/>
      <c r="AB2919" s="15"/>
      <c r="AC2919" s="15"/>
      <c r="AD2919" s="15"/>
      <c r="AE2919" s="15"/>
      <c r="AF2919" s="15"/>
      <c r="AG2919" s="17"/>
    </row>
    <row r="2920" spans="2:33" ht="15" thickBot="1"/>
    <row r="2921" spans="2:33" ht="15" thickBot="1">
      <c r="B2921" s="33" t="s">
        <v>2188</v>
      </c>
      <c r="C2921" s="26" t="s">
        <v>1198</v>
      </c>
      <c r="D2921" s="26" t="s">
        <v>1313</v>
      </c>
      <c r="E2921" s="26" t="s">
        <v>1314</v>
      </c>
      <c r="F2921" s="26" t="s">
        <v>1315</v>
      </c>
      <c r="G2921" s="26" t="s">
        <v>33</v>
      </c>
      <c r="H2921" s="27" t="s">
        <v>33</v>
      </c>
      <c r="I2921" s="26" t="s">
        <v>1316</v>
      </c>
      <c r="J2921" s="27" t="s">
        <v>34</v>
      </c>
      <c r="K2921" s="29">
        <v>1400</v>
      </c>
      <c r="L2921" s="29">
        <v>1450</v>
      </c>
      <c r="M2921" s="29">
        <v>1450</v>
      </c>
      <c r="N2921" s="29">
        <v>1450</v>
      </c>
      <c r="O2921" s="29">
        <v>1450</v>
      </c>
      <c r="P2921" s="40">
        <v>1869</v>
      </c>
      <c r="Q2921" s="1" t="s">
        <v>35</v>
      </c>
      <c r="R2921" s="2">
        <v>158079</v>
      </c>
      <c r="S2921" s="2">
        <v>115486</v>
      </c>
      <c r="T2921" s="2">
        <v>0</v>
      </c>
      <c r="U2921" s="2">
        <v>0</v>
      </c>
      <c r="V2921" s="2">
        <v>0</v>
      </c>
      <c r="W2921" s="2">
        <v>119595</v>
      </c>
      <c r="X2921" s="43">
        <f>SUM(R2921:W2933)</f>
        <v>4859524</v>
      </c>
      <c r="Y2921" s="10">
        <v>46204</v>
      </c>
      <c r="Z2921" s="11">
        <v>0.18944179940637271</v>
      </c>
      <c r="AA2921" s="11">
        <v>0.15835358124143273</v>
      </c>
      <c r="AB2921" s="11">
        <v>0.13112092502991979</v>
      </c>
      <c r="AC2921" s="11">
        <v>0.11711967035536473</v>
      </c>
      <c r="AD2921" s="11">
        <v>0.10620551120181751</v>
      </c>
      <c r="AE2921" s="11">
        <v>0.12187624542640918</v>
      </c>
      <c r="AF2921" s="11">
        <v>0.15</v>
      </c>
      <c r="AG2921" s="13">
        <v>0.23899999999999999</v>
      </c>
    </row>
    <row r="2922" spans="2:33"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35"/>
      <c r="Q2922" s="36" t="s">
        <v>36</v>
      </c>
      <c r="R2922" s="13">
        <v>155439</v>
      </c>
      <c r="S2922" s="13">
        <v>113755</v>
      </c>
      <c r="T2922" s="13">
        <v>0</v>
      </c>
      <c r="U2922" s="13">
        <v>0</v>
      </c>
      <c r="V2922" s="13">
        <v>0</v>
      </c>
      <c r="W2922" s="37">
        <v>101157</v>
      </c>
      <c r="X2922" s="18"/>
      <c r="Y2922" s="14"/>
      <c r="Z2922" s="14"/>
      <c r="AA2922" s="14"/>
      <c r="AB2922" s="14"/>
      <c r="AC2922" s="14"/>
      <c r="AD2922" s="14"/>
      <c r="AE2922" s="14"/>
      <c r="AF2922" s="14"/>
      <c r="AG2922" s="35"/>
    </row>
    <row r="2923" spans="2:33">
      <c r="B2923" s="19"/>
      <c r="P2923" s="16"/>
      <c r="Q2923" s="36" t="s">
        <v>37</v>
      </c>
      <c r="R2923" s="13">
        <v>0</v>
      </c>
      <c r="S2923" s="13">
        <v>157574</v>
      </c>
      <c r="T2923" s="13">
        <v>114519</v>
      </c>
      <c r="U2923" s="13">
        <v>0</v>
      </c>
      <c r="V2923" s="13">
        <v>0</v>
      </c>
      <c r="W2923" s="37">
        <v>114600</v>
      </c>
      <c r="X2923" s="19"/>
      <c r="AG2923" s="16"/>
    </row>
    <row r="2924" spans="2:33">
      <c r="B2924" s="19"/>
      <c r="P2924" s="16"/>
      <c r="Q2924" s="36" t="s">
        <v>38</v>
      </c>
      <c r="R2924" s="13">
        <v>0</v>
      </c>
      <c r="S2924" s="13">
        <v>0</v>
      </c>
      <c r="T2924" s="13">
        <v>0</v>
      </c>
      <c r="U2924" s="13">
        <v>155344</v>
      </c>
      <c r="V2924" s="13">
        <v>108185</v>
      </c>
      <c r="W2924" s="37">
        <v>99844</v>
      </c>
      <c r="X2924" s="19"/>
      <c r="AG2924" s="16"/>
    </row>
    <row r="2925" spans="2:33">
      <c r="B2925" s="19"/>
      <c r="P2925" s="16"/>
      <c r="Q2925" s="36" t="s">
        <v>255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37">
        <v>7274</v>
      </c>
      <c r="X2925" s="19"/>
      <c r="AG2925" s="16"/>
    </row>
    <row r="2926" spans="2:33">
      <c r="B2926" s="19"/>
      <c r="P2926" s="16"/>
      <c r="Q2926" s="36" t="s">
        <v>256</v>
      </c>
      <c r="R2926" s="13">
        <v>0</v>
      </c>
      <c r="S2926" s="13">
        <v>0</v>
      </c>
      <c r="T2926" s="13">
        <v>0</v>
      </c>
      <c r="U2926" s="13">
        <v>156964</v>
      </c>
      <c r="V2926" s="13">
        <v>114160</v>
      </c>
      <c r="W2926" s="37">
        <v>113342</v>
      </c>
      <c r="X2926" s="19"/>
      <c r="AG2926" s="16"/>
    </row>
    <row r="2927" spans="2:33">
      <c r="B2927" s="19"/>
      <c r="P2927" s="16"/>
      <c r="Q2927" s="36" t="s">
        <v>40</v>
      </c>
      <c r="R2927" s="13">
        <v>0</v>
      </c>
      <c r="S2927" s="13">
        <v>0</v>
      </c>
      <c r="T2927" s="13">
        <v>193497</v>
      </c>
      <c r="U2927" s="13">
        <v>148503</v>
      </c>
      <c r="V2927" s="13">
        <v>0</v>
      </c>
      <c r="W2927" s="37">
        <v>139053</v>
      </c>
      <c r="X2927" s="19"/>
      <c r="AG2927" s="16"/>
    </row>
    <row r="2928" spans="2:33">
      <c r="B2928" s="19"/>
      <c r="P2928" s="16"/>
      <c r="Q2928" s="36" t="s">
        <v>41</v>
      </c>
      <c r="R2928" s="13">
        <v>193504</v>
      </c>
      <c r="S2928" s="13">
        <v>148519</v>
      </c>
      <c r="T2928" s="13">
        <v>0</v>
      </c>
      <c r="U2928" s="13">
        <v>0</v>
      </c>
      <c r="V2928" s="13">
        <v>0</v>
      </c>
      <c r="W2928" s="37">
        <v>134136</v>
      </c>
      <c r="X2928" s="19"/>
      <c r="AG2928" s="16"/>
    </row>
    <row r="2929" spans="2:33">
      <c r="B2929" s="19"/>
      <c r="P2929" s="16"/>
      <c r="Q2929" s="36" t="s">
        <v>42</v>
      </c>
      <c r="R2929" s="13">
        <v>0</v>
      </c>
      <c r="S2929" s="13">
        <v>0</v>
      </c>
      <c r="T2929" s="13">
        <v>161628</v>
      </c>
      <c r="U2929" s="13">
        <v>126910</v>
      </c>
      <c r="V2929" s="13">
        <v>0</v>
      </c>
      <c r="W2929" s="37">
        <v>147374</v>
      </c>
      <c r="X2929" s="19"/>
      <c r="AG2929" s="16"/>
    </row>
    <row r="2930" spans="2:33">
      <c r="B2930" s="19"/>
      <c r="P2930" s="16"/>
      <c r="Q2930" s="36" t="s">
        <v>43</v>
      </c>
      <c r="R2930" s="13">
        <v>0</v>
      </c>
      <c r="S2930" s="13">
        <v>0</v>
      </c>
      <c r="T2930" s="13">
        <v>169765</v>
      </c>
      <c r="U2930" s="13">
        <v>129737</v>
      </c>
      <c r="V2930" s="13">
        <v>0</v>
      </c>
      <c r="W2930" s="37">
        <v>117869</v>
      </c>
      <c r="X2930" s="19"/>
      <c r="AG2930" s="16"/>
    </row>
    <row r="2931" spans="2:33">
      <c r="B2931" s="19"/>
      <c r="P2931" s="16"/>
      <c r="Q2931" s="36" t="s">
        <v>44</v>
      </c>
      <c r="R2931" s="13">
        <v>0</v>
      </c>
      <c r="S2931" s="13">
        <v>0</v>
      </c>
      <c r="T2931" s="13">
        <v>0</v>
      </c>
      <c r="U2931" s="13">
        <v>174070</v>
      </c>
      <c r="V2931" s="13">
        <v>132283</v>
      </c>
      <c r="W2931" s="37">
        <v>111239</v>
      </c>
      <c r="X2931" s="19"/>
      <c r="AG2931" s="16"/>
    </row>
    <row r="2932" spans="2:33">
      <c r="B2932" s="19"/>
      <c r="P2932" s="16"/>
      <c r="Q2932" s="36" t="s">
        <v>45</v>
      </c>
      <c r="R2932" s="13">
        <v>0</v>
      </c>
      <c r="S2932" s="13">
        <v>145225</v>
      </c>
      <c r="T2932" s="13">
        <v>102709</v>
      </c>
      <c r="U2932" s="13">
        <v>0</v>
      </c>
      <c r="V2932" s="13">
        <v>0</v>
      </c>
      <c r="W2932" s="37">
        <v>115608</v>
      </c>
      <c r="X2932" s="19"/>
      <c r="AG2932" s="16"/>
    </row>
    <row r="2933" spans="2:33" ht="15" thickBot="1">
      <c r="B2933" s="20"/>
      <c r="C2933" s="15"/>
      <c r="D2933" s="15"/>
      <c r="E2933" s="15"/>
      <c r="F2933" s="15"/>
      <c r="G2933" s="15"/>
      <c r="H2933" s="15"/>
      <c r="I2933" s="15"/>
      <c r="J2933" s="15"/>
      <c r="K2933" s="15"/>
      <c r="L2933" s="15"/>
      <c r="M2933" s="15"/>
      <c r="N2933" s="15"/>
      <c r="O2933" s="15"/>
      <c r="P2933" s="17"/>
      <c r="Q2933" s="36" t="s">
        <v>46</v>
      </c>
      <c r="R2933" s="13">
        <v>139486</v>
      </c>
      <c r="S2933" s="13">
        <v>102279</v>
      </c>
      <c r="T2933" s="13">
        <v>0</v>
      </c>
      <c r="U2933" s="13">
        <v>0</v>
      </c>
      <c r="V2933" s="13">
        <v>0</v>
      </c>
      <c r="W2933" s="37">
        <v>120813</v>
      </c>
      <c r="X2933" s="20"/>
      <c r="Y2933" s="15"/>
      <c r="Z2933" s="15"/>
      <c r="AA2933" s="15"/>
      <c r="AB2933" s="15"/>
      <c r="AC2933" s="15"/>
      <c r="AD2933" s="15"/>
      <c r="AE2933" s="15"/>
      <c r="AF2933" s="15"/>
      <c r="AG2933" s="17"/>
    </row>
    <row r="2934" spans="2:33" ht="15" thickBot="1"/>
    <row r="2935" spans="2:33" ht="15" thickBot="1">
      <c r="B2935" s="33" t="s">
        <v>2188</v>
      </c>
      <c r="C2935" s="26" t="s">
        <v>1198</v>
      </c>
      <c r="D2935" s="26" t="s">
        <v>1317</v>
      </c>
      <c r="E2935" s="26" t="s">
        <v>1318</v>
      </c>
      <c r="F2935" s="26" t="s">
        <v>1319</v>
      </c>
      <c r="G2935" s="26" t="s">
        <v>33</v>
      </c>
      <c r="H2935" s="27" t="s">
        <v>33</v>
      </c>
      <c r="I2935" s="26" t="s">
        <v>1320</v>
      </c>
      <c r="J2935" s="27" t="s">
        <v>34</v>
      </c>
      <c r="K2935" s="29">
        <v>275</v>
      </c>
      <c r="L2935" s="29">
        <v>275</v>
      </c>
      <c r="M2935" s="29">
        <v>275</v>
      </c>
      <c r="N2935" s="29">
        <v>275</v>
      </c>
      <c r="O2935" s="29">
        <v>300</v>
      </c>
      <c r="P2935" s="40">
        <v>650</v>
      </c>
      <c r="Q2935" s="1" t="s">
        <v>35</v>
      </c>
      <c r="R2935" s="2">
        <v>16489</v>
      </c>
      <c r="S2935" s="2">
        <v>12739</v>
      </c>
      <c r="T2935" s="2">
        <v>0</v>
      </c>
      <c r="U2935" s="2">
        <v>0</v>
      </c>
      <c r="V2935" s="2">
        <v>0</v>
      </c>
      <c r="W2935" s="2">
        <v>12044</v>
      </c>
      <c r="X2935" s="43">
        <f>SUM(R2935:W2947)</f>
        <v>457825</v>
      </c>
      <c r="Y2935" s="10">
        <v>46204</v>
      </c>
      <c r="Z2935" s="11">
        <v>0.18944179940637271</v>
      </c>
      <c r="AA2935" s="11">
        <v>0.15835358124143273</v>
      </c>
      <c r="AB2935" s="11">
        <v>0.13112092502991979</v>
      </c>
      <c r="AC2935" s="11">
        <v>0.11711967035536473</v>
      </c>
      <c r="AD2935" s="11">
        <v>0.10620551120181751</v>
      </c>
      <c r="AE2935" s="11">
        <v>0.12187624542640918</v>
      </c>
      <c r="AF2935" s="11">
        <v>0.15</v>
      </c>
      <c r="AG2935" s="13">
        <v>0.23899999999999999</v>
      </c>
    </row>
    <row r="2936" spans="2:33">
      <c r="C2936" s="14"/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35"/>
      <c r="Q2936" s="36" t="s">
        <v>36</v>
      </c>
      <c r="R2936" s="13">
        <v>13855</v>
      </c>
      <c r="S2936" s="13">
        <v>10056</v>
      </c>
      <c r="T2936" s="13">
        <v>0</v>
      </c>
      <c r="U2936" s="13">
        <v>0</v>
      </c>
      <c r="V2936" s="13">
        <v>0</v>
      </c>
      <c r="W2936" s="37">
        <v>9283</v>
      </c>
      <c r="X2936" s="18"/>
      <c r="Y2936" s="14"/>
      <c r="Z2936" s="14"/>
      <c r="AA2936" s="14"/>
      <c r="AB2936" s="14"/>
      <c r="AC2936" s="14"/>
      <c r="AD2936" s="14"/>
      <c r="AE2936" s="14"/>
      <c r="AF2936" s="14"/>
      <c r="AG2936" s="35"/>
    </row>
    <row r="2937" spans="2:33">
      <c r="B2937" s="19"/>
      <c r="P2937" s="16"/>
      <c r="Q2937" s="36" t="s">
        <v>37</v>
      </c>
      <c r="R2937" s="13">
        <v>0</v>
      </c>
      <c r="S2937" s="13">
        <v>14245</v>
      </c>
      <c r="T2937" s="13">
        <v>10239</v>
      </c>
      <c r="U2937" s="13">
        <v>0</v>
      </c>
      <c r="V2937" s="13">
        <v>0</v>
      </c>
      <c r="W2937" s="37">
        <v>11437</v>
      </c>
      <c r="X2937" s="19"/>
      <c r="AG2937" s="16"/>
    </row>
    <row r="2938" spans="2:33">
      <c r="B2938" s="19"/>
      <c r="P2938" s="16"/>
      <c r="Q2938" s="36" t="s">
        <v>38</v>
      </c>
      <c r="R2938" s="13">
        <v>0</v>
      </c>
      <c r="S2938" s="13">
        <v>0</v>
      </c>
      <c r="T2938" s="13">
        <v>0</v>
      </c>
      <c r="U2938" s="13">
        <v>12734</v>
      </c>
      <c r="V2938" s="13">
        <v>8576</v>
      </c>
      <c r="W2938" s="37">
        <v>8254</v>
      </c>
      <c r="X2938" s="19"/>
      <c r="AG2938" s="16"/>
    </row>
    <row r="2939" spans="2:33">
      <c r="B2939" s="19"/>
      <c r="P2939" s="16"/>
      <c r="Q2939" s="36" t="s">
        <v>255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37">
        <v>440</v>
      </c>
      <c r="X2939" s="19"/>
      <c r="AG2939" s="16"/>
    </row>
    <row r="2940" spans="2:33">
      <c r="B2940" s="19"/>
      <c r="P2940" s="16"/>
      <c r="Q2940" s="36" t="s">
        <v>256</v>
      </c>
      <c r="R2940" s="13">
        <v>0</v>
      </c>
      <c r="S2940" s="13">
        <v>0</v>
      </c>
      <c r="T2940" s="13">
        <v>0</v>
      </c>
      <c r="U2940" s="13">
        <v>12603</v>
      </c>
      <c r="V2940" s="13">
        <v>9288</v>
      </c>
      <c r="W2940" s="37">
        <v>8103</v>
      </c>
      <c r="X2940" s="19"/>
      <c r="AG2940" s="16"/>
    </row>
    <row r="2941" spans="2:33">
      <c r="B2941" s="19"/>
      <c r="P2941" s="16"/>
      <c r="Q2941" s="36" t="s">
        <v>40</v>
      </c>
      <c r="R2941" s="13">
        <v>0</v>
      </c>
      <c r="S2941" s="13">
        <v>0</v>
      </c>
      <c r="T2941" s="13">
        <v>19696</v>
      </c>
      <c r="U2941" s="13">
        <v>15075</v>
      </c>
      <c r="V2941" s="13">
        <v>0</v>
      </c>
      <c r="W2941" s="37">
        <v>10794</v>
      </c>
      <c r="X2941" s="19"/>
      <c r="AG2941" s="16"/>
    </row>
    <row r="2942" spans="2:33">
      <c r="B2942" s="19"/>
      <c r="P2942" s="16"/>
      <c r="Q2942" s="36" t="s">
        <v>41</v>
      </c>
      <c r="R2942" s="13">
        <v>18889</v>
      </c>
      <c r="S2942" s="13">
        <v>13048</v>
      </c>
      <c r="T2942" s="13">
        <v>0</v>
      </c>
      <c r="U2942" s="13">
        <v>0</v>
      </c>
      <c r="V2942" s="13">
        <v>0</v>
      </c>
      <c r="W2942" s="37">
        <v>12805</v>
      </c>
      <c r="X2942" s="19"/>
      <c r="AG2942" s="16"/>
    </row>
    <row r="2943" spans="2:33">
      <c r="B2943" s="19"/>
      <c r="P2943" s="16"/>
      <c r="Q2943" s="36" t="s">
        <v>42</v>
      </c>
      <c r="R2943" s="13">
        <v>0</v>
      </c>
      <c r="S2943" s="13">
        <v>0</v>
      </c>
      <c r="T2943" s="13">
        <v>14997</v>
      </c>
      <c r="U2943" s="13">
        <v>11842</v>
      </c>
      <c r="V2943" s="13">
        <v>0</v>
      </c>
      <c r="W2943" s="37">
        <v>13481</v>
      </c>
      <c r="X2943" s="19"/>
      <c r="AG2943" s="16"/>
    </row>
    <row r="2944" spans="2:33">
      <c r="B2944" s="19"/>
      <c r="P2944" s="16"/>
      <c r="Q2944" s="36" t="s">
        <v>43</v>
      </c>
      <c r="R2944" s="13">
        <v>0</v>
      </c>
      <c r="S2944" s="13">
        <v>0</v>
      </c>
      <c r="T2944" s="13">
        <v>19068</v>
      </c>
      <c r="U2944" s="13">
        <v>12851</v>
      </c>
      <c r="V2944" s="13">
        <v>0</v>
      </c>
      <c r="W2944" s="37">
        <v>10691</v>
      </c>
      <c r="X2944" s="19"/>
      <c r="AG2944" s="16"/>
    </row>
    <row r="2945" spans="2:33">
      <c r="B2945" s="19"/>
      <c r="P2945" s="16"/>
      <c r="Q2945" s="36" t="s">
        <v>44</v>
      </c>
      <c r="R2945" s="13">
        <v>0</v>
      </c>
      <c r="S2945" s="13">
        <v>0</v>
      </c>
      <c r="T2945" s="13">
        <v>0</v>
      </c>
      <c r="U2945" s="13">
        <v>18881</v>
      </c>
      <c r="V2945" s="13">
        <v>13666</v>
      </c>
      <c r="W2945" s="37">
        <v>8454</v>
      </c>
      <c r="X2945" s="19"/>
      <c r="AG2945" s="16"/>
    </row>
    <row r="2946" spans="2:33">
      <c r="B2946" s="19"/>
      <c r="P2946" s="16"/>
      <c r="Q2946" s="36" t="s">
        <v>45</v>
      </c>
      <c r="R2946" s="13">
        <v>0</v>
      </c>
      <c r="S2946" s="13">
        <v>14873</v>
      </c>
      <c r="T2946" s="13">
        <v>11471</v>
      </c>
      <c r="U2946" s="13">
        <v>0</v>
      </c>
      <c r="V2946" s="13">
        <v>0</v>
      </c>
      <c r="W2946" s="37">
        <v>9540</v>
      </c>
      <c r="X2946" s="19"/>
      <c r="AG2946" s="16"/>
    </row>
    <row r="2947" spans="2:33" ht="15" thickBot="1">
      <c r="B2947" s="20"/>
      <c r="C2947" s="15"/>
      <c r="D2947" s="15"/>
      <c r="E2947" s="15"/>
      <c r="F2947" s="15"/>
      <c r="G2947" s="15"/>
      <c r="H2947" s="15"/>
      <c r="I2947" s="15"/>
      <c r="J2947" s="15"/>
      <c r="K2947" s="15"/>
      <c r="L2947" s="15"/>
      <c r="M2947" s="15"/>
      <c r="N2947" s="15"/>
      <c r="O2947" s="15"/>
      <c r="P2947" s="17"/>
      <c r="Q2947" s="36" t="s">
        <v>46</v>
      </c>
      <c r="R2947" s="13">
        <v>15282</v>
      </c>
      <c r="S2947" s="13">
        <v>11204</v>
      </c>
      <c r="T2947" s="13">
        <v>0</v>
      </c>
      <c r="U2947" s="13">
        <v>0</v>
      </c>
      <c r="V2947" s="13">
        <v>0</v>
      </c>
      <c r="W2947" s="37">
        <v>10832</v>
      </c>
      <c r="X2947" s="20"/>
      <c r="Y2947" s="15"/>
      <c r="Z2947" s="15"/>
      <c r="AA2947" s="15"/>
      <c r="AB2947" s="15"/>
      <c r="AC2947" s="15"/>
      <c r="AD2947" s="15"/>
      <c r="AE2947" s="15"/>
      <c r="AF2947" s="15"/>
      <c r="AG2947" s="17"/>
    </row>
    <row r="2948" spans="2:33" ht="15" thickBot="1"/>
    <row r="2949" spans="2:33" ht="15" thickBot="1">
      <c r="B2949" s="33" t="s">
        <v>2188</v>
      </c>
      <c r="C2949" s="26" t="s">
        <v>1198</v>
      </c>
      <c r="D2949" s="26" t="s">
        <v>1321</v>
      </c>
      <c r="E2949" s="26" t="s">
        <v>1322</v>
      </c>
      <c r="F2949" s="26" t="s">
        <v>1239</v>
      </c>
      <c r="G2949" s="26" t="s">
        <v>33</v>
      </c>
      <c r="H2949" s="27" t="s">
        <v>33</v>
      </c>
      <c r="I2949" s="26" t="s">
        <v>1323</v>
      </c>
      <c r="J2949" s="27" t="s">
        <v>56</v>
      </c>
      <c r="K2949" s="29">
        <v>13.855999946594199</v>
      </c>
      <c r="L2949" s="29">
        <v>13.855999946594199</v>
      </c>
      <c r="M2949" s="29">
        <v>13.855999946594199</v>
      </c>
      <c r="N2949" s="29">
        <v>0</v>
      </c>
      <c r="O2949" s="29">
        <v>0</v>
      </c>
      <c r="P2949" s="40">
        <v>0</v>
      </c>
      <c r="Q2949" s="1" t="s">
        <v>1324</v>
      </c>
      <c r="R2949" s="2">
        <v>22</v>
      </c>
      <c r="S2949" s="2">
        <v>30</v>
      </c>
      <c r="T2949" s="2">
        <v>7</v>
      </c>
      <c r="U2949" s="2">
        <v>0</v>
      </c>
      <c r="V2949" s="2">
        <v>0</v>
      </c>
      <c r="W2949" s="2">
        <v>0</v>
      </c>
      <c r="X2949" s="43">
        <f>SUM(R2949:W2961)</f>
        <v>2594</v>
      </c>
      <c r="Y2949" s="10">
        <v>46204</v>
      </c>
      <c r="Z2949" s="11">
        <v>0.23914913165546237</v>
      </c>
      <c r="AA2949" s="11">
        <v>0.16263468186376903</v>
      </c>
      <c r="AB2949" s="11">
        <v>0.13490905978116355</v>
      </c>
      <c r="AC2949" s="11"/>
      <c r="AD2949" s="11"/>
      <c r="AE2949" s="11"/>
      <c r="AF2949" s="11">
        <v>0.15</v>
      </c>
      <c r="AG2949" s="13">
        <v>0.23899999999999999</v>
      </c>
    </row>
    <row r="2950" spans="2:33"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35"/>
      <c r="Q2950" s="36" t="s">
        <v>1325</v>
      </c>
      <c r="R2950" s="13">
        <v>71</v>
      </c>
      <c r="S2950" s="13">
        <v>93</v>
      </c>
      <c r="T2950" s="13">
        <v>50</v>
      </c>
      <c r="U2950" s="13">
        <v>0</v>
      </c>
      <c r="V2950" s="13">
        <v>0</v>
      </c>
      <c r="W2950" s="37">
        <v>0</v>
      </c>
      <c r="X2950" s="18"/>
      <c r="Y2950" s="14"/>
      <c r="Z2950" s="14"/>
      <c r="AA2950" s="14"/>
      <c r="AB2950" s="14"/>
      <c r="AC2950" s="14"/>
      <c r="AD2950" s="14"/>
      <c r="AE2950" s="14"/>
      <c r="AF2950" s="14"/>
      <c r="AG2950" s="35"/>
    </row>
    <row r="2951" spans="2:33">
      <c r="B2951" s="19"/>
      <c r="P2951" s="16"/>
      <c r="Q2951" s="36" t="s">
        <v>1326</v>
      </c>
      <c r="R2951" s="13">
        <v>21</v>
      </c>
      <c r="S2951" s="13">
        <v>26</v>
      </c>
      <c r="T2951" s="13">
        <v>3</v>
      </c>
      <c r="U2951" s="13">
        <v>0</v>
      </c>
      <c r="V2951" s="13">
        <v>0</v>
      </c>
      <c r="W2951" s="37">
        <v>0</v>
      </c>
      <c r="X2951" s="19"/>
      <c r="AG2951" s="16"/>
    </row>
    <row r="2952" spans="2:33">
      <c r="B2952" s="19"/>
      <c r="P2952" s="16"/>
      <c r="Q2952" s="36" t="s">
        <v>1327</v>
      </c>
      <c r="R2952" s="13">
        <v>17</v>
      </c>
      <c r="S2952" s="13">
        <v>18</v>
      </c>
      <c r="T2952" s="13">
        <v>14</v>
      </c>
      <c r="U2952" s="13">
        <v>0</v>
      </c>
      <c r="V2952" s="13">
        <v>0</v>
      </c>
      <c r="W2952" s="37">
        <v>0</v>
      </c>
      <c r="X2952" s="19"/>
      <c r="AG2952" s="16"/>
    </row>
    <row r="2953" spans="2:33">
      <c r="B2953" s="19"/>
      <c r="P2953" s="16"/>
      <c r="Q2953" s="36" t="s">
        <v>1328</v>
      </c>
      <c r="R2953" s="13">
        <v>18</v>
      </c>
      <c r="S2953" s="13">
        <v>18</v>
      </c>
      <c r="T2953" s="13">
        <v>41</v>
      </c>
      <c r="U2953" s="13">
        <v>0</v>
      </c>
      <c r="V2953" s="13">
        <v>0</v>
      </c>
      <c r="W2953" s="37">
        <v>0</v>
      </c>
      <c r="X2953" s="19"/>
      <c r="AG2953" s="16"/>
    </row>
    <row r="2954" spans="2:33">
      <c r="B2954" s="19"/>
      <c r="P2954" s="16"/>
      <c r="Q2954" s="36" t="s">
        <v>1329</v>
      </c>
      <c r="R2954" s="13">
        <v>27</v>
      </c>
      <c r="S2954" s="13">
        <v>28</v>
      </c>
      <c r="T2954" s="13">
        <v>47</v>
      </c>
      <c r="U2954" s="13">
        <v>0</v>
      </c>
      <c r="V2954" s="13">
        <v>0</v>
      </c>
      <c r="W2954" s="37">
        <v>0</v>
      </c>
      <c r="X2954" s="19"/>
      <c r="AG2954" s="16"/>
    </row>
    <row r="2955" spans="2:33">
      <c r="B2955" s="19"/>
      <c r="P2955" s="16"/>
      <c r="Q2955" s="36" t="s">
        <v>1330</v>
      </c>
      <c r="R2955" s="13">
        <v>32</v>
      </c>
      <c r="S2955" s="13">
        <v>36</v>
      </c>
      <c r="T2955" s="13">
        <v>18</v>
      </c>
      <c r="U2955" s="13">
        <v>0</v>
      </c>
      <c r="V2955" s="13">
        <v>0</v>
      </c>
      <c r="W2955" s="37">
        <v>0</v>
      </c>
      <c r="X2955" s="19"/>
      <c r="AG2955" s="16"/>
    </row>
    <row r="2956" spans="2:33">
      <c r="B2956" s="19"/>
      <c r="P2956" s="16"/>
      <c r="Q2956" s="36" t="s">
        <v>1331</v>
      </c>
      <c r="R2956" s="13">
        <v>101</v>
      </c>
      <c r="S2956" s="13">
        <v>92</v>
      </c>
      <c r="T2956" s="13">
        <v>32</v>
      </c>
      <c r="U2956" s="13">
        <v>0</v>
      </c>
      <c r="V2956" s="13">
        <v>0</v>
      </c>
      <c r="W2956" s="37">
        <v>0</v>
      </c>
      <c r="X2956" s="19"/>
      <c r="AG2956" s="16"/>
    </row>
    <row r="2957" spans="2:33">
      <c r="B2957" s="19"/>
      <c r="P2957" s="16"/>
      <c r="Q2957" s="36" t="s">
        <v>1332</v>
      </c>
      <c r="R2957" s="13">
        <v>130</v>
      </c>
      <c r="S2957" s="13">
        <v>120</v>
      </c>
      <c r="T2957" s="13">
        <v>47</v>
      </c>
      <c r="U2957" s="13">
        <v>0</v>
      </c>
      <c r="V2957" s="13">
        <v>0</v>
      </c>
      <c r="W2957" s="37">
        <v>0</v>
      </c>
      <c r="X2957" s="19"/>
      <c r="AG2957" s="16"/>
    </row>
    <row r="2958" spans="2:33">
      <c r="B2958" s="19"/>
      <c r="P2958" s="16"/>
      <c r="Q2958" s="36" t="s">
        <v>1333</v>
      </c>
      <c r="R2958" s="13">
        <v>144</v>
      </c>
      <c r="S2958" s="13">
        <v>134</v>
      </c>
      <c r="T2958" s="13">
        <v>50</v>
      </c>
      <c r="U2958" s="13">
        <v>0</v>
      </c>
      <c r="V2958" s="13">
        <v>0</v>
      </c>
      <c r="W2958" s="37">
        <v>0</v>
      </c>
      <c r="X2958" s="19"/>
      <c r="AG2958" s="16"/>
    </row>
    <row r="2959" spans="2:33">
      <c r="B2959" s="19"/>
      <c r="P2959" s="16"/>
      <c r="Q2959" s="36" t="s">
        <v>1334</v>
      </c>
      <c r="R2959" s="13">
        <v>146</v>
      </c>
      <c r="S2959" s="13">
        <v>142</v>
      </c>
      <c r="T2959" s="13">
        <v>66</v>
      </c>
      <c r="U2959" s="13">
        <v>0</v>
      </c>
      <c r="V2959" s="13">
        <v>0</v>
      </c>
      <c r="W2959" s="37">
        <v>0</v>
      </c>
      <c r="X2959" s="19"/>
      <c r="AG2959" s="16"/>
    </row>
    <row r="2960" spans="2:33">
      <c r="B2960" s="19"/>
      <c r="P2960" s="16"/>
      <c r="Q2960" s="36" t="s">
        <v>1335</v>
      </c>
      <c r="R2960" s="13">
        <v>180</v>
      </c>
      <c r="S2960" s="13">
        <v>167</v>
      </c>
      <c r="T2960" s="13">
        <v>73</v>
      </c>
      <c r="U2960" s="13">
        <v>0</v>
      </c>
      <c r="V2960" s="13">
        <v>0</v>
      </c>
      <c r="W2960" s="37">
        <v>0</v>
      </c>
      <c r="X2960" s="19"/>
      <c r="AG2960" s="16"/>
    </row>
    <row r="2961" spans="2:33" ht="15" thickBot="1">
      <c r="B2961" s="20"/>
      <c r="C2961" s="15"/>
      <c r="D2961" s="15"/>
      <c r="E2961" s="15"/>
      <c r="F2961" s="15"/>
      <c r="G2961" s="15"/>
      <c r="H2961" s="15"/>
      <c r="I2961" s="15"/>
      <c r="J2961" s="15"/>
      <c r="K2961" s="15"/>
      <c r="L2961" s="15"/>
      <c r="M2961" s="15"/>
      <c r="N2961" s="15"/>
      <c r="O2961" s="15"/>
      <c r="P2961" s="17"/>
      <c r="Q2961" s="36" t="s">
        <v>1336</v>
      </c>
      <c r="R2961" s="13">
        <v>141</v>
      </c>
      <c r="S2961" s="13">
        <v>133</v>
      </c>
      <c r="T2961" s="13">
        <v>59</v>
      </c>
      <c r="U2961" s="13">
        <v>0</v>
      </c>
      <c r="V2961" s="13">
        <v>0</v>
      </c>
      <c r="W2961" s="37">
        <v>0</v>
      </c>
      <c r="X2961" s="20"/>
      <c r="Y2961" s="15"/>
      <c r="Z2961" s="15"/>
      <c r="AA2961" s="15"/>
      <c r="AB2961" s="15"/>
      <c r="AC2961" s="15"/>
      <c r="AD2961" s="15"/>
      <c r="AE2961" s="15"/>
      <c r="AF2961" s="15"/>
      <c r="AG2961" s="17"/>
    </row>
    <row r="2962" spans="2:33" ht="15" thickBot="1"/>
    <row r="2963" spans="2:33" ht="15" thickBot="1">
      <c r="B2963" s="33" t="s">
        <v>2188</v>
      </c>
      <c r="C2963" s="26" t="s">
        <v>1198</v>
      </c>
      <c r="D2963" s="26" t="s">
        <v>1337</v>
      </c>
      <c r="E2963" s="26" t="s">
        <v>1338</v>
      </c>
      <c r="F2963" s="26" t="s">
        <v>1319</v>
      </c>
      <c r="G2963" s="26" t="s">
        <v>33</v>
      </c>
      <c r="H2963" s="27" t="s">
        <v>33</v>
      </c>
      <c r="I2963" s="26" t="s">
        <v>1339</v>
      </c>
      <c r="J2963" s="27" t="s">
        <v>34</v>
      </c>
      <c r="K2963" s="29">
        <v>650</v>
      </c>
      <c r="L2963" s="29">
        <v>675</v>
      </c>
      <c r="M2963" s="29">
        <v>675</v>
      </c>
      <c r="N2963" s="29">
        <v>675</v>
      </c>
      <c r="O2963" s="29">
        <v>675</v>
      </c>
      <c r="P2963" s="40">
        <v>779.40002441406295</v>
      </c>
      <c r="Q2963" s="1" t="s">
        <v>35</v>
      </c>
      <c r="R2963" s="2">
        <v>56563</v>
      </c>
      <c r="S2963" s="2">
        <v>37192</v>
      </c>
      <c r="T2963" s="2">
        <v>0</v>
      </c>
      <c r="U2963" s="2">
        <v>0</v>
      </c>
      <c r="V2963" s="2">
        <v>0</v>
      </c>
      <c r="W2963" s="2">
        <v>45328</v>
      </c>
      <c r="X2963" s="43">
        <f>SUM(R2963:W2975)</f>
        <v>1136192</v>
      </c>
      <c r="Y2963" s="10">
        <v>46204</v>
      </c>
      <c r="Z2963" s="11">
        <v>0.18944179940637271</v>
      </c>
      <c r="AA2963" s="11">
        <v>0.15835358124143273</v>
      </c>
      <c r="AB2963" s="11">
        <v>0.13112092502991979</v>
      </c>
      <c r="AC2963" s="11">
        <v>0.11711967035536473</v>
      </c>
      <c r="AD2963" s="11">
        <v>0.10620551120181751</v>
      </c>
      <c r="AE2963" s="11">
        <v>0.12187624542640918</v>
      </c>
      <c r="AF2963" s="11">
        <v>0.15</v>
      </c>
      <c r="AG2963" s="13">
        <v>0.23899999999999999</v>
      </c>
    </row>
    <row r="2964" spans="2:33"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35"/>
      <c r="Q2964" s="36" t="s">
        <v>36</v>
      </c>
      <c r="R2964" s="13">
        <v>44291</v>
      </c>
      <c r="S2964" s="13">
        <v>30881</v>
      </c>
      <c r="T2964" s="13">
        <v>0</v>
      </c>
      <c r="U2964" s="13">
        <v>0</v>
      </c>
      <c r="V2964" s="13">
        <v>0</v>
      </c>
      <c r="W2964" s="37">
        <v>36420</v>
      </c>
      <c r="X2964" s="18"/>
      <c r="Y2964" s="14"/>
      <c r="Z2964" s="14"/>
      <c r="AA2964" s="14"/>
      <c r="AB2964" s="14"/>
      <c r="AC2964" s="14"/>
      <c r="AD2964" s="14"/>
      <c r="AE2964" s="14"/>
      <c r="AF2964" s="14"/>
      <c r="AG2964" s="35"/>
    </row>
    <row r="2965" spans="2:33">
      <c r="B2965" s="19"/>
      <c r="P2965" s="16"/>
      <c r="Q2965" s="36" t="s">
        <v>37</v>
      </c>
      <c r="R2965" s="13">
        <v>0</v>
      </c>
      <c r="S2965" s="13">
        <v>41273</v>
      </c>
      <c r="T2965" s="13">
        <v>28587</v>
      </c>
      <c r="U2965" s="13">
        <v>0</v>
      </c>
      <c r="V2965" s="13">
        <v>0</v>
      </c>
      <c r="W2965" s="37">
        <v>26195</v>
      </c>
      <c r="X2965" s="19"/>
      <c r="AG2965" s="16"/>
    </row>
    <row r="2966" spans="2:33">
      <c r="B2966" s="19"/>
      <c r="P2966" s="16"/>
      <c r="Q2966" s="36" t="s">
        <v>38</v>
      </c>
      <c r="R2966" s="13">
        <v>0</v>
      </c>
      <c r="S2966" s="13">
        <v>0</v>
      </c>
      <c r="T2966" s="13">
        <v>0</v>
      </c>
      <c r="U2966" s="13">
        <v>29901</v>
      </c>
      <c r="V2966" s="13">
        <v>21083</v>
      </c>
      <c r="W2966" s="37">
        <v>17898</v>
      </c>
      <c r="X2966" s="19"/>
      <c r="AG2966" s="16"/>
    </row>
    <row r="2967" spans="2:33">
      <c r="B2967" s="19"/>
      <c r="P2967" s="16"/>
      <c r="Q2967" s="36" t="s">
        <v>255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37">
        <v>1769</v>
      </c>
      <c r="X2967" s="19"/>
      <c r="AG2967" s="16"/>
    </row>
    <row r="2968" spans="2:33">
      <c r="B2968" s="19"/>
      <c r="P2968" s="16"/>
      <c r="Q2968" s="36" t="s">
        <v>256</v>
      </c>
      <c r="R2968" s="13">
        <v>0</v>
      </c>
      <c r="S2968" s="13">
        <v>0</v>
      </c>
      <c r="T2968" s="13">
        <v>0</v>
      </c>
      <c r="U2968" s="13">
        <v>24423</v>
      </c>
      <c r="V2968" s="13">
        <v>18143</v>
      </c>
      <c r="W2968" s="37">
        <v>15825</v>
      </c>
      <c r="X2968" s="19"/>
      <c r="AG2968" s="16"/>
    </row>
    <row r="2969" spans="2:33">
      <c r="B2969" s="19"/>
      <c r="P2969" s="16"/>
      <c r="Q2969" s="36" t="s">
        <v>40</v>
      </c>
      <c r="R2969" s="13">
        <v>0</v>
      </c>
      <c r="S2969" s="13">
        <v>0</v>
      </c>
      <c r="T2969" s="13">
        <v>32906</v>
      </c>
      <c r="U2969" s="13">
        <v>28296</v>
      </c>
      <c r="V2969" s="13">
        <v>0</v>
      </c>
      <c r="W2969" s="37">
        <v>17334</v>
      </c>
      <c r="X2969" s="19"/>
      <c r="AG2969" s="16"/>
    </row>
    <row r="2970" spans="2:33">
      <c r="B2970" s="19"/>
      <c r="P2970" s="16"/>
      <c r="Q2970" s="36" t="s">
        <v>41</v>
      </c>
      <c r="R2970" s="13">
        <v>44817</v>
      </c>
      <c r="S2970" s="13">
        <v>34889</v>
      </c>
      <c r="T2970" s="13">
        <v>0</v>
      </c>
      <c r="U2970" s="13">
        <v>0</v>
      </c>
      <c r="V2970" s="13">
        <v>0</v>
      </c>
      <c r="W2970" s="37">
        <v>20448</v>
      </c>
      <c r="X2970" s="19"/>
      <c r="AG2970" s="16"/>
    </row>
    <row r="2971" spans="2:33">
      <c r="B2971" s="19"/>
      <c r="P2971" s="16"/>
      <c r="Q2971" s="36" t="s">
        <v>42</v>
      </c>
      <c r="R2971" s="13">
        <v>0</v>
      </c>
      <c r="S2971" s="13">
        <v>0</v>
      </c>
      <c r="T2971" s="13">
        <v>36591</v>
      </c>
      <c r="U2971" s="13">
        <v>29826</v>
      </c>
      <c r="V2971" s="13">
        <v>0</v>
      </c>
      <c r="W2971" s="37">
        <v>19791</v>
      </c>
      <c r="X2971" s="19"/>
      <c r="AG2971" s="16"/>
    </row>
    <row r="2972" spans="2:33">
      <c r="B2972" s="19"/>
      <c r="P2972" s="16"/>
      <c r="Q2972" s="36" t="s">
        <v>43</v>
      </c>
      <c r="R2972" s="13">
        <v>0</v>
      </c>
      <c r="S2972" s="13">
        <v>0</v>
      </c>
      <c r="T2972" s="13">
        <v>33936</v>
      </c>
      <c r="U2972" s="13">
        <v>25732</v>
      </c>
      <c r="V2972" s="13">
        <v>0</v>
      </c>
      <c r="W2972" s="37">
        <v>18184</v>
      </c>
      <c r="X2972" s="19"/>
      <c r="AG2972" s="16"/>
    </row>
    <row r="2973" spans="2:33">
      <c r="B2973" s="19"/>
      <c r="P2973" s="16"/>
      <c r="Q2973" s="36" t="s">
        <v>44</v>
      </c>
      <c r="R2973" s="13">
        <v>0</v>
      </c>
      <c r="S2973" s="13">
        <v>0</v>
      </c>
      <c r="T2973" s="13">
        <v>0</v>
      </c>
      <c r="U2973" s="13">
        <v>35618</v>
      </c>
      <c r="V2973" s="13">
        <v>25429</v>
      </c>
      <c r="W2973" s="37">
        <v>19690</v>
      </c>
      <c r="X2973" s="19"/>
      <c r="AG2973" s="16"/>
    </row>
    <row r="2974" spans="2:33">
      <c r="B2974" s="19"/>
      <c r="P2974" s="16"/>
      <c r="Q2974" s="36" t="s">
        <v>45</v>
      </c>
      <c r="R2974" s="13">
        <v>0</v>
      </c>
      <c r="S2974" s="13">
        <v>46099</v>
      </c>
      <c r="T2974" s="13">
        <v>32952</v>
      </c>
      <c r="U2974" s="13">
        <v>0</v>
      </c>
      <c r="V2974" s="13">
        <v>0</v>
      </c>
      <c r="W2974" s="37">
        <v>28642</v>
      </c>
      <c r="X2974" s="19"/>
      <c r="AG2974" s="16"/>
    </row>
    <row r="2975" spans="2:33" ht="15" thickBot="1">
      <c r="B2975" s="20"/>
      <c r="C2975" s="15"/>
      <c r="D2975" s="15"/>
      <c r="E2975" s="15"/>
      <c r="F2975" s="15"/>
      <c r="G2975" s="15"/>
      <c r="H2975" s="15"/>
      <c r="I2975" s="15"/>
      <c r="J2975" s="15"/>
      <c r="K2975" s="15"/>
      <c r="L2975" s="15"/>
      <c r="M2975" s="15"/>
      <c r="N2975" s="15"/>
      <c r="O2975" s="15"/>
      <c r="P2975" s="17"/>
      <c r="Q2975" s="36" t="s">
        <v>46</v>
      </c>
      <c r="R2975" s="13">
        <v>57459</v>
      </c>
      <c r="S2975" s="13">
        <v>39133</v>
      </c>
      <c r="T2975" s="13">
        <v>0</v>
      </c>
      <c r="U2975" s="13">
        <v>0</v>
      </c>
      <c r="V2975" s="13">
        <v>0</v>
      </c>
      <c r="W2975" s="37">
        <v>32648</v>
      </c>
      <c r="X2975" s="20"/>
      <c r="Y2975" s="15"/>
      <c r="Z2975" s="15"/>
      <c r="AA2975" s="15"/>
      <c r="AB2975" s="15"/>
      <c r="AC2975" s="15"/>
      <c r="AD2975" s="15"/>
      <c r="AE2975" s="15"/>
      <c r="AF2975" s="15"/>
      <c r="AG2975" s="17"/>
    </row>
    <row r="2976" spans="2:33" ht="15" thickBot="1"/>
    <row r="2977" spans="2:33" ht="15" thickBot="1">
      <c r="B2977" s="33" t="s">
        <v>2188</v>
      </c>
      <c r="C2977" s="26" t="s">
        <v>1198</v>
      </c>
      <c r="D2977" s="26" t="s">
        <v>1340</v>
      </c>
      <c r="E2977" s="26" t="s">
        <v>1341</v>
      </c>
      <c r="F2977" s="26" t="s">
        <v>1239</v>
      </c>
      <c r="G2977" s="26" t="s">
        <v>33</v>
      </c>
      <c r="H2977" s="27" t="s">
        <v>33</v>
      </c>
      <c r="I2977" s="26" t="s">
        <v>1342</v>
      </c>
      <c r="J2977" s="27" t="s">
        <v>87</v>
      </c>
      <c r="K2977" s="29">
        <v>115</v>
      </c>
      <c r="L2977" s="29">
        <v>115</v>
      </c>
      <c r="M2977" s="29">
        <v>115</v>
      </c>
      <c r="N2977" s="29">
        <v>115</v>
      </c>
      <c r="O2977" s="29">
        <v>115</v>
      </c>
      <c r="P2977" s="40">
        <v>115</v>
      </c>
      <c r="Q2977" s="1" t="s">
        <v>35</v>
      </c>
      <c r="R2977" s="2">
        <v>4453</v>
      </c>
      <c r="S2977" s="2">
        <v>3481</v>
      </c>
      <c r="T2977" s="2">
        <v>0</v>
      </c>
      <c r="U2977" s="2">
        <v>0</v>
      </c>
      <c r="V2977" s="2">
        <v>0</v>
      </c>
      <c r="W2977" s="2">
        <v>6542</v>
      </c>
      <c r="X2977" s="43">
        <f>SUM(R2977:W2988)</f>
        <v>168550</v>
      </c>
      <c r="Y2977" s="10">
        <v>46204</v>
      </c>
      <c r="Z2977" s="11">
        <v>0.21896900122639595</v>
      </c>
      <c r="AA2977" s="11">
        <v>0.18255917925488163</v>
      </c>
      <c r="AB2977" s="11">
        <v>0.14708513495490375</v>
      </c>
      <c r="AC2977" s="11">
        <v>0.12856702693487934</v>
      </c>
      <c r="AD2977" s="11">
        <v>0.11429546234595808</v>
      </c>
      <c r="AE2977" s="11">
        <v>0.13131505978116356</v>
      </c>
      <c r="AF2977" s="11">
        <v>0.15</v>
      </c>
      <c r="AG2977" s="13">
        <v>0.23899999999999999</v>
      </c>
    </row>
    <row r="2978" spans="2:33"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35"/>
      <c r="Q2978" s="36" t="s">
        <v>36</v>
      </c>
      <c r="R2978" s="13">
        <v>3964</v>
      </c>
      <c r="S2978" s="13">
        <v>3065</v>
      </c>
      <c r="T2978" s="13">
        <v>0</v>
      </c>
      <c r="U2978" s="13">
        <v>0</v>
      </c>
      <c r="V2978" s="13">
        <v>0</v>
      </c>
      <c r="W2978" s="37">
        <v>5920</v>
      </c>
      <c r="X2978" s="18"/>
      <c r="Y2978" s="14"/>
      <c r="Z2978" s="14"/>
      <c r="AA2978" s="14"/>
      <c r="AB2978" s="14"/>
      <c r="AC2978" s="14"/>
      <c r="AD2978" s="14"/>
      <c r="AE2978" s="14"/>
      <c r="AF2978" s="14"/>
      <c r="AG2978" s="35"/>
    </row>
    <row r="2979" spans="2:33">
      <c r="B2979" s="19"/>
      <c r="P2979" s="16"/>
      <c r="Q2979" s="36" t="s">
        <v>37</v>
      </c>
      <c r="R2979" s="13">
        <v>0</v>
      </c>
      <c r="S2979" s="13">
        <v>3939</v>
      </c>
      <c r="T2979" s="13">
        <v>3082</v>
      </c>
      <c r="U2979" s="13">
        <v>0</v>
      </c>
      <c r="V2979" s="13">
        <v>0</v>
      </c>
      <c r="W2979" s="37">
        <v>5914</v>
      </c>
      <c r="X2979" s="19"/>
      <c r="AG2979" s="16"/>
    </row>
    <row r="2980" spans="2:33">
      <c r="B2980" s="19"/>
      <c r="P2980" s="16"/>
      <c r="Q2980" s="36" t="s">
        <v>38</v>
      </c>
      <c r="R2980" s="13">
        <v>0</v>
      </c>
      <c r="S2980" s="13">
        <v>0</v>
      </c>
      <c r="T2980" s="13">
        <v>0</v>
      </c>
      <c r="U2980" s="13">
        <v>3006</v>
      </c>
      <c r="V2980" s="13">
        <v>2379</v>
      </c>
      <c r="W2980" s="37">
        <v>4279</v>
      </c>
      <c r="X2980" s="19"/>
      <c r="AG2980" s="16"/>
    </row>
    <row r="2981" spans="2:33">
      <c r="B2981" s="19"/>
      <c r="P2981" s="16"/>
      <c r="Q2981" s="36" t="s">
        <v>350</v>
      </c>
      <c r="R2981" s="13">
        <v>0</v>
      </c>
      <c r="S2981" s="13">
        <v>0</v>
      </c>
      <c r="T2981" s="13">
        <v>0</v>
      </c>
      <c r="U2981" s="13">
        <v>998</v>
      </c>
      <c r="V2981" s="13">
        <v>770</v>
      </c>
      <c r="W2981" s="37">
        <v>2077</v>
      </c>
      <c r="X2981" s="19"/>
      <c r="AG2981" s="16"/>
    </row>
    <row r="2982" spans="2:33">
      <c r="B2982" s="19"/>
      <c r="P2982" s="16"/>
      <c r="Q2982" s="36" t="s">
        <v>351</v>
      </c>
      <c r="R2982" s="13">
        <v>0</v>
      </c>
      <c r="S2982" s="13">
        <v>0</v>
      </c>
      <c r="T2982" s="13">
        <v>0</v>
      </c>
      <c r="U2982" s="13">
        <v>2027</v>
      </c>
      <c r="V2982" s="13">
        <v>1467</v>
      </c>
      <c r="W2982" s="37">
        <v>3057</v>
      </c>
      <c r="X2982" s="19"/>
      <c r="AG2982" s="16"/>
    </row>
    <row r="2983" spans="2:33">
      <c r="B2983" s="19"/>
      <c r="P2983" s="16"/>
      <c r="Q2983" s="36" t="s">
        <v>40</v>
      </c>
      <c r="R2983" s="13">
        <v>0</v>
      </c>
      <c r="S2983" s="13">
        <v>0</v>
      </c>
      <c r="T2983" s="13">
        <v>3714</v>
      </c>
      <c r="U2983" s="13">
        <v>2649</v>
      </c>
      <c r="V2983" s="13">
        <v>0</v>
      </c>
      <c r="W2983" s="37">
        <v>5474</v>
      </c>
      <c r="X2983" s="19"/>
      <c r="AG2983" s="16"/>
    </row>
    <row r="2984" spans="2:33">
      <c r="B2984" s="19"/>
      <c r="P2984" s="16"/>
      <c r="Q2984" s="36" t="s">
        <v>41</v>
      </c>
      <c r="R2984" s="13">
        <v>5684</v>
      </c>
      <c r="S2984" s="13">
        <v>4055</v>
      </c>
      <c r="T2984" s="13">
        <v>0</v>
      </c>
      <c r="U2984" s="13">
        <v>0</v>
      </c>
      <c r="V2984" s="13">
        <v>0</v>
      </c>
      <c r="W2984" s="37">
        <v>7229</v>
      </c>
      <c r="X2984" s="19"/>
      <c r="AG2984" s="16"/>
    </row>
    <row r="2985" spans="2:33">
      <c r="B2985" s="19"/>
      <c r="P2985" s="16"/>
      <c r="Q2985" s="36" t="s">
        <v>42</v>
      </c>
      <c r="R2985" s="13">
        <v>0</v>
      </c>
      <c r="S2985" s="13">
        <v>0</v>
      </c>
      <c r="T2985" s="13">
        <v>5749</v>
      </c>
      <c r="U2985" s="13">
        <v>4189</v>
      </c>
      <c r="V2985" s="13">
        <v>0</v>
      </c>
      <c r="W2985" s="37">
        <v>9367</v>
      </c>
      <c r="X2985" s="19"/>
      <c r="AG2985" s="16"/>
    </row>
    <row r="2986" spans="2:33">
      <c r="B2986" s="19"/>
      <c r="P2986" s="16"/>
      <c r="Q2986" s="36" t="s">
        <v>43</v>
      </c>
      <c r="R2986" s="13">
        <v>0</v>
      </c>
      <c r="S2986" s="13">
        <v>0</v>
      </c>
      <c r="T2986" s="13">
        <v>6256</v>
      </c>
      <c r="U2986" s="13">
        <v>4595</v>
      </c>
      <c r="V2986" s="13">
        <v>0</v>
      </c>
      <c r="W2986" s="37">
        <v>7572</v>
      </c>
      <c r="X2986" s="19"/>
      <c r="AG2986" s="16"/>
    </row>
    <row r="2987" spans="2:33">
      <c r="B2987" s="19"/>
      <c r="P2987" s="16"/>
      <c r="Q2987" s="36" t="s">
        <v>44</v>
      </c>
      <c r="R2987" s="13">
        <v>0</v>
      </c>
      <c r="S2987" s="13">
        <v>0</v>
      </c>
      <c r="T2987" s="13">
        <v>0</v>
      </c>
      <c r="U2987" s="13">
        <v>6508</v>
      </c>
      <c r="V2987" s="13">
        <v>4882</v>
      </c>
      <c r="W2987" s="37">
        <v>7501</v>
      </c>
      <c r="X2987" s="19"/>
      <c r="AG2987" s="16"/>
    </row>
    <row r="2988" spans="2:33" ht="15" thickBot="1">
      <c r="B2988" s="20"/>
      <c r="C2988" s="15"/>
      <c r="D2988" s="15"/>
      <c r="E2988" s="15"/>
      <c r="F2988" s="15"/>
      <c r="G2988" s="15"/>
      <c r="H2988" s="15"/>
      <c r="I2988" s="15"/>
      <c r="J2988" s="15"/>
      <c r="K2988" s="15"/>
      <c r="L2988" s="15"/>
      <c r="M2988" s="15"/>
      <c r="N2988" s="15"/>
      <c r="O2988" s="15"/>
      <c r="P2988" s="17"/>
      <c r="Q2988" s="36" t="s">
        <v>45</v>
      </c>
      <c r="R2988" s="13">
        <v>0</v>
      </c>
      <c r="S2988" s="13">
        <v>7761</v>
      </c>
      <c r="T2988" s="13">
        <v>5839</v>
      </c>
      <c r="U2988" s="13">
        <v>0</v>
      </c>
      <c r="V2988" s="13">
        <v>0</v>
      </c>
      <c r="W2988" s="37">
        <v>9106</v>
      </c>
      <c r="X2988" s="20"/>
      <c r="Y2988" s="15"/>
      <c r="Z2988" s="15"/>
      <c r="AA2988" s="15"/>
      <c r="AB2988" s="15"/>
      <c r="AC2988" s="15"/>
      <c r="AD2988" s="15"/>
      <c r="AE2988" s="15"/>
      <c r="AF2988" s="15"/>
      <c r="AG2988" s="17"/>
    </row>
    <row r="2989" spans="2:33" ht="15" thickBot="1"/>
    <row r="2990" spans="2:33" ht="15" thickBot="1">
      <c r="B2990" s="33" t="s">
        <v>2188</v>
      </c>
      <c r="C2990" s="26" t="s">
        <v>1198</v>
      </c>
      <c r="D2990" s="26" t="s">
        <v>1343</v>
      </c>
      <c r="E2990" s="26" t="s">
        <v>1344</v>
      </c>
      <c r="F2990" s="26" t="s">
        <v>1239</v>
      </c>
      <c r="G2990" s="26" t="s">
        <v>33</v>
      </c>
      <c r="H2990" s="27" t="s">
        <v>33</v>
      </c>
      <c r="I2990" s="26" t="s">
        <v>1345</v>
      </c>
      <c r="J2990" s="27" t="s">
        <v>87</v>
      </c>
      <c r="K2990" s="29">
        <v>17.319999694824201</v>
      </c>
      <c r="L2990" s="29">
        <v>17.319999694824201</v>
      </c>
      <c r="M2990" s="29">
        <v>17.319999694824201</v>
      </c>
      <c r="N2990" s="29">
        <v>17.319999694824201</v>
      </c>
      <c r="O2990" s="29">
        <v>17.319999694824201</v>
      </c>
      <c r="P2990" s="40">
        <v>17.319999694824201</v>
      </c>
      <c r="Q2990" s="1" t="s">
        <v>35</v>
      </c>
      <c r="R2990" s="2">
        <v>55</v>
      </c>
      <c r="S2990" s="2">
        <v>38</v>
      </c>
      <c r="T2990" s="2">
        <v>0</v>
      </c>
      <c r="U2990" s="2">
        <v>0</v>
      </c>
      <c r="V2990" s="2">
        <v>0</v>
      </c>
      <c r="W2990" s="2">
        <v>82</v>
      </c>
      <c r="X2990" s="43">
        <f>SUM(R2990:W3002)</f>
        <v>2562</v>
      </c>
      <c r="Y2990" s="10">
        <v>46204</v>
      </c>
      <c r="Z2990" s="11">
        <v>0.21896900122639595</v>
      </c>
      <c r="AA2990" s="11">
        <v>0.18255917925488163</v>
      </c>
      <c r="AB2990" s="11">
        <v>0.14708513495490375</v>
      </c>
      <c r="AC2990" s="11">
        <v>0.12856702693487934</v>
      </c>
      <c r="AD2990" s="11">
        <v>0.11429546234595808</v>
      </c>
      <c r="AE2990" s="11">
        <v>0.13131505978116356</v>
      </c>
      <c r="AF2990" s="11">
        <v>0.15</v>
      </c>
      <c r="AG2990" s="13">
        <v>0.23899999999999999</v>
      </c>
    </row>
    <row r="2991" spans="2:33">
      <c r="C2991" s="14"/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35"/>
      <c r="Q2991" s="36" t="s">
        <v>36</v>
      </c>
      <c r="R2991" s="13">
        <v>75</v>
      </c>
      <c r="S2991" s="13">
        <v>43</v>
      </c>
      <c r="T2991" s="13">
        <v>0</v>
      </c>
      <c r="U2991" s="13">
        <v>0</v>
      </c>
      <c r="V2991" s="13">
        <v>0</v>
      </c>
      <c r="W2991" s="37">
        <v>71</v>
      </c>
      <c r="X2991" s="18"/>
      <c r="Y2991" s="14"/>
      <c r="Z2991" s="14"/>
      <c r="AA2991" s="14"/>
      <c r="AB2991" s="14"/>
      <c r="AC2991" s="14"/>
      <c r="AD2991" s="14"/>
      <c r="AE2991" s="14"/>
      <c r="AF2991" s="14"/>
      <c r="AG2991" s="35"/>
    </row>
    <row r="2992" spans="2:33">
      <c r="B2992" s="19"/>
      <c r="P2992" s="16"/>
      <c r="Q2992" s="36" t="s">
        <v>37</v>
      </c>
      <c r="R2992" s="13">
        <v>0</v>
      </c>
      <c r="S2992" s="13">
        <v>82</v>
      </c>
      <c r="T2992" s="13">
        <v>50</v>
      </c>
      <c r="U2992" s="13">
        <v>0</v>
      </c>
      <c r="V2992" s="13">
        <v>0</v>
      </c>
      <c r="W2992" s="37">
        <v>89</v>
      </c>
      <c r="X2992" s="19"/>
      <c r="AG2992" s="16"/>
    </row>
    <row r="2993" spans="2:33">
      <c r="B2993" s="19"/>
      <c r="P2993" s="16"/>
      <c r="Q2993" s="36" t="s">
        <v>38</v>
      </c>
      <c r="R2993" s="13">
        <v>0</v>
      </c>
      <c r="S2993" s="13">
        <v>0</v>
      </c>
      <c r="T2993" s="13">
        <v>0</v>
      </c>
      <c r="U2993" s="13">
        <v>64</v>
      </c>
      <c r="V2993" s="13">
        <v>46</v>
      </c>
      <c r="W2993" s="37">
        <v>75</v>
      </c>
      <c r="X2993" s="19"/>
      <c r="AG2993" s="16"/>
    </row>
    <row r="2994" spans="2:33">
      <c r="B2994" s="19"/>
      <c r="P2994" s="16"/>
      <c r="Q2994" s="36" t="s">
        <v>345</v>
      </c>
      <c r="R2994" s="13">
        <v>0</v>
      </c>
      <c r="S2994" s="13">
        <v>0</v>
      </c>
      <c r="T2994" s="13">
        <v>0</v>
      </c>
      <c r="U2994" s="13">
        <v>6</v>
      </c>
      <c r="V2994" s="13">
        <v>5</v>
      </c>
      <c r="W2994" s="37">
        <v>28</v>
      </c>
      <c r="X2994" s="19"/>
      <c r="AG2994" s="16"/>
    </row>
    <row r="2995" spans="2:33">
      <c r="B2995" s="19"/>
      <c r="P2995" s="16"/>
      <c r="Q2995" s="36" t="s">
        <v>346</v>
      </c>
      <c r="R2995" s="13">
        <v>0</v>
      </c>
      <c r="S2995" s="13">
        <v>0</v>
      </c>
      <c r="T2995" s="13">
        <v>0</v>
      </c>
      <c r="U2995" s="13">
        <v>85</v>
      </c>
      <c r="V2995" s="13">
        <v>53</v>
      </c>
      <c r="W2995" s="37">
        <v>76</v>
      </c>
      <c r="X2995" s="19"/>
      <c r="AG2995" s="16"/>
    </row>
    <row r="2996" spans="2:33">
      <c r="B2996" s="19"/>
      <c r="P2996" s="16"/>
      <c r="Q2996" s="36" t="s">
        <v>40</v>
      </c>
      <c r="R2996" s="13">
        <v>0</v>
      </c>
      <c r="S2996" s="13">
        <v>0</v>
      </c>
      <c r="T2996" s="13">
        <v>114</v>
      </c>
      <c r="U2996" s="13">
        <v>68</v>
      </c>
      <c r="V2996" s="13">
        <v>0</v>
      </c>
      <c r="W2996" s="37">
        <v>96</v>
      </c>
      <c r="X2996" s="19"/>
      <c r="AG2996" s="16"/>
    </row>
    <row r="2997" spans="2:33">
      <c r="B2997" s="19"/>
      <c r="P2997" s="16"/>
      <c r="Q2997" s="36" t="s">
        <v>41</v>
      </c>
      <c r="R2997" s="13">
        <v>73</v>
      </c>
      <c r="S2997" s="13">
        <v>53</v>
      </c>
      <c r="T2997" s="13">
        <v>0</v>
      </c>
      <c r="U2997" s="13">
        <v>0</v>
      </c>
      <c r="V2997" s="13">
        <v>0</v>
      </c>
      <c r="W2997" s="37">
        <v>79</v>
      </c>
      <c r="X2997" s="19"/>
      <c r="AG2997" s="16"/>
    </row>
    <row r="2998" spans="2:33">
      <c r="B2998" s="19"/>
      <c r="P2998" s="16"/>
      <c r="Q2998" s="36" t="s">
        <v>42</v>
      </c>
      <c r="R2998" s="13">
        <v>0</v>
      </c>
      <c r="S2998" s="13">
        <v>0</v>
      </c>
      <c r="T2998" s="13">
        <v>43</v>
      </c>
      <c r="U2998" s="13">
        <v>32</v>
      </c>
      <c r="V2998" s="13">
        <v>0</v>
      </c>
      <c r="W2998" s="37">
        <v>83</v>
      </c>
      <c r="X2998" s="19"/>
      <c r="AG2998" s="16"/>
    </row>
    <row r="2999" spans="2:33">
      <c r="B2999" s="19"/>
      <c r="P2999" s="16"/>
      <c r="Q2999" s="36" t="s">
        <v>43</v>
      </c>
      <c r="R2999" s="13">
        <v>0</v>
      </c>
      <c r="S2999" s="13">
        <v>0</v>
      </c>
      <c r="T2999" s="13">
        <v>84</v>
      </c>
      <c r="U2999" s="13">
        <v>55</v>
      </c>
      <c r="V2999" s="13">
        <v>0</v>
      </c>
      <c r="W2999" s="37">
        <v>93</v>
      </c>
      <c r="X2999" s="19"/>
      <c r="AG2999" s="16"/>
    </row>
    <row r="3000" spans="2:33">
      <c r="B3000" s="19"/>
      <c r="P3000" s="16"/>
      <c r="Q3000" s="36" t="s">
        <v>44</v>
      </c>
      <c r="R3000" s="13">
        <v>0</v>
      </c>
      <c r="S3000" s="13">
        <v>0</v>
      </c>
      <c r="T3000" s="13">
        <v>0</v>
      </c>
      <c r="U3000" s="13">
        <v>94</v>
      </c>
      <c r="V3000" s="13">
        <v>56</v>
      </c>
      <c r="W3000" s="37">
        <v>90</v>
      </c>
      <c r="X3000" s="19"/>
      <c r="AG3000" s="16"/>
    </row>
    <row r="3001" spans="2:33">
      <c r="B3001" s="19"/>
      <c r="P3001" s="16"/>
      <c r="Q3001" s="36" t="s">
        <v>45</v>
      </c>
      <c r="R3001" s="13">
        <v>0</v>
      </c>
      <c r="S3001" s="13">
        <v>83</v>
      </c>
      <c r="T3001" s="13">
        <v>48</v>
      </c>
      <c r="U3001" s="13">
        <v>0</v>
      </c>
      <c r="V3001" s="13">
        <v>0</v>
      </c>
      <c r="W3001" s="37">
        <v>91</v>
      </c>
      <c r="X3001" s="19"/>
      <c r="AG3001" s="16"/>
    </row>
    <row r="3002" spans="2:33" ht="15" thickBot="1">
      <c r="B3002" s="20"/>
      <c r="C3002" s="15"/>
      <c r="D3002" s="15"/>
      <c r="E3002" s="15"/>
      <c r="F3002" s="15"/>
      <c r="G3002" s="15"/>
      <c r="H3002" s="15"/>
      <c r="I3002" s="15"/>
      <c r="J3002" s="15"/>
      <c r="K3002" s="15"/>
      <c r="L3002" s="15"/>
      <c r="M3002" s="15"/>
      <c r="N3002" s="15"/>
      <c r="O3002" s="15"/>
      <c r="P3002" s="17"/>
      <c r="Q3002" s="36" t="s">
        <v>46</v>
      </c>
      <c r="R3002" s="13">
        <v>71</v>
      </c>
      <c r="S3002" s="13">
        <v>46</v>
      </c>
      <c r="T3002" s="13">
        <v>0</v>
      </c>
      <c r="U3002" s="13">
        <v>0</v>
      </c>
      <c r="V3002" s="13">
        <v>0</v>
      </c>
      <c r="W3002" s="37">
        <v>87</v>
      </c>
      <c r="X3002" s="20"/>
      <c r="Y3002" s="15"/>
      <c r="Z3002" s="15"/>
      <c r="AA3002" s="15"/>
      <c r="AB3002" s="15"/>
      <c r="AC3002" s="15"/>
      <c r="AD3002" s="15"/>
      <c r="AE3002" s="15"/>
      <c r="AF3002" s="15"/>
      <c r="AG3002" s="17"/>
    </row>
    <row r="3003" spans="2:33" ht="15" thickBot="1"/>
    <row r="3004" spans="2:33" ht="15" thickBot="1">
      <c r="B3004" s="33" t="s">
        <v>2188</v>
      </c>
      <c r="C3004" s="26" t="s">
        <v>1198</v>
      </c>
      <c r="D3004" s="26" t="s">
        <v>1346</v>
      </c>
      <c r="E3004" s="26" t="s">
        <v>1347</v>
      </c>
      <c r="F3004" s="26" t="s">
        <v>327</v>
      </c>
      <c r="G3004" s="26" t="s">
        <v>33</v>
      </c>
      <c r="H3004" s="27" t="s">
        <v>33</v>
      </c>
      <c r="I3004" s="26" t="s">
        <v>1348</v>
      </c>
      <c r="J3004" s="27" t="s">
        <v>87</v>
      </c>
      <c r="K3004" s="29">
        <v>110</v>
      </c>
      <c r="L3004" s="29">
        <v>110</v>
      </c>
      <c r="M3004" s="29">
        <v>110</v>
      </c>
      <c r="N3004" s="29">
        <v>110</v>
      </c>
      <c r="O3004" s="29">
        <v>110</v>
      </c>
      <c r="P3004" s="40">
        <v>110</v>
      </c>
      <c r="Q3004" s="1" t="s">
        <v>35</v>
      </c>
      <c r="R3004" s="2">
        <v>453</v>
      </c>
      <c r="S3004" s="2">
        <v>151</v>
      </c>
      <c r="T3004" s="2">
        <v>0</v>
      </c>
      <c r="U3004" s="2">
        <v>0</v>
      </c>
      <c r="V3004" s="2">
        <v>0</v>
      </c>
      <c r="W3004" s="2">
        <v>21</v>
      </c>
      <c r="X3004" s="43">
        <f>SUM(R3004:W3016)</f>
        <v>2519</v>
      </c>
      <c r="Y3004" s="10">
        <v>46204</v>
      </c>
      <c r="Z3004" s="11">
        <v>0.21896900122639595</v>
      </c>
      <c r="AA3004" s="11">
        <v>0.18255917925488163</v>
      </c>
      <c r="AB3004" s="11">
        <v>0.14708513495490375</v>
      </c>
      <c r="AC3004" s="11">
        <v>0.12856702693487934</v>
      </c>
      <c r="AD3004" s="11">
        <v>0.11429546234595808</v>
      </c>
      <c r="AE3004" s="11">
        <v>0.13131505978116356</v>
      </c>
      <c r="AF3004" s="11">
        <v>0.15</v>
      </c>
      <c r="AG3004" s="13">
        <v>0.23899999999999999</v>
      </c>
    </row>
    <row r="3005" spans="2:33"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35"/>
      <c r="Q3005" s="36" t="s">
        <v>36</v>
      </c>
      <c r="R3005" s="13">
        <v>533</v>
      </c>
      <c r="S3005" s="13">
        <v>163</v>
      </c>
      <c r="T3005" s="13">
        <v>0</v>
      </c>
      <c r="U3005" s="13">
        <v>0</v>
      </c>
      <c r="V3005" s="13">
        <v>0</v>
      </c>
      <c r="W3005" s="37">
        <v>39</v>
      </c>
      <c r="X3005" s="18"/>
      <c r="Y3005" s="14"/>
      <c r="Z3005" s="14"/>
      <c r="AA3005" s="14"/>
      <c r="AB3005" s="14"/>
      <c r="AC3005" s="14"/>
      <c r="AD3005" s="14"/>
      <c r="AE3005" s="14"/>
      <c r="AF3005" s="14"/>
      <c r="AG3005" s="35"/>
    </row>
    <row r="3006" spans="2:33">
      <c r="B3006" s="19"/>
      <c r="P3006" s="16"/>
      <c r="Q3006" s="36" t="s">
        <v>37</v>
      </c>
      <c r="R3006" s="13">
        <v>0</v>
      </c>
      <c r="S3006" s="13">
        <v>580</v>
      </c>
      <c r="T3006" s="13">
        <v>145</v>
      </c>
      <c r="U3006" s="13">
        <v>0</v>
      </c>
      <c r="V3006" s="13">
        <v>0</v>
      </c>
      <c r="W3006" s="37">
        <v>24</v>
      </c>
      <c r="X3006" s="19"/>
      <c r="AG3006" s="16"/>
    </row>
    <row r="3007" spans="2:33">
      <c r="B3007" s="19"/>
      <c r="P3007" s="16"/>
      <c r="Q3007" s="36" t="s">
        <v>38</v>
      </c>
      <c r="R3007" s="13">
        <v>0</v>
      </c>
      <c r="S3007" s="13">
        <v>0</v>
      </c>
      <c r="T3007" s="13">
        <v>0</v>
      </c>
      <c r="U3007" s="13">
        <v>141</v>
      </c>
      <c r="V3007" s="13">
        <v>61</v>
      </c>
      <c r="W3007" s="37">
        <v>28</v>
      </c>
      <c r="X3007" s="19"/>
      <c r="AG3007" s="16"/>
    </row>
    <row r="3008" spans="2:33">
      <c r="B3008" s="19"/>
      <c r="P3008" s="16"/>
      <c r="Q3008" s="36" t="s">
        <v>350</v>
      </c>
      <c r="R3008" s="13">
        <v>0</v>
      </c>
      <c r="S3008" s="13">
        <v>0</v>
      </c>
      <c r="T3008" s="13">
        <v>0</v>
      </c>
      <c r="U3008" s="13">
        <v>15</v>
      </c>
      <c r="V3008" s="13">
        <v>1</v>
      </c>
      <c r="W3008" s="37">
        <v>5</v>
      </c>
      <c r="X3008" s="19"/>
      <c r="AG3008" s="16"/>
    </row>
    <row r="3009" spans="2:33">
      <c r="B3009" s="19"/>
      <c r="P3009" s="16"/>
      <c r="Q3009" s="36" t="s">
        <v>351</v>
      </c>
      <c r="R3009" s="13">
        <v>0</v>
      </c>
      <c r="S3009" s="13">
        <v>0</v>
      </c>
      <c r="T3009" s="13">
        <v>0</v>
      </c>
      <c r="U3009" s="13">
        <v>31</v>
      </c>
      <c r="V3009" s="13">
        <v>2</v>
      </c>
      <c r="W3009" s="37">
        <v>7</v>
      </c>
      <c r="X3009" s="19"/>
      <c r="AG3009" s="16"/>
    </row>
    <row r="3010" spans="2:33">
      <c r="B3010" s="19"/>
      <c r="P3010" s="16"/>
      <c r="Q3010" s="36" t="s">
        <v>40</v>
      </c>
      <c r="R3010" s="13">
        <v>0</v>
      </c>
      <c r="S3010" s="13">
        <v>0</v>
      </c>
      <c r="T3010" s="13">
        <v>4</v>
      </c>
      <c r="U3010" s="13">
        <v>3</v>
      </c>
      <c r="V3010" s="13">
        <v>0</v>
      </c>
      <c r="W3010" s="37">
        <v>9</v>
      </c>
      <c r="X3010" s="19"/>
      <c r="AG3010" s="16"/>
    </row>
    <row r="3011" spans="2:33">
      <c r="B3011" s="19"/>
      <c r="P3011" s="16"/>
      <c r="Q3011" s="36" t="s">
        <v>41</v>
      </c>
      <c r="R3011" s="13">
        <v>5</v>
      </c>
      <c r="S3011" s="13">
        <v>4</v>
      </c>
      <c r="T3011" s="13">
        <v>0</v>
      </c>
      <c r="U3011" s="13">
        <v>0</v>
      </c>
      <c r="V3011" s="13">
        <v>0</v>
      </c>
      <c r="W3011" s="37">
        <v>9</v>
      </c>
      <c r="X3011" s="19"/>
      <c r="AG3011" s="16"/>
    </row>
    <row r="3012" spans="2:33">
      <c r="B3012" s="19"/>
      <c r="P3012" s="16"/>
      <c r="Q3012" s="36" t="s">
        <v>42</v>
      </c>
      <c r="R3012" s="13">
        <v>0</v>
      </c>
      <c r="S3012" s="13">
        <v>0</v>
      </c>
      <c r="T3012" s="13">
        <v>4</v>
      </c>
      <c r="U3012" s="13">
        <v>3</v>
      </c>
      <c r="V3012" s="13">
        <v>0</v>
      </c>
      <c r="W3012" s="37">
        <v>10</v>
      </c>
      <c r="X3012" s="19"/>
      <c r="AG3012" s="16"/>
    </row>
    <row r="3013" spans="2:33">
      <c r="B3013" s="19"/>
      <c r="P3013" s="16"/>
      <c r="Q3013" s="36" t="s">
        <v>43</v>
      </c>
      <c r="R3013" s="13">
        <v>0</v>
      </c>
      <c r="S3013" s="13">
        <v>0</v>
      </c>
      <c r="T3013" s="13">
        <v>5</v>
      </c>
      <c r="U3013" s="13">
        <v>4</v>
      </c>
      <c r="V3013" s="13">
        <v>0</v>
      </c>
      <c r="W3013" s="37">
        <v>9</v>
      </c>
      <c r="X3013" s="19"/>
      <c r="AG3013" s="16"/>
    </row>
    <row r="3014" spans="2:33">
      <c r="B3014" s="19"/>
      <c r="P3014" s="16"/>
      <c r="Q3014" s="36" t="s">
        <v>44</v>
      </c>
      <c r="R3014" s="13">
        <v>0</v>
      </c>
      <c r="S3014" s="13">
        <v>0</v>
      </c>
      <c r="T3014" s="13">
        <v>0</v>
      </c>
      <c r="U3014" s="13">
        <v>5</v>
      </c>
      <c r="V3014" s="13">
        <v>4</v>
      </c>
      <c r="W3014" s="37">
        <v>9</v>
      </c>
      <c r="X3014" s="19"/>
      <c r="AG3014" s="16"/>
    </row>
    <row r="3015" spans="2:33">
      <c r="B3015" s="19"/>
      <c r="P3015" s="16"/>
      <c r="Q3015" s="36" t="s">
        <v>45</v>
      </c>
      <c r="R3015" s="13">
        <v>0</v>
      </c>
      <c r="S3015" s="13">
        <v>4</v>
      </c>
      <c r="T3015" s="13">
        <v>3</v>
      </c>
      <c r="U3015" s="13">
        <v>0</v>
      </c>
      <c r="V3015" s="13">
        <v>0</v>
      </c>
      <c r="W3015" s="37">
        <v>9</v>
      </c>
      <c r="X3015" s="19"/>
      <c r="AG3015" s="16"/>
    </row>
    <row r="3016" spans="2:33" ht="15" thickBot="1">
      <c r="B3016" s="20"/>
      <c r="C3016" s="15"/>
      <c r="D3016" s="15"/>
      <c r="E3016" s="15"/>
      <c r="F3016" s="15"/>
      <c r="G3016" s="15"/>
      <c r="H3016" s="15"/>
      <c r="I3016" s="15"/>
      <c r="J3016" s="15"/>
      <c r="K3016" s="15"/>
      <c r="L3016" s="15"/>
      <c r="M3016" s="15"/>
      <c r="N3016" s="15"/>
      <c r="O3016" s="15"/>
      <c r="P3016" s="17"/>
      <c r="Q3016" s="36" t="s">
        <v>46</v>
      </c>
      <c r="R3016" s="13">
        <v>4</v>
      </c>
      <c r="S3016" s="13">
        <v>3</v>
      </c>
      <c r="T3016" s="13">
        <v>0</v>
      </c>
      <c r="U3016" s="13">
        <v>0</v>
      </c>
      <c r="V3016" s="13">
        <v>0</v>
      </c>
      <c r="W3016" s="37">
        <v>9</v>
      </c>
      <c r="X3016" s="20"/>
      <c r="Y3016" s="15"/>
      <c r="Z3016" s="15"/>
      <c r="AA3016" s="15"/>
      <c r="AB3016" s="15"/>
      <c r="AC3016" s="15"/>
      <c r="AD3016" s="15"/>
      <c r="AE3016" s="15"/>
      <c r="AF3016" s="15"/>
      <c r="AG3016" s="17"/>
    </row>
    <row r="3017" spans="2:33" ht="15" thickBot="1"/>
    <row r="3018" spans="2:33" ht="15" thickBot="1">
      <c r="B3018" s="33" t="s">
        <v>2188</v>
      </c>
      <c r="C3018" s="26" t="s">
        <v>1198</v>
      </c>
      <c r="D3018" s="26" t="s">
        <v>1349</v>
      </c>
      <c r="E3018" s="26" t="s">
        <v>1350</v>
      </c>
      <c r="F3018" s="26" t="s">
        <v>126</v>
      </c>
      <c r="G3018" s="26" t="s">
        <v>33</v>
      </c>
      <c r="H3018" s="27" t="s">
        <v>33</v>
      </c>
      <c r="I3018" s="26" t="s">
        <v>1351</v>
      </c>
      <c r="J3018" s="27" t="s">
        <v>56</v>
      </c>
      <c r="K3018" s="29">
        <v>5.5</v>
      </c>
      <c r="L3018" s="29">
        <v>5.5</v>
      </c>
      <c r="M3018" s="29">
        <v>5.5</v>
      </c>
      <c r="N3018" s="29">
        <v>0</v>
      </c>
      <c r="O3018" s="29">
        <v>0</v>
      </c>
      <c r="P3018" s="40">
        <v>0</v>
      </c>
      <c r="Q3018" s="1" t="s">
        <v>1352</v>
      </c>
      <c r="R3018" s="2">
        <v>48</v>
      </c>
      <c r="S3018" s="2">
        <v>48</v>
      </c>
      <c r="T3018" s="2">
        <v>100</v>
      </c>
      <c r="U3018" s="2">
        <v>0</v>
      </c>
      <c r="V3018" s="2">
        <v>0</v>
      </c>
      <c r="W3018" s="2">
        <v>0</v>
      </c>
      <c r="X3018" s="43">
        <f>SUM(R3018:W3030)</f>
        <v>2384</v>
      </c>
      <c r="Y3018" s="10">
        <v>46204</v>
      </c>
      <c r="Z3018" s="11">
        <v>0.23914913165546237</v>
      </c>
      <c r="AA3018" s="11">
        <v>0.16263468186376903</v>
      </c>
      <c r="AB3018" s="11">
        <v>0.13490905978116355</v>
      </c>
      <c r="AC3018" s="11"/>
      <c r="AD3018" s="11"/>
      <c r="AE3018" s="11"/>
      <c r="AF3018" s="11">
        <v>0.15</v>
      </c>
      <c r="AG3018" s="13">
        <v>0.23899999999999999</v>
      </c>
    </row>
    <row r="3019" spans="2:33">
      <c r="C3019" s="14"/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35"/>
      <c r="Q3019" s="36" t="s">
        <v>1353</v>
      </c>
      <c r="R3019" s="13">
        <v>49</v>
      </c>
      <c r="S3019" s="13">
        <v>49</v>
      </c>
      <c r="T3019" s="13">
        <v>99</v>
      </c>
      <c r="U3019" s="13">
        <v>0</v>
      </c>
      <c r="V3019" s="13">
        <v>0</v>
      </c>
      <c r="W3019" s="37">
        <v>0</v>
      </c>
      <c r="X3019" s="18"/>
      <c r="Y3019" s="14"/>
      <c r="Z3019" s="14"/>
      <c r="AA3019" s="14"/>
      <c r="AB3019" s="14"/>
      <c r="AC3019" s="14"/>
      <c r="AD3019" s="14"/>
      <c r="AE3019" s="14"/>
      <c r="AF3019" s="14"/>
      <c r="AG3019" s="35"/>
    </row>
    <row r="3020" spans="2:33">
      <c r="B3020" s="19"/>
      <c r="P3020" s="16"/>
      <c r="Q3020" s="36" t="s">
        <v>1354</v>
      </c>
      <c r="R3020" s="13">
        <v>43</v>
      </c>
      <c r="S3020" s="13">
        <v>43</v>
      </c>
      <c r="T3020" s="13">
        <v>96</v>
      </c>
      <c r="U3020" s="13">
        <v>0</v>
      </c>
      <c r="V3020" s="13">
        <v>0</v>
      </c>
      <c r="W3020" s="37">
        <v>0</v>
      </c>
      <c r="X3020" s="19"/>
      <c r="AG3020" s="16"/>
    </row>
    <row r="3021" spans="2:33">
      <c r="B3021" s="19"/>
      <c r="P3021" s="16"/>
      <c r="Q3021" s="36" t="s">
        <v>1355</v>
      </c>
      <c r="R3021" s="13">
        <v>35</v>
      </c>
      <c r="S3021" s="13">
        <v>35</v>
      </c>
      <c r="T3021" s="13">
        <v>94</v>
      </c>
      <c r="U3021" s="13">
        <v>0</v>
      </c>
      <c r="V3021" s="13">
        <v>0</v>
      </c>
      <c r="W3021" s="37">
        <v>0</v>
      </c>
      <c r="X3021" s="19"/>
      <c r="AG3021" s="16"/>
    </row>
    <row r="3022" spans="2:33">
      <c r="B3022" s="19"/>
      <c r="P3022" s="16"/>
      <c r="Q3022" s="36" t="s">
        <v>1356</v>
      </c>
      <c r="R3022" s="13">
        <v>9</v>
      </c>
      <c r="S3022" s="13">
        <v>9</v>
      </c>
      <c r="T3022" s="13">
        <v>23</v>
      </c>
      <c r="U3022" s="13">
        <v>0</v>
      </c>
      <c r="V3022" s="13">
        <v>0</v>
      </c>
      <c r="W3022" s="37">
        <v>0</v>
      </c>
      <c r="X3022" s="19"/>
      <c r="AG3022" s="16"/>
    </row>
    <row r="3023" spans="2:33">
      <c r="B3023" s="19"/>
      <c r="P3023" s="16"/>
      <c r="Q3023" s="36" t="s">
        <v>1357</v>
      </c>
      <c r="R3023" s="13">
        <v>52</v>
      </c>
      <c r="S3023" s="13">
        <v>52</v>
      </c>
      <c r="T3023" s="13">
        <v>104</v>
      </c>
      <c r="U3023" s="13">
        <v>0</v>
      </c>
      <c r="V3023" s="13">
        <v>0</v>
      </c>
      <c r="W3023" s="37">
        <v>0</v>
      </c>
      <c r="X3023" s="19"/>
      <c r="AG3023" s="16"/>
    </row>
    <row r="3024" spans="2:33">
      <c r="B3024" s="19"/>
      <c r="P3024" s="16"/>
      <c r="Q3024" s="36" t="s">
        <v>402</v>
      </c>
      <c r="R3024" s="13">
        <v>46</v>
      </c>
      <c r="S3024" s="13">
        <v>46</v>
      </c>
      <c r="T3024" s="13">
        <v>97</v>
      </c>
      <c r="U3024" s="13">
        <v>0</v>
      </c>
      <c r="V3024" s="13">
        <v>0</v>
      </c>
      <c r="W3024" s="37">
        <v>0</v>
      </c>
      <c r="X3024" s="19"/>
      <c r="AG3024" s="16"/>
    </row>
    <row r="3025" spans="2:33">
      <c r="B3025" s="19"/>
      <c r="P3025" s="16"/>
      <c r="Q3025" s="36" t="s">
        <v>1358</v>
      </c>
      <c r="R3025" s="13">
        <v>48</v>
      </c>
      <c r="S3025" s="13">
        <v>49</v>
      </c>
      <c r="T3025" s="13">
        <v>113</v>
      </c>
      <c r="U3025" s="13">
        <v>0</v>
      </c>
      <c r="V3025" s="13">
        <v>0</v>
      </c>
      <c r="W3025" s="37">
        <v>0</v>
      </c>
      <c r="X3025" s="19"/>
      <c r="AG3025" s="16"/>
    </row>
    <row r="3026" spans="2:33">
      <c r="B3026" s="19"/>
      <c r="P3026" s="16"/>
      <c r="Q3026" s="36" t="s">
        <v>1359</v>
      </c>
      <c r="R3026" s="13">
        <v>48</v>
      </c>
      <c r="S3026" s="13">
        <v>48</v>
      </c>
      <c r="T3026" s="13">
        <v>106</v>
      </c>
      <c r="U3026" s="13">
        <v>0</v>
      </c>
      <c r="V3026" s="13">
        <v>0</v>
      </c>
      <c r="W3026" s="37">
        <v>0</v>
      </c>
      <c r="X3026" s="19"/>
      <c r="AG3026" s="16"/>
    </row>
    <row r="3027" spans="2:33">
      <c r="B3027" s="19"/>
      <c r="P3027" s="16"/>
      <c r="Q3027" s="36" t="s">
        <v>1360</v>
      </c>
      <c r="R3027" s="13">
        <v>46</v>
      </c>
      <c r="S3027" s="13">
        <v>46</v>
      </c>
      <c r="T3027" s="13">
        <v>110</v>
      </c>
      <c r="U3027" s="13">
        <v>0</v>
      </c>
      <c r="V3027" s="13">
        <v>0</v>
      </c>
      <c r="W3027" s="37">
        <v>0</v>
      </c>
      <c r="X3027" s="19"/>
      <c r="AG3027" s="16"/>
    </row>
    <row r="3028" spans="2:33">
      <c r="B3028" s="19"/>
      <c r="P3028" s="16"/>
      <c r="Q3028" s="36" t="s">
        <v>1361</v>
      </c>
      <c r="R3028" s="13">
        <v>48</v>
      </c>
      <c r="S3028" s="13">
        <v>48</v>
      </c>
      <c r="T3028" s="13">
        <v>100</v>
      </c>
      <c r="U3028" s="13">
        <v>0</v>
      </c>
      <c r="V3028" s="13">
        <v>0</v>
      </c>
      <c r="W3028" s="37">
        <v>0</v>
      </c>
      <c r="X3028" s="19"/>
      <c r="AG3028" s="16"/>
    </row>
    <row r="3029" spans="2:33">
      <c r="B3029" s="19"/>
      <c r="P3029" s="16"/>
      <c r="Q3029" s="36" t="s">
        <v>1362</v>
      </c>
      <c r="R3029" s="13">
        <v>40</v>
      </c>
      <c r="S3029" s="13">
        <v>39</v>
      </c>
      <c r="T3029" s="13">
        <v>97</v>
      </c>
      <c r="U3029" s="13">
        <v>0</v>
      </c>
      <c r="V3029" s="13">
        <v>0</v>
      </c>
      <c r="W3029" s="37">
        <v>0</v>
      </c>
      <c r="X3029" s="19"/>
      <c r="AG3029" s="16"/>
    </row>
    <row r="3030" spans="2:33" ht="15" thickBot="1">
      <c r="B3030" s="20"/>
      <c r="C3030" s="15"/>
      <c r="D3030" s="15"/>
      <c r="E3030" s="15"/>
      <c r="F3030" s="15"/>
      <c r="G3030" s="15"/>
      <c r="H3030" s="15"/>
      <c r="I3030" s="15"/>
      <c r="J3030" s="15"/>
      <c r="K3030" s="15"/>
      <c r="L3030" s="15"/>
      <c r="M3030" s="15"/>
      <c r="N3030" s="15"/>
      <c r="O3030" s="15"/>
      <c r="P3030" s="17"/>
      <c r="Q3030" s="36" t="s">
        <v>1363</v>
      </c>
      <c r="R3030" s="13">
        <v>45</v>
      </c>
      <c r="S3030" s="13">
        <v>46</v>
      </c>
      <c r="T3030" s="13">
        <v>130</v>
      </c>
      <c r="U3030" s="13">
        <v>0</v>
      </c>
      <c r="V3030" s="13">
        <v>0</v>
      </c>
      <c r="W3030" s="37">
        <v>0</v>
      </c>
      <c r="X3030" s="20"/>
      <c r="Y3030" s="15"/>
      <c r="Z3030" s="15"/>
      <c r="AA3030" s="15"/>
      <c r="AB3030" s="15"/>
      <c r="AC3030" s="15"/>
      <c r="AD3030" s="15"/>
      <c r="AE3030" s="15"/>
      <c r="AF3030" s="15"/>
      <c r="AG3030" s="17"/>
    </row>
    <row r="3031" spans="2:33" ht="15" thickBot="1"/>
    <row r="3032" spans="2:33" ht="15" thickBot="1">
      <c r="B3032" s="33" t="s">
        <v>2188</v>
      </c>
      <c r="C3032" s="26" t="s">
        <v>1198</v>
      </c>
      <c r="D3032" s="26" t="s">
        <v>1364</v>
      </c>
      <c r="E3032" s="26" t="s">
        <v>1365</v>
      </c>
      <c r="F3032" s="26" t="s">
        <v>126</v>
      </c>
      <c r="G3032" s="26" t="s">
        <v>33</v>
      </c>
      <c r="H3032" s="27" t="s">
        <v>33</v>
      </c>
      <c r="I3032" s="26" t="s">
        <v>1366</v>
      </c>
      <c r="J3032" s="27" t="s">
        <v>56</v>
      </c>
      <c r="K3032" s="29">
        <v>5.5</v>
      </c>
      <c r="L3032" s="29">
        <v>5.5</v>
      </c>
      <c r="M3032" s="29">
        <v>5.5</v>
      </c>
      <c r="N3032" s="29">
        <v>0</v>
      </c>
      <c r="O3032" s="29">
        <v>0</v>
      </c>
      <c r="P3032" s="40">
        <v>0</v>
      </c>
      <c r="Q3032" s="1" t="s">
        <v>1367</v>
      </c>
      <c r="R3032" s="2">
        <v>38</v>
      </c>
      <c r="S3032" s="2">
        <v>37</v>
      </c>
      <c r="T3032" s="2">
        <v>78</v>
      </c>
      <c r="U3032" s="2">
        <v>0</v>
      </c>
      <c r="V3032" s="2">
        <v>0</v>
      </c>
      <c r="W3032" s="2">
        <v>0</v>
      </c>
      <c r="X3032" s="43">
        <f>SUM(R3032:W3043)</f>
        <v>1805</v>
      </c>
      <c r="Y3032" s="10">
        <v>46204</v>
      </c>
      <c r="Z3032" s="11">
        <v>0.23914913165546237</v>
      </c>
      <c r="AA3032" s="11">
        <v>0.16263468186376903</v>
      </c>
      <c r="AB3032" s="11">
        <v>0.13490905978116355</v>
      </c>
      <c r="AC3032" s="11"/>
      <c r="AD3032" s="11"/>
      <c r="AE3032" s="11"/>
      <c r="AF3032" s="11">
        <v>0.15</v>
      </c>
      <c r="AG3032" s="13">
        <v>0.23899999999999999</v>
      </c>
    </row>
    <row r="3033" spans="2:33">
      <c r="C3033" s="14"/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35"/>
      <c r="Q3033" s="36" t="s">
        <v>1368</v>
      </c>
      <c r="R3033" s="13">
        <v>36</v>
      </c>
      <c r="S3033" s="13">
        <v>36</v>
      </c>
      <c r="T3033" s="13">
        <v>84</v>
      </c>
      <c r="U3033" s="13">
        <v>0</v>
      </c>
      <c r="V3033" s="13">
        <v>0</v>
      </c>
      <c r="W3033" s="37">
        <v>0</v>
      </c>
      <c r="X3033" s="18"/>
      <c r="Y3033" s="14"/>
      <c r="Z3033" s="14"/>
      <c r="AA3033" s="14"/>
      <c r="AB3033" s="14"/>
      <c r="AC3033" s="14"/>
      <c r="AD3033" s="14"/>
      <c r="AE3033" s="14"/>
      <c r="AF3033" s="14"/>
      <c r="AG3033" s="35"/>
    </row>
    <row r="3034" spans="2:33">
      <c r="B3034" s="19"/>
      <c r="P3034" s="16"/>
      <c r="Q3034" s="36" t="s">
        <v>1369</v>
      </c>
      <c r="R3034" s="13">
        <v>29</v>
      </c>
      <c r="S3034" s="13">
        <v>30</v>
      </c>
      <c r="T3034" s="13">
        <v>65</v>
      </c>
      <c r="U3034" s="13">
        <v>0</v>
      </c>
      <c r="V3034" s="13">
        <v>0</v>
      </c>
      <c r="W3034" s="37">
        <v>0</v>
      </c>
      <c r="X3034" s="19"/>
      <c r="AG3034" s="16"/>
    </row>
    <row r="3035" spans="2:33">
      <c r="B3035" s="19"/>
      <c r="P3035" s="16"/>
      <c r="Q3035" s="36" t="s">
        <v>1370</v>
      </c>
      <c r="R3035" s="13">
        <v>31</v>
      </c>
      <c r="S3035" s="13">
        <v>30</v>
      </c>
      <c r="T3035" s="13">
        <v>72</v>
      </c>
      <c r="U3035" s="13">
        <v>0</v>
      </c>
      <c r="V3035" s="13">
        <v>0</v>
      </c>
      <c r="W3035" s="37">
        <v>0</v>
      </c>
      <c r="X3035" s="19"/>
      <c r="AG3035" s="16"/>
    </row>
    <row r="3036" spans="2:33">
      <c r="B3036" s="19"/>
      <c r="P3036" s="16"/>
      <c r="Q3036" s="36" t="s">
        <v>1371</v>
      </c>
      <c r="R3036" s="13">
        <v>3</v>
      </c>
      <c r="S3036" s="13">
        <v>4</v>
      </c>
      <c r="T3036" s="13">
        <v>13</v>
      </c>
      <c r="U3036" s="13">
        <v>0</v>
      </c>
      <c r="V3036" s="13">
        <v>0</v>
      </c>
      <c r="W3036" s="37">
        <v>0</v>
      </c>
      <c r="X3036" s="19"/>
      <c r="AG3036" s="16"/>
    </row>
    <row r="3037" spans="2:33">
      <c r="B3037" s="19"/>
      <c r="P3037" s="16"/>
      <c r="Q3037" s="36" t="s">
        <v>1372</v>
      </c>
      <c r="R3037" s="13">
        <v>31</v>
      </c>
      <c r="S3037" s="13">
        <v>31</v>
      </c>
      <c r="T3037" s="13">
        <v>68</v>
      </c>
      <c r="U3037" s="13">
        <v>0</v>
      </c>
      <c r="V3037" s="13">
        <v>0</v>
      </c>
      <c r="W3037" s="37">
        <v>0</v>
      </c>
      <c r="X3037" s="19"/>
      <c r="AG3037" s="16"/>
    </row>
    <row r="3038" spans="2:33">
      <c r="B3038" s="19"/>
      <c r="P3038" s="16"/>
      <c r="Q3038" s="36" t="s">
        <v>1373</v>
      </c>
      <c r="R3038" s="13">
        <v>33</v>
      </c>
      <c r="S3038" s="13">
        <v>33</v>
      </c>
      <c r="T3038" s="13">
        <v>70</v>
      </c>
      <c r="U3038" s="13">
        <v>0</v>
      </c>
      <c r="V3038" s="13">
        <v>0</v>
      </c>
      <c r="W3038" s="37">
        <v>0</v>
      </c>
      <c r="X3038" s="19"/>
      <c r="AG3038" s="16"/>
    </row>
    <row r="3039" spans="2:33">
      <c r="B3039" s="19"/>
      <c r="P3039" s="16"/>
      <c r="Q3039" s="36" t="s">
        <v>1374</v>
      </c>
      <c r="R3039" s="13">
        <v>36</v>
      </c>
      <c r="S3039" s="13">
        <v>36</v>
      </c>
      <c r="T3039" s="13">
        <v>74</v>
      </c>
      <c r="U3039" s="13">
        <v>0</v>
      </c>
      <c r="V3039" s="13">
        <v>0</v>
      </c>
      <c r="W3039" s="37">
        <v>0</v>
      </c>
      <c r="X3039" s="19"/>
      <c r="AG3039" s="16"/>
    </row>
    <row r="3040" spans="2:33">
      <c r="B3040" s="19"/>
      <c r="P3040" s="16"/>
      <c r="Q3040" s="36" t="s">
        <v>1375</v>
      </c>
      <c r="R3040" s="13">
        <v>31</v>
      </c>
      <c r="S3040" s="13">
        <v>31</v>
      </c>
      <c r="T3040" s="13">
        <v>82</v>
      </c>
      <c r="U3040" s="13">
        <v>0</v>
      </c>
      <c r="V3040" s="13">
        <v>0</v>
      </c>
      <c r="W3040" s="37">
        <v>0</v>
      </c>
      <c r="X3040" s="19"/>
      <c r="AG3040" s="16"/>
    </row>
    <row r="3041" spans="2:33">
      <c r="B3041" s="19"/>
      <c r="P3041" s="16"/>
      <c r="Q3041" s="36" t="s">
        <v>1376</v>
      </c>
      <c r="R3041" s="13">
        <v>35</v>
      </c>
      <c r="S3041" s="13">
        <v>34</v>
      </c>
      <c r="T3041" s="13">
        <v>72</v>
      </c>
      <c r="U3041" s="13">
        <v>0</v>
      </c>
      <c r="V3041" s="13">
        <v>0</v>
      </c>
      <c r="W3041" s="37">
        <v>0</v>
      </c>
      <c r="X3041" s="19"/>
      <c r="AG3041" s="16"/>
    </row>
    <row r="3042" spans="2:33">
      <c r="B3042" s="19"/>
      <c r="P3042" s="16"/>
      <c r="Q3042" s="36" t="s">
        <v>1377</v>
      </c>
      <c r="R3042" s="13">
        <v>9</v>
      </c>
      <c r="S3042" s="13">
        <v>9</v>
      </c>
      <c r="T3042" s="13">
        <v>18</v>
      </c>
      <c r="U3042" s="13">
        <v>0</v>
      </c>
      <c r="V3042" s="13">
        <v>0</v>
      </c>
      <c r="W3042" s="37">
        <v>0</v>
      </c>
      <c r="X3042" s="19"/>
      <c r="AG3042" s="16"/>
    </row>
    <row r="3043" spans="2:33" ht="15" thickBot="1">
      <c r="B3043" s="20"/>
      <c r="C3043" s="15"/>
      <c r="D3043" s="15"/>
      <c r="E3043" s="15"/>
      <c r="F3043" s="15"/>
      <c r="G3043" s="15"/>
      <c r="H3043" s="15"/>
      <c r="I3043" s="15"/>
      <c r="J3043" s="15"/>
      <c r="K3043" s="15"/>
      <c r="L3043" s="15"/>
      <c r="M3043" s="15"/>
      <c r="N3043" s="15"/>
      <c r="O3043" s="15"/>
      <c r="P3043" s="17"/>
      <c r="Q3043" s="36" t="s">
        <v>1378</v>
      </c>
      <c r="R3043" s="13">
        <v>109</v>
      </c>
      <c r="S3043" s="13">
        <v>109</v>
      </c>
      <c r="T3043" s="13">
        <v>268</v>
      </c>
      <c r="U3043" s="13">
        <v>0</v>
      </c>
      <c r="V3043" s="13">
        <v>0</v>
      </c>
      <c r="W3043" s="37">
        <v>0</v>
      </c>
      <c r="X3043" s="20"/>
      <c r="Y3043" s="15"/>
      <c r="Z3043" s="15"/>
      <c r="AA3043" s="15"/>
      <c r="AB3043" s="15"/>
      <c r="AC3043" s="15"/>
      <c r="AD3043" s="15"/>
      <c r="AE3043" s="15"/>
      <c r="AF3043" s="15"/>
      <c r="AG3043" s="17"/>
    </row>
    <row r="3044" spans="2:33" ht="15" thickBot="1"/>
    <row r="3045" spans="2:33" ht="15" thickBot="1">
      <c r="B3045" s="33" t="s">
        <v>2188</v>
      </c>
      <c r="C3045" s="26" t="s">
        <v>1198</v>
      </c>
      <c r="D3045" s="26" t="s">
        <v>1379</v>
      </c>
      <c r="E3045" s="26" t="s">
        <v>1380</v>
      </c>
      <c r="F3045" s="26" t="s">
        <v>126</v>
      </c>
      <c r="G3045" s="26" t="s">
        <v>33</v>
      </c>
      <c r="H3045" s="27" t="s">
        <v>33</v>
      </c>
      <c r="I3045" s="26" t="s">
        <v>1381</v>
      </c>
      <c r="J3045" s="27" t="s">
        <v>56</v>
      </c>
      <c r="K3045" s="29">
        <v>5.5</v>
      </c>
      <c r="L3045" s="29">
        <v>5.5</v>
      </c>
      <c r="M3045" s="29">
        <v>5.5</v>
      </c>
      <c r="N3045" s="29">
        <v>0</v>
      </c>
      <c r="O3045" s="29">
        <v>0</v>
      </c>
      <c r="P3045" s="40">
        <v>0</v>
      </c>
      <c r="Q3045" s="1" t="s">
        <v>1382</v>
      </c>
      <c r="R3045" s="2">
        <v>96</v>
      </c>
      <c r="S3045" s="2">
        <v>87</v>
      </c>
      <c r="T3045" s="2">
        <v>148</v>
      </c>
      <c r="U3045" s="2">
        <v>0</v>
      </c>
      <c r="V3045" s="2">
        <v>0</v>
      </c>
      <c r="W3045" s="2">
        <v>0</v>
      </c>
      <c r="X3045" s="43">
        <f>SUM(R3045:W3048)</f>
        <v>1087</v>
      </c>
      <c r="Y3045" s="10">
        <v>46204</v>
      </c>
      <c r="Z3045" s="11">
        <v>0.23914913165546237</v>
      </c>
      <c r="AA3045" s="11">
        <v>0.16263468186376903</v>
      </c>
      <c r="AB3045" s="11">
        <v>0.13490905978116355</v>
      </c>
      <c r="AC3045" s="11"/>
      <c r="AD3045" s="11"/>
      <c r="AE3045" s="11"/>
      <c r="AF3045" s="11">
        <v>0.15</v>
      </c>
      <c r="AG3045" s="13">
        <v>0.23899999999999999</v>
      </c>
    </row>
    <row r="3046" spans="2:33"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35"/>
      <c r="Q3046" s="36" t="s">
        <v>1383</v>
      </c>
      <c r="R3046" s="13">
        <v>-1</v>
      </c>
      <c r="S3046" s="13">
        <v>1</v>
      </c>
      <c r="T3046" s="13">
        <v>0</v>
      </c>
      <c r="U3046" s="13">
        <v>0</v>
      </c>
      <c r="V3046" s="13">
        <v>0</v>
      </c>
      <c r="W3046" s="37">
        <v>0</v>
      </c>
      <c r="X3046" s="18"/>
      <c r="Y3046" s="14"/>
      <c r="Z3046" s="14"/>
      <c r="AA3046" s="14"/>
      <c r="AB3046" s="14"/>
      <c r="AC3046" s="14"/>
      <c r="AD3046" s="14"/>
      <c r="AE3046" s="14"/>
      <c r="AF3046" s="14"/>
      <c r="AG3046" s="35"/>
    </row>
    <row r="3047" spans="2:33">
      <c r="B3047" s="19"/>
      <c r="P3047" s="16"/>
      <c r="Q3047" s="36" t="s">
        <v>1384</v>
      </c>
      <c r="R3047" s="13">
        <v>106</v>
      </c>
      <c r="S3047" s="13">
        <v>97</v>
      </c>
      <c r="T3047" s="13">
        <v>164</v>
      </c>
      <c r="U3047" s="13">
        <v>0</v>
      </c>
      <c r="V3047" s="13">
        <v>0</v>
      </c>
      <c r="W3047" s="37">
        <v>0</v>
      </c>
      <c r="X3047" s="19"/>
      <c r="AG3047" s="16"/>
    </row>
    <row r="3048" spans="2:33" ht="15" thickBot="1">
      <c r="B3048" s="20"/>
      <c r="C3048" s="15"/>
      <c r="D3048" s="15"/>
      <c r="E3048" s="15"/>
      <c r="F3048" s="15"/>
      <c r="G3048" s="15"/>
      <c r="H3048" s="15"/>
      <c r="I3048" s="15"/>
      <c r="J3048" s="15"/>
      <c r="K3048" s="15"/>
      <c r="L3048" s="15"/>
      <c r="M3048" s="15"/>
      <c r="N3048" s="15"/>
      <c r="O3048" s="15"/>
      <c r="P3048" s="17"/>
      <c r="Q3048" s="36" t="s">
        <v>1385</v>
      </c>
      <c r="R3048" s="13">
        <v>112</v>
      </c>
      <c r="S3048" s="13">
        <v>103</v>
      </c>
      <c r="T3048" s="13">
        <v>174</v>
      </c>
      <c r="U3048" s="13">
        <v>0</v>
      </c>
      <c r="V3048" s="13">
        <v>0</v>
      </c>
      <c r="W3048" s="37">
        <v>0</v>
      </c>
      <c r="X3048" s="20"/>
      <c r="Y3048" s="15"/>
      <c r="Z3048" s="15"/>
      <c r="AA3048" s="15"/>
      <c r="AB3048" s="15"/>
      <c r="AC3048" s="15"/>
      <c r="AD3048" s="15"/>
      <c r="AE3048" s="15"/>
      <c r="AF3048" s="15"/>
      <c r="AG3048" s="17"/>
    </row>
    <row r="3049" spans="2:33" ht="15" thickBot="1"/>
    <row r="3050" spans="2:33" ht="15" thickBot="1">
      <c r="B3050" s="33" t="s">
        <v>2188</v>
      </c>
      <c r="C3050" s="26" t="s">
        <v>1198</v>
      </c>
      <c r="D3050" s="26" t="s">
        <v>1386</v>
      </c>
      <c r="E3050" s="26" t="s">
        <v>1387</v>
      </c>
      <c r="F3050" s="26" t="s">
        <v>126</v>
      </c>
      <c r="G3050" s="26" t="s">
        <v>33</v>
      </c>
      <c r="H3050" s="27" t="s">
        <v>33</v>
      </c>
      <c r="I3050" s="26" t="s">
        <v>1388</v>
      </c>
      <c r="J3050" s="27" t="s">
        <v>56</v>
      </c>
      <c r="K3050" s="29">
        <v>5.5</v>
      </c>
      <c r="L3050" s="29">
        <v>5.5</v>
      </c>
      <c r="M3050" s="29">
        <v>5.5</v>
      </c>
      <c r="N3050" s="29">
        <v>0</v>
      </c>
      <c r="O3050" s="29">
        <v>0</v>
      </c>
      <c r="P3050" s="40">
        <v>0</v>
      </c>
      <c r="Q3050" s="1" t="s">
        <v>1382</v>
      </c>
      <c r="R3050" s="2">
        <v>52</v>
      </c>
      <c r="S3050" s="2">
        <v>47</v>
      </c>
      <c r="T3050" s="2">
        <v>80</v>
      </c>
      <c r="U3050" s="2">
        <v>0</v>
      </c>
      <c r="V3050" s="2">
        <v>0</v>
      </c>
      <c r="W3050" s="2">
        <v>0</v>
      </c>
      <c r="X3050" s="43">
        <f>SUM(R3050:W3055)</f>
        <v>1312</v>
      </c>
      <c r="Y3050" s="10">
        <v>46204</v>
      </c>
      <c r="Z3050" s="11">
        <v>0.23914913165546237</v>
      </c>
      <c r="AA3050" s="11">
        <v>0.16263468186376903</v>
      </c>
      <c r="AB3050" s="11">
        <v>0.13490905978116355</v>
      </c>
      <c r="AC3050" s="11"/>
      <c r="AD3050" s="11"/>
      <c r="AE3050" s="11"/>
      <c r="AF3050" s="11">
        <v>0.15</v>
      </c>
      <c r="AG3050" s="13">
        <v>0.23899999999999999</v>
      </c>
    </row>
    <row r="3051" spans="2:33">
      <c r="C3051" s="14"/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35"/>
      <c r="Q3051" s="36" t="s">
        <v>1389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37">
        <v>0</v>
      </c>
      <c r="X3051" s="18"/>
      <c r="Y3051" s="14"/>
      <c r="Z3051" s="14"/>
      <c r="AA3051" s="14"/>
      <c r="AB3051" s="14"/>
      <c r="AC3051" s="14"/>
      <c r="AD3051" s="14"/>
      <c r="AE3051" s="14"/>
      <c r="AF3051" s="14"/>
      <c r="AG3051" s="35"/>
    </row>
    <row r="3052" spans="2:33">
      <c r="B3052" s="19"/>
      <c r="P3052" s="16"/>
      <c r="Q3052" s="36" t="s">
        <v>1390</v>
      </c>
      <c r="R3052" s="13">
        <v>71</v>
      </c>
      <c r="S3052" s="13">
        <v>64</v>
      </c>
      <c r="T3052" s="13">
        <v>109</v>
      </c>
      <c r="U3052" s="13">
        <v>0</v>
      </c>
      <c r="V3052" s="13">
        <v>0</v>
      </c>
      <c r="W3052" s="37">
        <v>0</v>
      </c>
      <c r="X3052" s="19"/>
      <c r="AG3052" s="16"/>
    </row>
    <row r="3053" spans="2:33">
      <c r="B3053" s="19"/>
      <c r="P3053" s="16"/>
      <c r="Q3053" s="36" t="s">
        <v>1391</v>
      </c>
      <c r="R3053" s="13">
        <v>61</v>
      </c>
      <c r="S3053" s="13">
        <v>56</v>
      </c>
      <c r="T3053" s="13">
        <v>94</v>
      </c>
      <c r="U3053" s="13">
        <v>0</v>
      </c>
      <c r="V3053" s="13">
        <v>0</v>
      </c>
      <c r="W3053" s="37">
        <v>0</v>
      </c>
      <c r="X3053" s="19"/>
      <c r="AG3053" s="16"/>
    </row>
    <row r="3054" spans="2:33">
      <c r="B3054" s="19"/>
      <c r="P3054" s="16"/>
      <c r="Q3054" s="36" t="s">
        <v>1392</v>
      </c>
      <c r="R3054" s="13">
        <v>125</v>
      </c>
      <c r="S3054" s="13">
        <v>114</v>
      </c>
      <c r="T3054" s="13">
        <v>193</v>
      </c>
      <c r="U3054" s="13">
        <v>0</v>
      </c>
      <c r="V3054" s="13">
        <v>0</v>
      </c>
      <c r="W3054" s="37">
        <v>0</v>
      </c>
      <c r="X3054" s="19"/>
      <c r="AG3054" s="16"/>
    </row>
    <row r="3055" spans="2:33" ht="15" thickBot="1">
      <c r="B3055" s="20"/>
      <c r="C3055" s="15"/>
      <c r="D3055" s="15"/>
      <c r="E3055" s="15"/>
      <c r="F3055" s="15"/>
      <c r="G3055" s="15"/>
      <c r="H3055" s="15"/>
      <c r="I3055" s="15"/>
      <c r="J3055" s="15"/>
      <c r="K3055" s="15"/>
      <c r="L3055" s="15"/>
      <c r="M3055" s="15"/>
      <c r="N3055" s="15"/>
      <c r="O3055" s="15"/>
      <c r="P3055" s="17"/>
      <c r="Q3055" s="36" t="s">
        <v>1393</v>
      </c>
      <c r="R3055" s="13">
        <v>71</v>
      </c>
      <c r="S3055" s="13">
        <v>65</v>
      </c>
      <c r="T3055" s="13">
        <v>110</v>
      </c>
      <c r="U3055" s="13">
        <v>0</v>
      </c>
      <c r="V3055" s="13">
        <v>0</v>
      </c>
      <c r="W3055" s="37">
        <v>0</v>
      </c>
      <c r="X3055" s="20"/>
      <c r="Y3055" s="15"/>
      <c r="Z3055" s="15"/>
      <c r="AA3055" s="15"/>
      <c r="AB3055" s="15"/>
      <c r="AC3055" s="15"/>
      <c r="AD3055" s="15"/>
      <c r="AE3055" s="15"/>
      <c r="AF3055" s="15"/>
      <c r="AG3055" s="17"/>
    </row>
    <row r="3057" spans="2:33" ht="15" thickBot="1">
      <c r="B3057" s="25" t="s">
        <v>1394</v>
      </c>
      <c r="C3057" s="26" t="s">
        <v>1395</v>
      </c>
      <c r="D3057" s="26" t="s">
        <v>1396</v>
      </c>
      <c r="E3057" s="26" t="s">
        <v>1397</v>
      </c>
      <c r="F3057" s="26" t="s">
        <v>1398</v>
      </c>
      <c r="G3057" s="26" t="s">
        <v>1399</v>
      </c>
      <c r="H3057" s="27" t="s">
        <v>33</v>
      </c>
      <c r="I3057" s="26" t="s">
        <v>1400</v>
      </c>
      <c r="J3057" s="27" t="s">
        <v>34</v>
      </c>
      <c r="K3057" s="29">
        <v>740</v>
      </c>
      <c r="L3057" s="29">
        <v>780</v>
      </c>
      <c r="M3057" s="29">
        <v>780</v>
      </c>
      <c r="N3057" s="29">
        <v>780</v>
      </c>
      <c r="O3057" s="29">
        <v>780</v>
      </c>
      <c r="P3057" s="40">
        <v>780</v>
      </c>
      <c r="Q3057" s="1" t="s">
        <v>35</v>
      </c>
      <c r="R3057" s="2">
        <v>23642</v>
      </c>
      <c r="S3057" s="2">
        <v>16991</v>
      </c>
      <c r="T3057" s="2">
        <v>0</v>
      </c>
      <c r="U3057" s="2">
        <v>0</v>
      </c>
      <c r="V3057" s="2">
        <v>0</v>
      </c>
      <c r="W3057" s="2">
        <v>57088</v>
      </c>
      <c r="X3057" s="43">
        <f>SUM(R3057:W3070)</f>
        <v>2331125</v>
      </c>
      <c r="Y3057" s="10">
        <v>46204</v>
      </c>
      <c r="Z3057" s="11">
        <v>0.1896651496601798</v>
      </c>
      <c r="AA3057" s="11">
        <v>0.15857693149523983</v>
      </c>
      <c r="AB3057" s="11">
        <v>0.13134427528372689</v>
      </c>
      <c r="AC3057" s="11">
        <v>0.11734302060917184</v>
      </c>
      <c r="AD3057" s="11">
        <v>0.10642886145562462</v>
      </c>
      <c r="AE3057" s="11">
        <v>0.12209959568021629</v>
      </c>
      <c r="AF3057" s="11">
        <v>0.3</v>
      </c>
      <c r="AG3057" s="11">
        <v>0.23899999999999999</v>
      </c>
    </row>
    <row r="3058" spans="2:33">
      <c r="B3058" s="18"/>
      <c r="C3058" s="14"/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35"/>
      <c r="Q3058" s="36" t="s">
        <v>1401</v>
      </c>
      <c r="R3058" s="13">
        <v>9739</v>
      </c>
      <c r="S3058" s="13">
        <v>7102</v>
      </c>
      <c r="T3058" s="13">
        <v>0</v>
      </c>
      <c r="U3058" s="13">
        <v>0</v>
      </c>
      <c r="V3058" s="13">
        <v>0</v>
      </c>
      <c r="W3058" s="37">
        <v>26482</v>
      </c>
      <c r="X3058" s="18"/>
      <c r="Y3058" s="14"/>
      <c r="Z3058" s="14"/>
      <c r="AA3058" s="14"/>
      <c r="AB3058" s="14"/>
      <c r="AC3058" s="14"/>
      <c r="AD3058" s="14"/>
      <c r="AE3058" s="14"/>
      <c r="AF3058" s="14"/>
      <c r="AG3058" s="35"/>
    </row>
    <row r="3059" spans="2:33">
      <c r="B3059" s="19"/>
      <c r="P3059" s="16"/>
      <c r="Q3059" s="36" t="s">
        <v>1402</v>
      </c>
      <c r="R3059" s="13">
        <v>15446</v>
      </c>
      <c r="S3059" s="13">
        <v>11404</v>
      </c>
      <c r="T3059" s="13">
        <v>0</v>
      </c>
      <c r="U3059" s="13">
        <v>0</v>
      </c>
      <c r="V3059" s="13">
        <v>0</v>
      </c>
      <c r="W3059" s="37">
        <v>31755</v>
      </c>
      <c r="X3059" s="19"/>
      <c r="AG3059" s="16"/>
    </row>
    <row r="3060" spans="2:33">
      <c r="B3060" s="19"/>
      <c r="P3060" s="16"/>
      <c r="Q3060" s="36" t="s">
        <v>1403</v>
      </c>
      <c r="R3060" s="13">
        <v>0</v>
      </c>
      <c r="S3060" s="13">
        <v>11753</v>
      </c>
      <c r="T3060" s="13">
        <v>8463</v>
      </c>
      <c r="U3060" s="13">
        <v>0</v>
      </c>
      <c r="V3060" s="13">
        <v>0</v>
      </c>
      <c r="W3060" s="37">
        <v>36604</v>
      </c>
      <c r="X3060" s="19"/>
      <c r="AG3060" s="16"/>
    </row>
    <row r="3061" spans="2:33">
      <c r="B3061" s="19"/>
      <c r="P3061" s="16"/>
      <c r="Q3061" s="36" t="s">
        <v>1006</v>
      </c>
      <c r="R3061" s="13">
        <v>0</v>
      </c>
      <c r="S3061" s="13">
        <v>15555</v>
      </c>
      <c r="T3061" s="13">
        <v>11489</v>
      </c>
      <c r="U3061" s="13">
        <v>0</v>
      </c>
      <c r="V3061" s="13">
        <v>0</v>
      </c>
      <c r="W3061" s="37">
        <v>42189</v>
      </c>
      <c r="X3061" s="19"/>
      <c r="AG3061" s="16"/>
    </row>
    <row r="3062" spans="2:33">
      <c r="B3062" s="19"/>
      <c r="P3062" s="16"/>
      <c r="Q3062" s="36" t="s">
        <v>38</v>
      </c>
      <c r="R3062" s="13">
        <v>0</v>
      </c>
      <c r="S3062" s="13">
        <v>0</v>
      </c>
      <c r="T3062" s="13">
        <v>0</v>
      </c>
      <c r="U3062" s="13">
        <v>50095</v>
      </c>
      <c r="V3062" s="13">
        <v>38741</v>
      </c>
      <c r="W3062" s="37">
        <v>103306</v>
      </c>
      <c r="X3062" s="19"/>
      <c r="AG3062" s="16"/>
    </row>
    <row r="3063" spans="2:33">
      <c r="B3063" s="19"/>
      <c r="P3063" s="16"/>
      <c r="Q3063" s="36" t="s">
        <v>39</v>
      </c>
      <c r="R3063" s="13">
        <v>0</v>
      </c>
      <c r="S3063" s="13">
        <v>0</v>
      </c>
      <c r="T3063" s="13">
        <v>0</v>
      </c>
      <c r="U3063" s="13">
        <v>37870</v>
      </c>
      <c r="V3063" s="13">
        <v>29763</v>
      </c>
      <c r="W3063" s="37">
        <v>99354</v>
      </c>
      <c r="X3063" s="19"/>
      <c r="AG3063" s="16"/>
    </row>
    <row r="3064" spans="2:33">
      <c r="B3064" s="19"/>
      <c r="P3064" s="16"/>
      <c r="Q3064" s="36" t="s">
        <v>40</v>
      </c>
      <c r="R3064" s="13">
        <v>0</v>
      </c>
      <c r="S3064" s="13">
        <v>0</v>
      </c>
      <c r="T3064" s="13">
        <v>63497</v>
      </c>
      <c r="U3064" s="13">
        <v>50465</v>
      </c>
      <c r="V3064" s="13">
        <v>0</v>
      </c>
      <c r="W3064" s="37">
        <v>121768</v>
      </c>
      <c r="X3064" s="19"/>
      <c r="AG3064" s="16"/>
    </row>
    <row r="3065" spans="2:33">
      <c r="B3065" s="19"/>
      <c r="P3065" s="16"/>
      <c r="Q3065" s="36" t="s">
        <v>41</v>
      </c>
      <c r="R3065" s="13">
        <v>113709</v>
      </c>
      <c r="S3065" s="13">
        <v>94110</v>
      </c>
      <c r="T3065" s="13">
        <v>0</v>
      </c>
      <c r="U3065" s="13">
        <v>0</v>
      </c>
      <c r="V3065" s="13">
        <v>0</v>
      </c>
      <c r="W3065" s="37">
        <v>141011</v>
      </c>
      <c r="X3065" s="19"/>
      <c r="AG3065" s="16"/>
    </row>
    <row r="3066" spans="2:33">
      <c r="B3066" s="19"/>
      <c r="P3066" s="16"/>
      <c r="Q3066" s="36" t="s">
        <v>42</v>
      </c>
      <c r="R3066" s="13">
        <v>0</v>
      </c>
      <c r="S3066" s="13">
        <v>0</v>
      </c>
      <c r="T3066" s="13">
        <v>107818</v>
      </c>
      <c r="U3066" s="13">
        <v>87693</v>
      </c>
      <c r="V3066" s="13">
        <v>0</v>
      </c>
      <c r="W3066" s="37">
        <v>193456</v>
      </c>
      <c r="X3066" s="19"/>
      <c r="AG3066" s="16"/>
    </row>
    <row r="3067" spans="2:33">
      <c r="B3067" s="19"/>
      <c r="P3067" s="16"/>
      <c r="Q3067" s="36" t="s">
        <v>43</v>
      </c>
      <c r="R3067" s="13">
        <v>0</v>
      </c>
      <c r="S3067" s="13">
        <v>0</v>
      </c>
      <c r="T3067" s="13">
        <v>57902</v>
      </c>
      <c r="U3067" s="13">
        <v>44364</v>
      </c>
      <c r="V3067" s="13">
        <v>0</v>
      </c>
      <c r="W3067" s="37">
        <v>98818</v>
      </c>
      <c r="X3067" s="19"/>
      <c r="AG3067" s="16"/>
    </row>
    <row r="3068" spans="2:33">
      <c r="B3068" s="19"/>
      <c r="P3068" s="16"/>
      <c r="Q3068" s="36" t="s">
        <v>44</v>
      </c>
      <c r="R3068" s="13">
        <v>0</v>
      </c>
      <c r="S3068" s="13">
        <v>0</v>
      </c>
      <c r="T3068" s="13">
        <v>0</v>
      </c>
      <c r="U3068" s="13">
        <v>40468</v>
      </c>
      <c r="V3068" s="13">
        <v>31208</v>
      </c>
      <c r="W3068" s="37">
        <v>77025</v>
      </c>
      <c r="X3068" s="19"/>
      <c r="AG3068" s="16"/>
    </row>
    <row r="3069" spans="2:33">
      <c r="B3069" s="19"/>
      <c r="P3069" s="16"/>
      <c r="Q3069" s="36" t="s">
        <v>45</v>
      </c>
      <c r="R3069" s="13">
        <v>0</v>
      </c>
      <c r="S3069" s="13">
        <v>29760</v>
      </c>
      <c r="T3069" s="13">
        <v>21967</v>
      </c>
      <c r="U3069" s="13">
        <v>0</v>
      </c>
      <c r="V3069" s="13">
        <v>0</v>
      </c>
      <c r="W3069" s="37">
        <v>102726</v>
      </c>
      <c r="X3069" s="19"/>
      <c r="AG3069" s="16"/>
    </row>
    <row r="3070" spans="2:33" ht="15" thickBot="1">
      <c r="B3070" s="20"/>
      <c r="C3070" s="15"/>
      <c r="D3070" s="15"/>
      <c r="E3070" s="15"/>
      <c r="F3070" s="15"/>
      <c r="G3070" s="15"/>
      <c r="H3070" s="15"/>
      <c r="I3070" s="15"/>
      <c r="J3070" s="15"/>
      <c r="K3070" s="15"/>
      <c r="L3070" s="15"/>
      <c r="M3070" s="15"/>
      <c r="N3070" s="15"/>
      <c r="O3070" s="15"/>
      <c r="P3070" s="17"/>
      <c r="Q3070" s="36" t="s">
        <v>46</v>
      </c>
      <c r="R3070" s="13">
        <v>39329</v>
      </c>
      <c r="S3070" s="13">
        <v>29566</v>
      </c>
      <c r="T3070" s="13">
        <v>0</v>
      </c>
      <c r="U3070" s="13">
        <v>0</v>
      </c>
      <c r="V3070" s="13">
        <v>0</v>
      </c>
      <c r="W3070" s="37">
        <v>99634</v>
      </c>
      <c r="X3070" s="20"/>
      <c r="Y3070" s="15"/>
      <c r="Z3070" s="15"/>
      <c r="AA3070" s="15"/>
      <c r="AB3070" s="15"/>
      <c r="AC3070" s="15"/>
      <c r="AD3070" s="15"/>
      <c r="AE3070" s="15"/>
      <c r="AF3070" s="15"/>
      <c r="AG3070" s="17"/>
    </row>
    <row r="3071" spans="2:33" ht="15" thickBot="1"/>
    <row r="3072" spans="2:33" ht="15" thickBot="1">
      <c r="B3072" s="53" t="s">
        <v>2189</v>
      </c>
      <c r="C3072" s="26" t="s">
        <v>1404</v>
      </c>
      <c r="D3072" s="26" t="s">
        <v>1405</v>
      </c>
      <c r="E3072" s="26" t="s">
        <v>1406</v>
      </c>
      <c r="F3072" s="26" t="s">
        <v>1407</v>
      </c>
      <c r="G3072" s="26" t="s">
        <v>33</v>
      </c>
      <c r="H3072" s="27" t="s">
        <v>33</v>
      </c>
      <c r="I3072" s="26" t="s">
        <v>1408</v>
      </c>
      <c r="J3072" s="27" t="s">
        <v>56</v>
      </c>
      <c r="K3072" s="29">
        <v>6.5999999046325701</v>
      </c>
      <c r="L3072" s="29">
        <v>6.5999999046325701</v>
      </c>
      <c r="M3072" s="29">
        <v>6.5999999046325701</v>
      </c>
      <c r="N3072" s="29" t="s">
        <v>96</v>
      </c>
      <c r="O3072" s="29" t="s">
        <v>96</v>
      </c>
      <c r="P3072" s="40" t="s">
        <v>96</v>
      </c>
      <c r="Q3072" s="1" t="s">
        <v>1409</v>
      </c>
      <c r="R3072" s="2">
        <v>71</v>
      </c>
      <c r="S3072" s="2">
        <v>70</v>
      </c>
      <c r="T3072" s="2">
        <v>123</v>
      </c>
      <c r="U3072" s="2">
        <v>0</v>
      </c>
      <c r="V3072" s="2">
        <v>0</v>
      </c>
      <c r="W3072" s="2">
        <v>0</v>
      </c>
      <c r="X3072" s="43">
        <f>SUM(R3072:W3083)</f>
        <v>2070</v>
      </c>
      <c r="Y3072" s="10">
        <v>46204</v>
      </c>
      <c r="Z3072" s="11">
        <v>0.23982933470114767</v>
      </c>
      <c r="AA3072" s="11">
        <v>0.16331488490945434</v>
      </c>
      <c r="AB3072" s="11">
        <v>0.13558926282684883</v>
      </c>
      <c r="AC3072" s="11"/>
      <c r="AD3072" s="11"/>
      <c r="AE3072" s="11"/>
      <c r="AF3072" s="11">
        <v>0.8</v>
      </c>
      <c r="AG3072" s="11">
        <v>0.23899999999999999</v>
      </c>
    </row>
    <row r="3073" spans="2:33">
      <c r="C3073" s="14"/>
      <c r="D3073" s="14"/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35"/>
      <c r="Q3073" s="36" t="s">
        <v>1410</v>
      </c>
      <c r="R3073" s="13">
        <v>63</v>
      </c>
      <c r="S3073" s="13">
        <v>70</v>
      </c>
      <c r="T3073" s="13">
        <v>87</v>
      </c>
      <c r="U3073" s="13">
        <v>0</v>
      </c>
      <c r="V3073" s="13">
        <v>0</v>
      </c>
      <c r="W3073" s="37">
        <v>0</v>
      </c>
      <c r="X3073" s="18"/>
      <c r="Y3073" s="14"/>
      <c r="Z3073" s="14"/>
      <c r="AA3073" s="14"/>
      <c r="AB3073" s="14"/>
      <c r="AC3073" s="14"/>
      <c r="AD3073" s="14"/>
      <c r="AE3073" s="14"/>
      <c r="AF3073" s="14"/>
      <c r="AG3073" s="35"/>
    </row>
    <row r="3074" spans="2:33">
      <c r="B3074" s="52"/>
      <c r="P3074" s="16"/>
      <c r="Q3074" s="36" t="s">
        <v>1411</v>
      </c>
      <c r="R3074" s="13">
        <v>45</v>
      </c>
      <c r="S3074" s="13">
        <v>58</v>
      </c>
      <c r="T3074" s="13">
        <v>70</v>
      </c>
      <c r="U3074" s="13">
        <v>0</v>
      </c>
      <c r="V3074" s="13">
        <v>0</v>
      </c>
      <c r="W3074" s="37">
        <v>0</v>
      </c>
      <c r="X3074" s="19"/>
      <c r="AG3074" s="16"/>
    </row>
    <row r="3075" spans="2:33">
      <c r="B3075" s="19"/>
      <c r="P3075" s="16"/>
      <c r="Q3075" s="36" t="s">
        <v>1412</v>
      </c>
      <c r="R3075" s="13">
        <v>50</v>
      </c>
      <c r="S3075" s="13">
        <v>58</v>
      </c>
      <c r="T3075" s="13">
        <v>59</v>
      </c>
      <c r="U3075" s="13">
        <v>0</v>
      </c>
      <c r="V3075" s="13">
        <v>0</v>
      </c>
      <c r="W3075" s="37">
        <v>0</v>
      </c>
      <c r="X3075" s="19"/>
      <c r="AG3075" s="16"/>
    </row>
    <row r="3076" spans="2:33">
      <c r="B3076" s="19"/>
      <c r="P3076" s="16"/>
      <c r="Q3076" s="36" t="s">
        <v>1413</v>
      </c>
      <c r="R3076" s="13">
        <v>38</v>
      </c>
      <c r="S3076" s="13">
        <v>47</v>
      </c>
      <c r="T3076" s="13">
        <v>52</v>
      </c>
      <c r="U3076" s="13">
        <v>0</v>
      </c>
      <c r="V3076" s="13">
        <v>0</v>
      </c>
      <c r="W3076" s="37">
        <v>0</v>
      </c>
      <c r="X3076" s="19"/>
      <c r="AG3076" s="16"/>
    </row>
    <row r="3077" spans="2:33">
      <c r="B3077" s="19"/>
      <c r="P3077" s="16"/>
      <c r="Q3077" s="36" t="s">
        <v>1414</v>
      </c>
      <c r="R3077" s="13">
        <v>47</v>
      </c>
      <c r="S3077" s="13">
        <v>54</v>
      </c>
      <c r="T3077" s="13">
        <v>63</v>
      </c>
      <c r="U3077" s="13">
        <v>0</v>
      </c>
      <c r="V3077" s="13">
        <v>0</v>
      </c>
      <c r="W3077" s="37">
        <v>0</v>
      </c>
      <c r="X3077" s="19"/>
      <c r="AG3077" s="16"/>
    </row>
    <row r="3078" spans="2:33">
      <c r="B3078" s="19"/>
      <c r="P3078" s="16"/>
      <c r="Q3078" s="36" t="s">
        <v>1415</v>
      </c>
      <c r="R3078" s="13">
        <v>48</v>
      </c>
      <c r="S3078" s="13">
        <v>75</v>
      </c>
      <c r="T3078" s="13">
        <v>36</v>
      </c>
      <c r="U3078" s="13">
        <v>0</v>
      </c>
      <c r="V3078" s="13">
        <v>0</v>
      </c>
      <c r="W3078" s="37">
        <v>0</v>
      </c>
      <c r="X3078" s="19"/>
      <c r="AG3078" s="16"/>
    </row>
    <row r="3079" spans="2:33">
      <c r="B3079" s="19"/>
      <c r="P3079" s="16"/>
      <c r="Q3079" s="36" t="s">
        <v>1416</v>
      </c>
      <c r="R3079" s="13">
        <v>28</v>
      </c>
      <c r="S3079" s="13">
        <v>35</v>
      </c>
      <c r="T3079" s="13">
        <v>90</v>
      </c>
      <c r="U3079" s="13">
        <v>0</v>
      </c>
      <c r="V3079" s="13">
        <v>0</v>
      </c>
      <c r="W3079" s="37">
        <v>0</v>
      </c>
      <c r="X3079" s="19"/>
      <c r="AG3079" s="16"/>
    </row>
    <row r="3080" spans="2:33">
      <c r="B3080" s="19"/>
      <c r="P3080" s="16"/>
      <c r="Q3080" s="36" t="s">
        <v>1417</v>
      </c>
      <c r="R3080" s="13">
        <v>39</v>
      </c>
      <c r="S3080" s="13">
        <v>40</v>
      </c>
      <c r="T3080" s="13">
        <v>48</v>
      </c>
      <c r="U3080" s="13">
        <v>0</v>
      </c>
      <c r="V3080" s="13">
        <v>0</v>
      </c>
      <c r="W3080" s="37">
        <v>0</v>
      </c>
      <c r="X3080" s="19"/>
      <c r="AG3080" s="16"/>
    </row>
    <row r="3081" spans="2:33">
      <c r="B3081" s="19"/>
      <c r="P3081" s="16"/>
      <c r="Q3081" s="36" t="s">
        <v>1418</v>
      </c>
      <c r="R3081" s="13">
        <v>46</v>
      </c>
      <c r="S3081" s="13">
        <v>52</v>
      </c>
      <c r="T3081" s="13">
        <v>56</v>
      </c>
      <c r="U3081" s="13">
        <v>0</v>
      </c>
      <c r="V3081" s="13">
        <v>0</v>
      </c>
      <c r="W3081" s="37">
        <v>0</v>
      </c>
      <c r="X3081" s="19"/>
      <c r="AG3081" s="16"/>
    </row>
    <row r="3082" spans="2:33">
      <c r="B3082" s="19"/>
      <c r="P3082" s="16"/>
      <c r="Q3082" s="36" t="s">
        <v>1419</v>
      </c>
      <c r="R3082" s="13">
        <v>52</v>
      </c>
      <c r="S3082" s="13">
        <v>61</v>
      </c>
      <c r="T3082" s="13">
        <v>76</v>
      </c>
      <c r="U3082" s="13">
        <v>0</v>
      </c>
      <c r="V3082" s="13">
        <v>0</v>
      </c>
      <c r="W3082" s="37">
        <v>0</v>
      </c>
      <c r="X3082" s="19"/>
      <c r="AG3082" s="16"/>
    </row>
    <row r="3083" spans="2:33" ht="15" thickBot="1">
      <c r="B3083" s="20"/>
      <c r="C3083" s="15"/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7"/>
      <c r="Q3083" s="36" t="s">
        <v>1420</v>
      </c>
      <c r="R3083" s="13">
        <v>46</v>
      </c>
      <c r="S3083" s="13">
        <v>46</v>
      </c>
      <c r="T3083" s="13">
        <v>71</v>
      </c>
      <c r="U3083" s="13">
        <v>0</v>
      </c>
      <c r="V3083" s="13">
        <v>0</v>
      </c>
      <c r="W3083" s="37">
        <v>0</v>
      </c>
      <c r="X3083" s="20"/>
      <c r="Y3083" s="15"/>
      <c r="Z3083" s="15"/>
      <c r="AA3083" s="15"/>
      <c r="AB3083" s="15"/>
      <c r="AC3083" s="15"/>
      <c r="AD3083" s="15"/>
      <c r="AE3083" s="15"/>
      <c r="AF3083" s="15"/>
      <c r="AG3083" s="17"/>
    </row>
    <row r="3084" spans="2:33" ht="15" thickBot="1"/>
    <row r="3085" spans="2:33" ht="15" thickBot="1">
      <c r="B3085" s="53" t="s">
        <v>2189</v>
      </c>
      <c r="C3085" s="26" t="s">
        <v>1421</v>
      </c>
      <c r="D3085" s="26" t="s">
        <v>1422</v>
      </c>
      <c r="E3085" s="26" t="s">
        <v>1423</v>
      </c>
      <c r="F3085" s="26" t="s">
        <v>1424</v>
      </c>
      <c r="G3085" s="26" t="s">
        <v>1425</v>
      </c>
      <c r="H3085" s="27" t="s">
        <v>33</v>
      </c>
      <c r="I3085" s="26" t="s">
        <v>1426</v>
      </c>
      <c r="J3085" s="27" t="s">
        <v>56</v>
      </c>
      <c r="K3085" s="29">
        <v>8</v>
      </c>
      <c r="L3085" s="29">
        <v>8</v>
      </c>
      <c r="M3085" s="29">
        <v>8</v>
      </c>
      <c r="N3085" s="29">
        <v>0</v>
      </c>
      <c r="O3085" s="29">
        <v>0</v>
      </c>
      <c r="P3085" s="40">
        <v>0</v>
      </c>
      <c r="Q3085" s="1" t="s">
        <v>1427</v>
      </c>
      <c r="R3085" s="2">
        <v>138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43">
        <f>SUM(R3085:W3097)</f>
        <v>7093</v>
      </c>
      <c r="Y3085" s="10">
        <v>46204</v>
      </c>
      <c r="Z3085" s="11">
        <v>0.23982933470114767</v>
      </c>
      <c r="AA3085" s="11">
        <v>0.16331488490945434</v>
      </c>
      <c r="AB3085" s="11">
        <v>0.13558926282684883</v>
      </c>
      <c r="AC3085" s="11"/>
      <c r="AD3085" s="11"/>
      <c r="AE3085" s="11"/>
      <c r="AF3085" s="11">
        <v>0.8</v>
      </c>
      <c r="AG3085" s="11">
        <v>0.23899999999999999</v>
      </c>
    </row>
    <row r="3086" spans="2:33">
      <c r="C3086" s="14"/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35"/>
      <c r="Q3086" s="36" t="s">
        <v>1428</v>
      </c>
      <c r="R3086" s="13">
        <v>464</v>
      </c>
      <c r="S3086" s="13">
        <v>0</v>
      </c>
      <c r="T3086" s="13">
        <v>0</v>
      </c>
      <c r="U3086" s="13">
        <v>0</v>
      </c>
      <c r="V3086" s="13">
        <v>0</v>
      </c>
      <c r="W3086" s="37">
        <v>0</v>
      </c>
      <c r="X3086" s="18"/>
      <c r="Y3086" s="14"/>
      <c r="Z3086" s="14"/>
      <c r="AA3086" s="14"/>
      <c r="AB3086" s="14"/>
      <c r="AC3086" s="14"/>
      <c r="AD3086" s="14"/>
      <c r="AE3086" s="14"/>
      <c r="AF3086" s="14"/>
      <c r="AG3086" s="35"/>
    </row>
    <row r="3087" spans="2:33">
      <c r="B3087" s="19"/>
      <c r="P3087" s="16"/>
      <c r="Q3087" s="36" t="s">
        <v>76</v>
      </c>
      <c r="R3087" s="13">
        <v>167</v>
      </c>
      <c r="S3087" s="13">
        <v>0</v>
      </c>
      <c r="T3087" s="13">
        <v>0</v>
      </c>
      <c r="U3087" s="13">
        <v>0</v>
      </c>
      <c r="V3087" s="13">
        <v>0</v>
      </c>
      <c r="W3087" s="37">
        <v>0</v>
      </c>
      <c r="X3087" s="19"/>
      <c r="AG3087" s="16"/>
    </row>
    <row r="3088" spans="2:33">
      <c r="B3088" s="19"/>
      <c r="P3088" s="16"/>
      <c r="Q3088" s="36" t="s">
        <v>77</v>
      </c>
      <c r="R3088" s="13">
        <v>604</v>
      </c>
      <c r="S3088" s="13">
        <v>0</v>
      </c>
      <c r="T3088" s="13">
        <v>0</v>
      </c>
      <c r="U3088" s="13">
        <v>0</v>
      </c>
      <c r="V3088" s="13">
        <v>0</v>
      </c>
      <c r="W3088" s="37">
        <v>0</v>
      </c>
      <c r="X3088" s="19"/>
      <c r="AG3088" s="16"/>
    </row>
    <row r="3089" spans="2:33">
      <c r="B3089" s="19"/>
      <c r="P3089" s="16"/>
      <c r="Q3089" s="36" t="s">
        <v>1429</v>
      </c>
      <c r="R3089" s="13">
        <v>119</v>
      </c>
      <c r="S3089" s="13">
        <v>0</v>
      </c>
      <c r="T3089" s="13">
        <v>0</v>
      </c>
      <c r="U3089" s="13">
        <v>0</v>
      </c>
      <c r="V3089" s="13">
        <v>0</v>
      </c>
      <c r="W3089" s="37">
        <v>0</v>
      </c>
      <c r="X3089" s="19"/>
      <c r="AG3089" s="16"/>
    </row>
    <row r="3090" spans="2:33">
      <c r="B3090" s="19"/>
      <c r="P3090" s="16"/>
      <c r="Q3090" s="36" t="s">
        <v>1430</v>
      </c>
      <c r="R3090" s="13">
        <v>369</v>
      </c>
      <c r="S3090" s="13">
        <v>0</v>
      </c>
      <c r="T3090" s="13">
        <v>0</v>
      </c>
      <c r="U3090" s="13">
        <v>0</v>
      </c>
      <c r="V3090" s="13">
        <v>0</v>
      </c>
      <c r="W3090" s="37">
        <v>0</v>
      </c>
      <c r="X3090" s="19"/>
      <c r="AG3090" s="16"/>
    </row>
    <row r="3091" spans="2:33">
      <c r="B3091" s="19"/>
      <c r="P3091" s="16"/>
      <c r="Q3091" s="36" t="s">
        <v>1431</v>
      </c>
      <c r="R3091" s="13">
        <v>903</v>
      </c>
      <c r="S3091" s="13">
        <v>0</v>
      </c>
      <c r="T3091" s="13">
        <v>0</v>
      </c>
      <c r="U3091" s="13">
        <v>0</v>
      </c>
      <c r="V3091" s="13">
        <v>0</v>
      </c>
      <c r="W3091" s="37">
        <v>0</v>
      </c>
      <c r="X3091" s="19"/>
      <c r="AG3091" s="16"/>
    </row>
    <row r="3092" spans="2:33">
      <c r="B3092" s="19"/>
      <c r="P3092" s="16"/>
      <c r="Q3092" s="36" t="s">
        <v>1432</v>
      </c>
      <c r="R3092" s="13">
        <v>1048</v>
      </c>
      <c r="S3092" s="13">
        <v>0</v>
      </c>
      <c r="T3092" s="13">
        <v>0</v>
      </c>
      <c r="U3092" s="13">
        <v>0</v>
      </c>
      <c r="V3092" s="13">
        <v>0</v>
      </c>
      <c r="W3092" s="37">
        <v>0</v>
      </c>
      <c r="X3092" s="19"/>
      <c r="AG3092" s="16"/>
    </row>
    <row r="3093" spans="2:33">
      <c r="B3093" s="19"/>
      <c r="P3093" s="16"/>
      <c r="Q3093" s="36" t="s">
        <v>78</v>
      </c>
      <c r="R3093" s="13">
        <v>500</v>
      </c>
      <c r="S3093" s="13">
        <v>0</v>
      </c>
      <c r="T3093" s="13">
        <v>0</v>
      </c>
      <c r="U3093" s="13">
        <v>0</v>
      </c>
      <c r="V3093" s="13">
        <v>0</v>
      </c>
      <c r="W3093" s="37">
        <v>0</v>
      </c>
      <c r="X3093" s="19"/>
      <c r="AG3093" s="16"/>
    </row>
    <row r="3094" spans="2:33">
      <c r="B3094" s="19"/>
      <c r="P3094" s="16"/>
      <c r="Q3094" s="36" t="s">
        <v>1433</v>
      </c>
      <c r="R3094" s="13">
        <v>325</v>
      </c>
      <c r="S3094" s="13">
        <v>0</v>
      </c>
      <c r="T3094" s="13">
        <v>0</v>
      </c>
      <c r="U3094" s="13">
        <v>0</v>
      </c>
      <c r="V3094" s="13">
        <v>0</v>
      </c>
      <c r="W3094" s="37">
        <v>0</v>
      </c>
      <c r="X3094" s="19"/>
      <c r="AG3094" s="16"/>
    </row>
    <row r="3095" spans="2:33">
      <c r="B3095" s="19"/>
      <c r="P3095" s="16"/>
      <c r="Q3095" s="36" t="s">
        <v>1434</v>
      </c>
      <c r="R3095" s="13">
        <v>527</v>
      </c>
      <c r="S3095" s="13">
        <v>0</v>
      </c>
      <c r="T3095" s="13">
        <v>0</v>
      </c>
      <c r="U3095" s="13">
        <v>0</v>
      </c>
      <c r="V3095" s="13">
        <v>0</v>
      </c>
      <c r="W3095" s="37">
        <v>0</v>
      </c>
      <c r="X3095" s="19"/>
      <c r="AG3095" s="16"/>
    </row>
    <row r="3096" spans="2:33">
      <c r="B3096" s="19"/>
      <c r="P3096" s="16"/>
      <c r="Q3096" s="36" t="s">
        <v>79</v>
      </c>
      <c r="R3096" s="13">
        <v>947</v>
      </c>
      <c r="S3096" s="13">
        <v>0</v>
      </c>
      <c r="T3096" s="13">
        <v>0</v>
      </c>
      <c r="U3096" s="13">
        <v>0</v>
      </c>
      <c r="V3096" s="13">
        <v>0</v>
      </c>
      <c r="W3096" s="37">
        <v>0</v>
      </c>
      <c r="X3096" s="19"/>
      <c r="AG3096" s="16"/>
    </row>
    <row r="3097" spans="2:33" ht="15" thickBot="1">
      <c r="B3097" s="20"/>
      <c r="C3097" s="15"/>
      <c r="D3097" s="15"/>
      <c r="E3097" s="15"/>
      <c r="F3097" s="15"/>
      <c r="G3097" s="15"/>
      <c r="H3097" s="15"/>
      <c r="I3097" s="15"/>
      <c r="J3097" s="15"/>
      <c r="K3097" s="15"/>
      <c r="L3097" s="15"/>
      <c r="M3097" s="15"/>
      <c r="N3097" s="15"/>
      <c r="O3097" s="15"/>
      <c r="P3097" s="17"/>
      <c r="Q3097" s="36" t="s">
        <v>1435</v>
      </c>
      <c r="R3097" s="13">
        <v>982</v>
      </c>
      <c r="S3097" s="13">
        <v>0</v>
      </c>
      <c r="T3097" s="13">
        <v>0</v>
      </c>
      <c r="U3097" s="13">
        <v>0</v>
      </c>
      <c r="V3097" s="13">
        <v>0</v>
      </c>
      <c r="W3097" s="37">
        <v>0</v>
      </c>
      <c r="X3097" s="20"/>
      <c r="Y3097" s="15"/>
      <c r="Z3097" s="15"/>
      <c r="AA3097" s="15"/>
      <c r="AB3097" s="15"/>
      <c r="AC3097" s="15"/>
      <c r="AD3097" s="15"/>
      <c r="AE3097" s="15"/>
      <c r="AF3097" s="15"/>
      <c r="AG3097" s="17"/>
    </row>
    <row r="3099" spans="2:33" ht="15" thickBot="1">
      <c r="B3099" s="25" t="s">
        <v>1436</v>
      </c>
      <c r="C3099" s="26" t="s">
        <v>1437</v>
      </c>
      <c r="D3099" s="26" t="s">
        <v>1438</v>
      </c>
      <c r="E3099" s="26" t="s">
        <v>1439</v>
      </c>
      <c r="F3099" s="26" t="s">
        <v>32</v>
      </c>
      <c r="G3099" s="26" t="s">
        <v>33</v>
      </c>
      <c r="H3099" s="27" t="s">
        <v>33</v>
      </c>
      <c r="I3099" s="26" t="s">
        <v>1440</v>
      </c>
      <c r="J3099" s="27" t="s">
        <v>87</v>
      </c>
      <c r="K3099" s="29">
        <v>110</v>
      </c>
      <c r="L3099" s="29">
        <v>110</v>
      </c>
      <c r="M3099" s="29">
        <v>110</v>
      </c>
      <c r="N3099" s="29">
        <v>110</v>
      </c>
      <c r="O3099" s="29">
        <v>110</v>
      </c>
      <c r="P3099" s="40">
        <v>122.5</v>
      </c>
      <c r="Q3099" s="1" t="s">
        <v>35</v>
      </c>
      <c r="R3099" s="2">
        <v>4268</v>
      </c>
      <c r="S3099" s="2">
        <v>2888</v>
      </c>
      <c r="T3099" s="2">
        <v>0</v>
      </c>
      <c r="U3099" s="2">
        <v>0</v>
      </c>
      <c r="V3099" s="2">
        <v>0</v>
      </c>
      <c r="W3099" s="2">
        <v>3749</v>
      </c>
      <c r="X3099" s="43">
        <f>SUM(R3099:W3108)</f>
        <v>108412</v>
      </c>
      <c r="Y3099" s="10">
        <v>46204</v>
      </c>
      <c r="Z3099" s="11">
        <v>0.2195578337137056</v>
      </c>
      <c r="AA3099" s="11">
        <v>0.18314801174219128</v>
      </c>
      <c r="AB3099" s="11">
        <v>0.14767396744221339</v>
      </c>
      <c r="AC3099" s="11">
        <v>0.12915585942218899</v>
      </c>
      <c r="AD3099" s="11">
        <v>0.11488429483326773</v>
      </c>
      <c r="AE3099" s="11">
        <v>0.13190389226847321</v>
      </c>
      <c r="AF3099" s="11">
        <v>0.7</v>
      </c>
      <c r="AG3099" s="11">
        <v>0.23899999999999999</v>
      </c>
    </row>
    <row r="3100" spans="2:33">
      <c r="B3100" s="18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35"/>
      <c r="Q3100" s="36" t="s">
        <v>36</v>
      </c>
      <c r="R3100" s="13">
        <v>4624</v>
      </c>
      <c r="S3100" s="13">
        <v>3012</v>
      </c>
      <c r="T3100" s="13">
        <v>0</v>
      </c>
      <c r="U3100" s="13">
        <v>0</v>
      </c>
      <c r="V3100" s="13">
        <v>0</v>
      </c>
      <c r="W3100" s="37">
        <v>3968</v>
      </c>
      <c r="X3100" s="18"/>
      <c r="Y3100" s="14"/>
      <c r="Z3100" s="14"/>
      <c r="AA3100" s="14"/>
      <c r="AB3100" s="14"/>
      <c r="AC3100" s="14"/>
      <c r="AD3100" s="14"/>
      <c r="AE3100" s="14"/>
      <c r="AF3100" s="14"/>
      <c r="AG3100" s="35"/>
    </row>
    <row r="3101" spans="2:33">
      <c r="B3101" s="19"/>
      <c r="P3101" s="16"/>
      <c r="Q3101" s="36" t="s">
        <v>37</v>
      </c>
      <c r="R3101" s="13">
        <v>0</v>
      </c>
      <c r="S3101" s="13">
        <v>5287</v>
      </c>
      <c r="T3101" s="13">
        <v>3345</v>
      </c>
      <c r="U3101" s="13">
        <v>0</v>
      </c>
      <c r="V3101" s="13">
        <v>0</v>
      </c>
      <c r="W3101" s="37">
        <v>3746</v>
      </c>
      <c r="X3101" s="19"/>
      <c r="AG3101" s="16"/>
    </row>
    <row r="3102" spans="2:33">
      <c r="B3102" s="19"/>
      <c r="P3102" s="16"/>
      <c r="Q3102" s="36" t="s">
        <v>1441</v>
      </c>
      <c r="R3102" s="13">
        <v>0</v>
      </c>
      <c r="S3102" s="13">
        <v>0</v>
      </c>
      <c r="T3102" s="13">
        <v>0</v>
      </c>
      <c r="U3102" s="13">
        <v>1096</v>
      </c>
      <c r="V3102" s="13">
        <v>786</v>
      </c>
      <c r="W3102" s="37">
        <v>777</v>
      </c>
      <c r="X3102" s="19"/>
      <c r="AG3102" s="16"/>
    </row>
    <row r="3103" spans="2:33">
      <c r="B3103" s="19"/>
      <c r="P3103" s="16"/>
      <c r="Q3103" s="36" t="s">
        <v>1442</v>
      </c>
      <c r="R3103" s="13">
        <v>0</v>
      </c>
      <c r="S3103" s="13">
        <v>0</v>
      </c>
      <c r="T3103" s="13">
        <v>0</v>
      </c>
      <c r="U3103" s="13">
        <v>2469</v>
      </c>
      <c r="V3103" s="13">
        <v>1691</v>
      </c>
      <c r="W3103" s="37">
        <v>1917</v>
      </c>
      <c r="X3103" s="19"/>
      <c r="AG3103" s="16"/>
    </row>
    <row r="3104" spans="2:33">
      <c r="B3104" s="19"/>
      <c r="P3104" s="16"/>
      <c r="Q3104" s="36" t="s">
        <v>39</v>
      </c>
      <c r="R3104" s="13">
        <v>0</v>
      </c>
      <c r="S3104" s="13">
        <v>0</v>
      </c>
      <c r="T3104" s="13">
        <v>0</v>
      </c>
      <c r="U3104" s="13">
        <v>3440</v>
      </c>
      <c r="V3104" s="13">
        <v>2547</v>
      </c>
      <c r="W3104" s="37">
        <v>2216</v>
      </c>
      <c r="X3104" s="19"/>
      <c r="AG3104" s="16"/>
    </row>
    <row r="3105" spans="2:33">
      <c r="B3105" s="19"/>
      <c r="P3105" s="16"/>
      <c r="Q3105" s="36" t="s">
        <v>40</v>
      </c>
      <c r="R3105" s="13">
        <v>0</v>
      </c>
      <c r="S3105" s="13">
        <v>0</v>
      </c>
      <c r="T3105" s="13">
        <v>6572</v>
      </c>
      <c r="U3105" s="13">
        <v>4980</v>
      </c>
      <c r="V3105" s="13">
        <v>0</v>
      </c>
      <c r="W3105" s="37">
        <v>2820</v>
      </c>
      <c r="X3105" s="19"/>
      <c r="AG3105" s="16"/>
    </row>
    <row r="3106" spans="2:33">
      <c r="B3106" s="19"/>
      <c r="P3106" s="16"/>
      <c r="Q3106" s="36" t="s">
        <v>41</v>
      </c>
      <c r="R3106" s="13">
        <v>7872</v>
      </c>
      <c r="S3106" s="13">
        <v>5872</v>
      </c>
      <c r="T3106" s="13">
        <v>0</v>
      </c>
      <c r="U3106" s="13">
        <v>0</v>
      </c>
      <c r="V3106" s="13">
        <v>0</v>
      </c>
      <c r="W3106" s="37">
        <v>3451</v>
      </c>
      <c r="X3106" s="19"/>
      <c r="AG3106" s="16"/>
    </row>
    <row r="3107" spans="2:33">
      <c r="B3107" s="19"/>
      <c r="P3107" s="16"/>
      <c r="Q3107" s="36" t="s">
        <v>42</v>
      </c>
      <c r="R3107" s="13">
        <v>0</v>
      </c>
      <c r="S3107" s="13">
        <v>0</v>
      </c>
      <c r="T3107" s="13">
        <v>6221</v>
      </c>
      <c r="U3107" s="13">
        <v>5026</v>
      </c>
      <c r="V3107" s="13">
        <v>0</v>
      </c>
      <c r="W3107" s="37">
        <v>3376</v>
      </c>
      <c r="X3107" s="19"/>
      <c r="AG3107" s="16"/>
    </row>
    <row r="3108" spans="2:33" ht="15" thickBot="1">
      <c r="B3108" s="20"/>
      <c r="C3108" s="15"/>
      <c r="D3108" s="15"/>
      <c r="E3108" s="15"/>
      <c r="F3108" s="15"/>
      <c r="G3108" s="15"/>
      <c r="H3108" s="15"/>
      <c r="I3108" s="15"/>
      <c r="J3108" s="15"/>
      <c r="K3108" s="15"/>
      <c r="L3108" s="15"/>
      <c r="M3108" s="15"/>
      <c r="N3108" s="15"/>
      <c r="O3108" s="15"/>
      <c r="P3108" s="17"/>
      <c r="Q3108" s="36" t="s">
        <v>43</v>
      </c>
      <c r="R3108" s="13">
        <v>0</v>
      </c>
      <c r="S3108" s="13">
        <v>0</v>
      </c>
      <c r="T3108" s="13">
        <v>4673</v>
      </c>
      <c r="U3108" s="13">
        <v>3755</v>
      </c>
      <c r="V3108" s="13">
        <v>0</v>
      </c>
      <c r="W3108" s="37">
        <v>1968</v>
      </c>
      <c r="X3108" s="20"/>
      <c r="Y3108" s="15"/>
      <c r="Z3108" s="15"/>
      <c r="AA3108" s="15"/>
      <c r="AB3108" s="15"/>
      <c r="AC3108" s="15"/>
      <c r="AD3108" s="15"/>
      <c r="AE3108" s="15"/>
      <c r="AF3108" s="15"/>
      <c r="AG3108" s="17"/>
    </row>
    <row r="3110" spans="2:33" ht="15" thickBot="1">
      <c r="B3110" s="25" t="s">
        <v>1436</v>
      </c>
      <c r="C3110" s="26" t="s">
        <v>1437</v>
      </c>
      <c r="D3110" s="26" t="s">
        <v>1443</v>
      </c>
      <c r="E3110" s="26" t="s">
        <v>1444</v>
      </c>
      <c r="F3110" s="26" t="s">
        <v>1445</v>
      </c>
      <c r="G3110" s="26" t="s">
        <v>1446</v>
      </c>
      <c r="H3110" s="27" t="s">
        <v>108</v>
      </c>
      <c r="I3110" s="26" t="s">
        <v>1447</v>
      </c>
      <c r="J3110" s="27" t="s">
        <v>87</v>
      </c>
      <c r="K3110" s="29">
        <v>45</v>
      </c>
      <c r="L3110" s="29">
        <v>45</v>
      </c>
      <c r="M3110" s="29">
        <v>45</v>
      </c>
      <c r="N3110" s="29">
        <v>45</v>
      </c>
      <c r="O3110" s="29">
        <v>45</v>
      </c>
      <c r="P3110" s="40">
        <v>139</v>
      </c>
      <c r="Q3110" s="1" t="s">
        <v>35</v>
      </c>
      <c r="R3110" s="2">
        <v>2779</v>
      </c>
      <c r="S3110" s="2">
        <v>2000</v>
      </c>
      <c r="T3110" s="2">
        <v>0</v>
      </c>
      <c r="U3110" s="2">
        <v>0</v>
      </c>
      <c r="V3110" s="2">
        <v>0</v>
      </c>
      <c r="W3110" s="2">
        <v>5247</v>
      </c>
      <c r="X3110" s="43">
        <f>SUM(R3110:W3119)</f>
        <v>97808</v>
      </c>
      <c r="Y3110" s="10">
        <v>46204</v>
      </c>
      <c r="Z3110" s="11">
        <v>0.2195578337137056</v>
      </c>
      <c r="AA3110" s="11">
        <v>0.18314801174219128</v>
      </c>
      <c r="AB3110" s="11">
        <v>0.14767396744221339</v>
      </c>
      <c r="AC3110" s="11">
        <v>0.12915585942218899</v>
      </c>
      <c r="AD3110" s="11">
        <v>0.11488429483326773</v>
      </c>
      <c r="AE3110" s="11">
        <v>0.13190389226847321</v>
      </c>
      <c r="AF3110" s="11">
        <v>0.7</v>
      </c>
      <c r="AG3110" s="11">
        <v>0.23899999999999999</v>
      </c>
    </row>
    <row r="3111" spans="2:33">
      <c r="B3111" s="18"/>
      <c r="C3111" s="14"/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35"/>
      <c r="Q3111" s="36" t="s">
        <v>36</v>
      </c>
      <c r="R3111" s="13">
        <v>2597</v>
      </c>
      <c r="S3111" s="13">
        <v>1896</v>
      </c>
      <c r="T3111" s="13">
        <v>0</v>
      </c>
      <c r="U3111" s="13">
        <v>0</v>
      </c>
      <c r="V3111" s="13">
        <v>0</v>
      </c>
      <c r="W3111" s="37">
        <v>4539</v>
      </c>
      <c r="X3111" s="18"/>
      <c r="Y3111" s="14"/>
      <c r="Z3111" s="14"/>
      <c r="AA3111" s="14"/>
      <c r="AB3111" s="14"/>
      <c r="AC3111" s="14"/>
      <c r="AD3111" s="14"/>
      <c r="AE3111" s="14"/>
      <c r="AF3111" s="14"/>
      <c r="AG3111" s="35"/>
    </row>
    <row r="3112" spans="2:33">
      <c r="B3112" s="19"/>
      <c r="P3112" s="16"/>
      <c r="Q3112" s="36" t="s">
        <v>37</v>
      </c>
      <c r="R3112" s="13">
        <v>0</v>
      </c>
      <c r="S3112" s="13">
        <v>2748</v>
      </c>
      <c r="T3112" s="13">
        <v>2004</v>
      </c>
      <c r="U3112" s="13">
        <v>0</v>
      </c>
      <c r="V3112" s="13">
        <v>0</v>
      </c>
      <c r="W3112" s="37">
        <v>5226</v>
      </c>
      <c r="X3112" s="19"/>
      <c r="AG3112" s="16"/>
    </row>
    <row r="3113" spans="2:33">
      <c r="B3113" s="19"/>
      <c r="P3113" s="16"/>
      <c r="Q3113" s="36" t="s">
        <v>1441</v>
      </c>
      <c r="R3113" s="13">
        <v>0</v>
      </c>
      <c r="S3113" s="13">
        <v>0</v>
      </c>
      <c r="T3113" s="13">
        <v>0</v>
      </c>
      <c r="U3113" s="13">
        <v>702</v>
      </c>
      <c r="V3113" s="13">
        <v>516</v>
      </c>
      <c r="W3113" s="37">
        <v>197</v>
      </c>
      <c r="X3113" s="19"/>
      <c r="AG3113" s="16"/>
    </row>
    <row r="3114" spans="2:33">
      <c r="B3114" s="19"/>
      <c r="P3114" s="16"/>
      <c r="Q3114" s="36" t="s">
        <v>1442</v>
      </c>
      <c r="R3114" s="13">
        <v>0</v>
      </c>
      <c r="S3114" s="13">
        <v>0</v>
      </c>
      <c r="T3114" s="13">
        <v>0</v>
      </c>
      <c r="U3114" s="13">
        <v>1859</v>
      </c>
      <c r="V3114" s="13">
        <v>1363</v>
      </c>
      <c r="W3114" s="37">
        <v>3495</v>
      </c>
      <c r="X3114" s="19"/>
      <c r="AG3114" s="16"/>
    </row>
    <row r="3115" spans="2:33">
      <c r="B3115" s="19"/>
      <c r="P3115" s="16"/>
      <c r="Q3115" s="36" t="s">
        <v>39</v>
      </c>
      <c r="R3115" s="13">
        <v>0</v>
      </c>
      <c r="S3115" s="13">
        <v>0</v>
      </c>
      <c r="T3115" s="13">
        <v>0</v>
      </c>
      <c r="U3115" s="13">
        <v>2502</v>
      </c>
      <c r="V3115" s="13">
        <v>1874</v>
      </c>
      <c r="W3115" s="37">
        <v>4478</v>
      </c>
      <c r="X3115" s="19"/>
      <c r="AG3115" s="16"/>
    </row>
    <row r="3116" spans="2:33">
      <c r="B3116" s="19"/>
      <c r="P3116" s="16"/>
      <c r="Q3116" s="36" t="s">
        <v>40</v>
      </c>
      <c r="R3116" s="13">
        <v>0</v>
      </c>
      <c r="S3116" s="13">
        <v>0</v>
      </c>
      <c r="T3116" s="13">
        <v>4057</v>
      </c>
      <c r="U3116" s="13">
        <v>2999</v>
      </c>
      <c r="V3116" s="13">
        <v>0</v>
      </c>
      <c r="W3116" s="37">
        <v>5605</v>
      </c>
      <c r="X3116" s="19"/>
      <c r="AG3116" s="16"/>
    </row>
    <row r="3117" spans="2:33">
      <c r="B3117" s="19"/>
      <c r="P3117" s="16"/>
      <c r="Q3117" s="36" t="s">
        <v>41</v>
      </c>
      <c r="R3117" s="13">
        <v>4565</v>
      </c>
      <c r="S3117" s="13">
        <v>3415</v>
      </c>
      <c r="T3117" s="13">
        <v>0</v>
      </c>
      <c r="U3117" s="13">
        <v>0</v>
      </c>
      <c r="V3117" s="13">
        <v>0</v>
      </c>
      <c r="W3117" s="37">
        <v>5497</v>
      </c>
      <c r="X3117" s="19"/>
      <c r="AG3117" s="16"/>
    </row>
    <row r="3118" spans="2:33">
      <c r="B3118" s="19"/>
      <c r="P3118" s="16"/>
      <c r="Q3118" s="36" t="s">
        <v>42</v>
      </c>
      <c r="R3118" s="13">
        <v>0</v>
      </c>
      <c r="S3118" s="13">
        <v>0</v>
      </c>
      <c r="T3118" s="13">
        <v>4036</v>
      </c>
      <c r="U3118" s="13">
        <v>2969</v>
      </c>
      <c r="V3118" s="13">
        <v>0</v>
      </c>
      <c r="W3118" s="37">
        <v>6871</v>
      </c>
      <c r="X3118" s="19"/>
      <c r="AG3118" s="16"/>
    </row>
    <row r="3119" spans="2:33" ht="15" thickBot="1">
      <c r="B3119" s="20"/>
      <c r="C3119" s="15"/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17"/>
      <c r="Q3119" s="36" t="s">
        <v>43</v>
      </c>
      <c r="R3119" s="13">
        <v>0</v>
      </c>
      <c r="S3119" s="13">
        <v>0</v>
      </c>
      <c r="T3119" s="13">
        <v>3844</v>
      </c>
      <c r="U3119" s="13">
        <v>2760</v>
      </c>
      <c r="V3119" s="13">
        <v>0</v>
      </c>
      <c r="W3119" s="37">
        <v>5168</v>
      </c>
      <c r="X3119" s="20"/>
      <c r="Y3119" s="15"/>
      <c r="Z3119" s="15"/>
      <c r="AA3119" s="15"/>
      <c r="AB3119" s="15"/>
      <c r="AC3119" s="15"/>
      <c r="AD3119" s="15"/>
      <c r="AE3119" s="15"/>
      <c r="AF3119" s="15"/>
      <c r="AG3119" s="17"/>
    </row>
    <row r="3121" spans="2:33" ht="15" thickBot="1">
      <c r="B3121" s="25" t="s">
        <v>1436</v>
      </c>
      <c r="C3121" s="26" t="s">
        <v>1437</v>
      </c>
      <c r="D3121" s="26" t="s">
        <v>1448</v>
      </c>
      <c r="E3121" s="26" t="s">
        <v>1449</v>
      </c>
      <c r="F3121" s="26" t="s">
        <v>1084</v>
      </c>
      <c r="G3121" s="26" t="s">
        <v>108</v>
      </c>
      <c r="H3121" s="27" t="s">
        <v>108</v>
      </c>
      <c r="I3121" s="26" t="s">
        <v>1450</v>
      </c>
      <c r="J3121" s="27" t="s">
        <v>87</v>
      </c>
      <c r="K3121" s="29">
        <v>110</v>
      </c>
      <c r="L3121" s="29">
        <v>110</v>
      </c>
      <c r="M3121" s="29">
        <v>110</v>
      </c>
      <c r="N3121" s="29">
        <v>110</v>
      </c>
      <c r="O3121" s="29">
        <v>110</v>
      </c>
      <c r="P3121" s="40">
        <v>173</v>
      </c>
      <c r="Q3121" s="1" t="s">
        <v>35</v>
      </c>
      <c r="R3121" s="2">
        <v>8531</v>
      </c>
      <c r="S3121" s="2">
        <v>5590</v>
      </c>
      <c r="T3121" s="2">
        <v>0</v>
      </c>
      <c r="U3121" s="2">
        <v>0</v>
      </c>
      <c r="V3121" s="2">
        <v>0</v>
      </c>
      <c r="W3121" s="2">
        <v>5019</v>
      </c>
      <c r="X3121" s="43">
        <f>SUM(R3121:W3129)</f>
        <v>162815</v>
      </c>
      <c r="Y3121" s="10">
        <v>46204</v>
      </c>
      <c r="Z3121" s="11">
        <v>0.2195578337137056</v>
      </c>
      <c r="AA3121" s="11">
        <v>0.18314801174219128</v>
      </c>
      <c r="AB3121" s="11">
        <v>0.14767396744221339</v>
      </c>
      <c r="AC3121" s="11">
        <v>0.12915585942218899</v>
      </c>
      <c r="AD3121" s="11">
        <v>0.11488429483326773</v>
      </c>
      <c r="AE3121" s="11">
        <v>0.13190389226847321</v>
      </c>
      <c r="AF3121" s="11">
        <v>0.7</v>
      </c>
      <c r="AG3121" s="11">
        <v>0.23899999999999999</v>
      </c>
    </row>
    <row r="3122" spans="2:33">
      <c r="B3122" s="18"/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35"/>
      <c r="Q3122" s="36" t="s">
        <v>36</v>
      </c>
      <c r="R3122" s="13">
        <v>8072</v>
      </c>
      <c r="S3122" s="13">
        <v>5478</v>
      </c>
      <c r="T3122" s="13">
        <v>0</v>
      </c>
      <c r="U3122" s="13">
        <v>0</v>
      </c>
      <c r="V3122" s="13">
        <v>0</v>
      </c>
      <c r="W3122" s="37">
        <v>4902</v>
      </c>
      <c r="X3122" s="18"/>
      <c r="Y3122" s="14"/>
      <c r="Z3122" s="14"/>
      <c r="AA3122" s="14"/>
      <c r="AB3122" s="14"/>
      <c r="AC3122" s="14"/>
      <c r="AD3122" s="14"/>
      <c r="AE3122" s="14"/>
      <c r="AF3122" s="14"/>
      <c r="AG3122" s="35"/>
    </row>
    <row r="3123" spans="2:33">
      <c r="B3123" s="19"/>
      <c r="P3123" s="16"/>
      <c r="Q3123" s="36" t="s">
        <v>37</v>
      </c>
      <c r="R3123" s="13">
        <v>0</v>
      </c>
      <c r="S3123" s="13">
        <v>7660</v>
      </c>
      <c r="T3123" s="13">
        <v>5278</v>
      </c>
      <c r="U3123" s="13">
        <v>0</v>
      </c>
      <c r="V3123" s="13">
        <v>0</v>
      </c>
      <c r="W3123" s="37">
        <v>3902</v>
      </c>
      <c r="X3123" s="19"/>
      <c r="AG3123" s="16"/>
    </row>
    <row r="3124" spans="2:33">
      <c r="B3124" s="19"/>
      <c r="P3124" s="16"/>
      <c r="Q3124" s="36" t="s">
        <v>38</v>
      </c>
      <c r="R3124" s="13">
        <v>0</v>
      </c>
      <c r="S3124" s="13">
        <v>0</v>
      </c>
      <c r="T3124" s="13">
        <v>0</v>
      </c>
      <c r="U3124" s="13">
        <v>7406</v>
      </c>
      <c r="V3124" s="13">
        <v>6225</v>
      </c>
      <c r="W3124" s="37">
        <v>4593</v>
      </c>
      <c r="X3124" s="19"/>
      <c r="AG3124" s="16"/>
    </row>
    <row r="3125" spans="2:33">
      <c r="B3125" s="19"/>
      <c r="P3125" s="16"/>
      <c r="Q3125" s="36" t="s">
        <v>39</v>
      </c>
      <c r="R3125" s="13">
        <v>0</v>
      </c>
      <c r="S3125" s="13">
        <v>0</v>
      </c>
      <c r="T3125" s="13">
        <v>0</v>
      </c>
      <c r="U3125" s="13">
        <v>7231</v>
      </c>
      <c r="V3125" s="13">
        <v>4905</v>
      </c>
      <c r="W3125" s="37">
        <v>5911</v>
      </c>
      <c r="X3125" s="19"/>
      <c r="AG3125" s="16"/>
    </row>
    <row r="3126" spans="2:33">
      <c r="B3126" s="19"/>
      <c r="P3126" s="16"/>
      <c r="Q3126" s="36" t="s">
        <v>40</v>
      </c>
      <c r="R3126" s="13">
        <v>0</v>
      </c>
      <c r="S3126" s="13">
        <v>0</v>
      </c>
      <c r="T3126" s="13">
        <v>8059</v>
      </c>
      <c r="U3126" s="13">
        <v>5359</v>
      </c>
      <c r="V3126" s="13">
        <v>0</v>
      </c>
      <c r="W3126" s="37">
        <v>3839</v>
      </c>
      <c r="X3126" s="19"/>
      <c r="AG3126" s="16"/>
    </row>
    <row r="3127" spans="2:33">
      <c r="B3127" s="19"/>
      <c r="P3127" s="16"/>
      <c r="Q3127" s="36" t="s">
        <v>41</v>
      </c>
      <c r="R3127" s="13">
        <v>9107</v>
      </c>
      <c r="S3127" s="13">
        <v>6175</v>
      </c>
      <c r="T3127" s="13">
        <v>0</v>
      </c>
      <c r="U3127" s="13">
        <v>0</v>
      </c>
      <c r="V3127" s="13">
        <v>0</v>
      </c>
      <c r="W3127" s="37">
        <v>4005</v>
      </c>
      <c r="X3127" s="19"/>
      <c r="AG3127" s="16"/>
    </row>
    <row r="3128" spans="2:33">
      <c r="B3128" s="19"/>
      <c r="P3128" s="16"/>
      <c r="Q3128" s="36" t="s">
        <v>42</v>
      </c>
      <c r="R3128" s="13">
        <v>0</v>
      </c>
      <c r="S3128" s="13">
        <v>0</v>
      </c>
      <c r="T3128" s="13">
        <v>7828</v>
      </c>
      <c r="U3128" s="13">
        <v>5094</v>
      </c>
      <c r="V3128" s="13">
        <v>0</v>
      </c>
      <c r="W3128" s="37">
        <v>5017</v>
      </c>
      <c r="X3128" s="19"/>
      <c r="AG3128" s="16"/>
    </row>
    <row r="3129" spans="2:33" ht="15" thickBot="1">
      <c r="B3129" s="20"/>
      <c r="C3129" s="15"/>
      <c r="D3129" s="15"/>
      <c r="E3129" s="15"/>
      <c r="F3129" s="15"/>
      <c r="G3129" s="15"/>
      <c r="H3129" s="15"/>
      <c r="I3129" s="15"/>
      <c r="J3129" s="15"/>
      <c r="K3129" s="15"/>
      <c r="L3129" s="15"/>
      <c r="M3129" s="15"/>
      <c r="N3129" s="15"/>
      <c r="O3129" s="15"/>
      <c r="P3129" s="17"/>
      <c r="Q3129" s="36" t="s">
        <v>43</v>
      </c>
      <c r="R3129" s="13">
        <v>0</v>
      </c>
      <c r="S3129" s="13">
        <v>0</v>
      </c>
      <c r="T3129" s="13">
        <v>8454</v>
      </c>
      <c r="U3129" s="13">
        <v>5380</v>
      </c>
      <c r="V3129" s="13">
        <v>0</v>
      </c>
      <c r="W3129" s="37">
        <v>3795</v>
      </c>
      <c r="X3129" s="20"/>
      <c r="Y3129" s="15"/>
      <c r="Z3129" s="15"/>
      <c r="AA3129" s="15"/>
      <c r="AB3129" s="15"/>
      <c r="AC3129" s="15"/>
      <c r="AD3129" s="15"/>
      <c r="AE3129" s="15"/>
      <c r="AF3129" s="15"/>
      <c r="AG3129" s="17"/>
    </row>
    <row r="3131" spans="2:33" ht="15" thickBot="1">
      <c r="B3131" s="25" t="s">
        <v>1436</v>
      </c>
      <c r="C3131" s="26" t="s">
        <v>1437</v>
      </c>
      <c r="D3131" s="26" t="s">
        <v>1451</v>
      </c>
      <c r="E3131" s="26" t="s">
        <v>1452</v>
      </c>
      <c r="F3131" s="26" t="s">
        <v>1084</v>
      </c>
      <c r="G3131" s="26" t="s">
        <v>108</v>
      </c>
      <c r="H3131" s="27" t="s">
        <v>108</v>
      </c>
      <c r="I3131" s="26" t="s">
        <v>1453</v>
      </c>
      <c r="J3131" s="27" t="s">
        <v>87</v>
      </c>
      <c r="K3131" s="29">
        <v>5</v>
      </c>
      <c r="L3131" s="29">
        <v>5</v>
      </c>
      <c r="M3131" s="29">
        <v>5</v>
      </c>
      <c r="N3131" s="29">
        <v>5</v>
      </c>
      <c r="O3131" s="29">
        <v>5</v>
      </c>
      <c r="P3131" s="40">
        <v>28.299999237060501</v>
      </c>
      <c r="Q3131" s="1" t="s">
        <v>35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43">
        <f>SUM(R3131:W3140)</f>
        <v>0</v>
      </c>
      <c r="Y3131" s="10">
        <v>46204</v>
      </c>
      <c r="Z3131" s="11">
        <v>0.2195578337137056</v>
      </c>
      <c r="AA3131" s="11">
        <v>0.18314801174219128</v>
      </c>
      <c r="AB3131" s="11">
        <v>0.14767396744221339</v>
      </c>
      <c r="AC3131" s="11">
        <v>0.12915585942218899</v>
      </c>
      <c r="AD3131" s="11">
        <v>0.11488429483326773</v>
      </c>
      <c r="AE3131" s="11">
        <v>0.13190389226847321</v>
      </c>
      <c r="AF3131" s="11">
        <v>0.7</v>
      </c>
      <c r="AG3131" s="11">
        <v>0.23899999999999999</v>
      </c>
    </row>
    <row r="3132" spans="2:33">
      <c r="B3132" s="18"/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35"/>
      <c r="Q3132" s="36" t="s">
        <v>36</v>
      </c>
      <c r="R3132" s="13">
        <v>0</v>
      </c>
      <c r="S3132" s="13">
        <v>0</v>
      </c>
      <c r="T3132" s="13">
        <v>0</v>
      </c>
      <c r="U3132" s="13">
        <v>0</v>
      </c>
      <c r="V3132" s="13">
        <v>0</v>
      </c>
      <c r="W3132" s="37">
        <v>0</v>
      </c>
      <c r="X3132" s="18"/>
      <c r="Y3132" s="14"/>
      <c r="Z3132" s="14"/>
      <c r="AA3132" s="14"/>
      <c r="AB3132" s="14"/>
      <c r="AC3132" s="14"/>
      <c r="AD3132" s="14"/>
      <c r="AE3132" s="14"/>
      <c r="AF3132" s="14"/>
      <c r="AG3132" s="35"/>
    </row>
    <row r="3133" spans="2:33">
      <c r="B3133" s="19"/>
      <c r="P3133" s="16"/>
      <c r="Q3133" s="36" t="s">
        <v>37</v>
      </c>
      <c r="R3133" s="13">
        <v>0</v>
      </c>
      <c r="S3133" s="13">
        <v>0</v>
      </c>
      <c r="T3133" s="13">
        <v>0</v>
      </c>
      <c r="U3133" s="13">
        <v>0</v>
      </c>
      <c r="V3133" s="13">
        <v>0</v>
      </c>
      <c r="W3133" s="37">
        <v>0</v>
      </c>
      <c r="X3133" s="19"/>
      <c r="AG3133" s="16"/>
    </row>
    <row r="3134" spans="2:33">
      <c r="B3134" s="19"/>
      <c r="P3134" s="16"/>
      <c r="Q3134" s="36" t="s">
        <v>1441</v>
      </c>
      <c r="R3134" s="13">
        <v>0</v>
      </c>
      <c r="S3134" s="13">
        <v>0</v>
      </c>
      <c r="T3134" s="13">
        <v>0</v>
      </c>
      <c r="U3134" s="13">
        <v>0</v>
      </c>
      <c r="V3134" s="13">
        <v>0</v>
      </c>
      <c r="W3134" s="37">
        <v>0</v>
      </c>
      <c r="X3134" s="19"/>
      <c r="AG3134" s="16"/>
    </row>
    <row r="3135" spans="2:33">
      <c r="B3135" s="19"/>
      <c r="P3135" s="16"/>
      <c r="Q3135" s="36" t="s">
        <v>1442</v>
      </c>
      <c r="R3135" s="13">
        <v>0</v>
      </c>
      <c r="S3135" s="13">
        <v>0</v>
      </c>
      <c r="T3135" s="13">
        <v>0</v>
      </c>
      <c r="U3135" s="13">
        <v>0</v>
      </c>
      <c r="V3135" s="13">
        <v>0</v>
      </c>
      <c r="W3135" s="37">
        <v>0</v>
      </c>
      <c r="X3135" s="19"/>
      <c r="AG3135" s="16"/>
    </row>
    <row r="3136" spans="2:33">
      <c r="B3136" s="19"/>
      <c r="P3136" s="16"/>
      <c r="Q3136" s="36" t="s">
        <v>39</v>
      </c>
      <c r="R3136" s="13">
        <v>0</v>
      </c>
      <c r="S3136" s="13">
        <v>0</v>
      </c>
      <c r="T3136" s="13">
        <v>0</v>
      </c>
      <c r="U3136" s="13">
        <v>0</v>
      </c>
      <c r="V3136" s="13">
        <v>0</v>
      </c>
      <c r="W3136" s="37">
        <v>0</v>
      </c>
      <c r="X3136" s="19"/>
      <c r="AG3136" s="16"/>
    </row>
    <row r="3137" spans="2:33">
      <c r="B3137" s="19"/>
      <c r="P3137" s="16"/>
      <c r="Q3137" s="36" t="s">
        <v>40</v>
      </c>
      <c r="R3137" s="13">
        <v>0</v>
      </c>
      <c r="S3137" s="13">
        <v>0</v>
      </c>
      <c r="T3137" s="13">
        <v>0</v>
      </c>
      <c r="U3137" s="13">
        <v>0</v>
      </c>
      <c r="V3137" s="13">
        <v>0</v>
      </c>
      <c r="W3137" s="37">
        <v>0</v>
      </c>
      <c r="X3137" s="19"/>
      <c r="AG3137" s="16"/>
    </row>
    <row r="3138" spans="2:33">
      <c r="B3138" s="19"/>
      <c r="P3138" s="16"/>
      <c r="Q3138" s="36" t="s">
        <v>41</v>
      </c>
      <c r="R3138" s="13">
        <v>0</v>
      </c>
      <c r="S3138" s="13">
        <v>0</v>
      </c>
      <c r="T3138" s="13">
        <v>0</v>
      </c>
      <c r="U3138" s="13">
        <v>0</v>
      </c>
      <c r="V3138" s="13">
        <v>0</v>
      </c>
      <c r="W3138" s="37">
        <v>0</v>
      </c>
      <c r="X3138" s="19"/>
      <c r="AG3138" s="16"/>
    </row>
    <row r="3139" spans="2:33">
      <c r="B3139" s="19"/>
      <c r="P3139" s="16"/>
      <c r="Q3139" s="36" t="s">
        <v>42</v>
      </c>
      <c r="R3139" s="13">
        <v>0</v>
      </c>
      <c r="S3139" s="13">
        <v>0</v>
      </c>
      <c r="T3139" s="13">
        <v>0</v>
      </c>
      <c r="U3139" s="13">
        <v>0</v>
      </c>
      <c r="V3139" s="13">
        <v>0</v>
      </c>
      <c r="W3139" s="37">
        <v>0</v>
      </c>
      <c r="X3139" s="19"/>
      <c r="AG3139" s="16"/>
    </row>
    <row r="3140" spans="2:33" ht="15" thickBot="1">
      <c r="B3140" s="20"/>
      <c r="C3140" s="15"/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7"/>
      <c r="Q3140" s="36" t="s">
        <v>43</v>
      </c>
      <c r="R3140" s="13">
        <v>0</v>
      </c>
      <c r="S3140" s="13">
        <v>0</v>
      </c>
      <c r="T3140" s="13">
        <v>0</v>
      </c>
      <c r="U3140" s="13">
        <v>0</v>
      </c>
      <c r="V3140" s="13">
        <v>0</v>
      </c>
      <c r="W3140" s="37">
        <v>0</v>
      </c>
      <c r="X3140" s="20"/>
      <c r="Y3140" s="15"/>
      <c r="Z3140" s="15"/>
      <c r="AA3140" s="15"/>
      <c r="AB3140" s="15"/>
      <c r="AC3140" s="15"/>
      <c r="AD3140" s="15"/>
      <c r="AE3140" s="15"/>
      <c r="AF3140" s="15"/>
      <c r="AG3140" s="17"/>
    </row>
    <row r="3142" spans="2:33" ht="15" thickBot="1">
      <c r="B3142" s="25" t="s">
        <v>1436</v>
      </c>
      <c r="C3142" s="26" t="s">
        <v>1437</v>
      </c>
      <c r="D3142" s="26" t="s">
        <v>1454</v>
      </c>
      <c r="E3142" s="26" t="s">
        <v>1455</v>
      </c>
      <c r="F3142" s="26" t="s">
        <v>1456</v>
      </c>
      <c r="G3142" s="26" t="s">
        <v>1457</v>
      </c>
      <c r="H3142" s="27" t="s">
        <v>108</v>
      </c>
      <c r="I3142" s="26" t="s">
        <v>1458</v>
      </c>
      <c r="J3142" s="27" t="s">
        <v>34</v>
      </c>
      <c r="K3142" s="29">
        <v>80</v>
      </c>
      <c r="L3142" s="29">
        <v>80</v>
      </c>
      <c r="M3142" s="29">
        <v>80</v>
      </c>
      <c r="N3142" s="29">
        <v>80</v>
      </c>
      <c r="O3142" s="29">
        <v>80</v>
      </c>
      <c r="P3142" s="40">
        <v>261</v>
      </c>
      <c r="Q3142" s="1" t="s">
        <v>35</v>
      </c>
      <c r="R3142" s="2">
        <v>5740</v>
      </c>
      <c r="S3142" s="2">
        <v>4785</v>
      </c>
      <c r="T3142" s="2">
        <v>0</v>
      </c>
      <c r="U3142" s="2">
        <v>0</v>
      </c>
      <c r="V3142" s="2">
        <v>0</v>
      </c>
      <c r="W3142" s="2">
        <v>11987</v>
      </c>
      <c r="X3142" s="43">
        <f>SUM(R3142:W3149)</f>
        <v>172238</v>
      </c>
      <c r="Y3142" s="10">
        <v>46204</v>
      </c>
      <c r="Z3142" s="11">
        <v>0.19003063189368236</v>
      </c>
      <c r="AA3142" s="11">
        <v>0.15894241372874238</v>
      </c>
      <c r="AB3142" s="11">
        <v>0.13170975751722944</v>
      </c>
      <c r="AC3142" s="11">
        <v>0.11770850284267438</v>
      </c>
      <c r="AD3142" s="11">
        <v>0.10679434368912716</v>
      </c>
      <c r="AE3142" s="11">
        <v>0.12246507791371883</v>
      </c>
      <c r="AF3142" s="11">
        <v>0.7</v>
      </c>
      <c r="AG3142" s="11">
        <v>0.23899999999999999</v>
      </c>
    </row>
    <row r="3143" spans="2:33">
      <c r="B3143" s="18"/>
      <c r="C3143" s="14"/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35"/>
      <c r="Q3143" s="36" t="s">
        <v>36</v>
      </c>
      <c r="R3143" s="13">
        <v>5474</v>
      </c>
      <c r="S3143" s="13">
        <v>4519</v>
      </c>
      <c r="T3143" s="13">
        <v>0</v>
      </c>
      <c r="U3143" s="13">
        <v>0</v>
      </c>
      <c r="V3143" s="13">
        <v>0</v>
      </c>
      <c r="W3143" s="37">
        <v>10658</v>
      </c>
      <c r="X3143" s="18"/>
      <c r="Y3143" s="14"/>
      <c r="Z3143" s="14"/>
      <c r="AA3143" s="14"/>
      <c r="AB3143" s="14"/>
      <c r="AC3143" s="14"/>
      <c r="AD3143" s="14"/>
      <c r="AE3143" s="14"/>
      <c r="AF3143" s="14"/>
      <c r="AG3143" s="35"/>
    </row>
    <row r="3144" spans="2:33">
      <c r="B3144" s="19"/>
      <c r="P3144" s="16"/>
      <c r="Q3144" s="36" t="s">
        <v>37</v>
      </c>
      <c r="R3144" s="13">
        <v>0</v>
      </c>
      <c r="S3144" s="13">
        <v>5728</v>
      </c>
      <c r="T3144" s="13">
        <v>4616</v>
      </c>
      <c r="U3144" s="13">
        <v>0</v>
      </c>
      <c r="V3144" s="13">
        <v>0</v>
      </c>
      <c r="W3144" s="37">
        <v>12174</v>
      </c>
      <c r="X3144" s="19"/>
      <c r="AG3144" s="16"/>
    </row>
    <row r="3145" spans="2:33">
      <c r="B3145" s="19"/>
      <c r="P3145" s="16"/>
      <c r="Q3145" s="36" t="s">
        <v>38</v>
      </c>
      <c r="R3145" s="13">
        <v>0</v>
      </c>
      <c r="S3145" s="13">
        <v>0</v>
      </c>
      <c r="T3145" s="13">
        <v>0</v>
      </c>
      <c r="U3145" s="13">
        <v>5655</v>
      </c>
      <c r="V3145" s="13">
        <v>4348</v>
      </c>
      <c r="W3145" s="37">
        <v>10668</v>
      </c>
      <c r="X3145" s="19"/>
      <c r="AG3145" s="16"/>
    </row>
    <row r="3146" spans="2:33">
      <c r="B3146" s="19"/>
      <c r="P3146" s="16"/>
      <c r="Q3146" s="36" t="s">
        <v>39</v>
      </c>
      <c r="R3146" s="13">
        <v>0</v>
      </c>
      <c r="S3146" s="13">
        <v>0</v>
      </c>
      <c r="T3146" s="13">
        <v>0</v>
      </c>
      <c r="U3146" s="13">
        <v>5608</v>
      </c>
      <c r="V3146" s="13">
        <v>4545</v>
      </c>
      <c r="W3146" s="37">
        <v>11914</v>
      </c>
      <c r="X3146" s="19"/>
      <c r="AG3146" s="16"/>
    </row>
    <row r="3147" spans="2:33">
      <c r="B3147" s="19"/>
      <c r="P3147" s="16"/>
      <c r="Q3147" s="36" t="s">
        <v>40</v>
      </c>
      <c r="R3147" s="13">
        <v>0</v>
      </c>
      <c r="S3147" s="13">
        <v>0</v>
      </c>
      <c r="T3147" s="13">
        <v>5947</v>
      </c>
      <c r="U3147" s="13">
        <v>4631</v>
      </c>
      <c r="V3147" s="13">
        <v>0</v>
      </c>
      <c r="W3147" s="37">
        <v>11899</v>
      </c>
      <c r="X3147" s="19"/>
      <c r="AG3147" s="16"/>
    </row>
    <row r="3148" spans="2:33">
      <c r="B3148" s="19"/>
      <c r="P3148" s="16"/>
      <c r="Q3148" s="36" t="s">
        <v>41</v>
      </c>
      <c r="R3148" s="13">
        <v>6586</v>
      </c>
      <c r="S3148" s="13">
        <v>5149</v>
      </c>
      <c r="T3148" s="13">
        <v>0</v>
      </c>
      <c r="U3148" s="13">
        <v>0</v>
      </c>
      <c r="V3148" s="13">
        <v>0</v>
      </c>
      <c r="W3148" s="37">
        <v>10941</v>
      </c>
      <c r="X3148" s="19"/>
      <c r="AG3148" s="16"/>
    </row>
    <row r="3149" spans="2:33" ht="15" thickBot="1">
      <c r="B3149" s="20"/>
      <c r="C3149" s="15"/>
      <c r="D3149" s="15"/>
      <c r="E3149" s="15"/>
      <c r="F3149" s="15"/>
      <c r="G3149" s="15"/>
      <c r="H3149" s="15"/>
      <c r="I3149" s="15"/>
      <c r="J3149" s="15"/>
      <c r="K3149" s="15"/>
      <c r="L3149" s="15"/>
      <c r="M3149" s="15"/>
      <c r="N3149" s="15"/>
      <c r="O3149" s="15"/>
      <c r="P3149" s="17"/>
      <c r="Q3149" s="36" t="s">
        <v>42</v>
      </c>
      <c r="R3149" s="13">
        <v>0</v>
      </c>
      <c r="S3149" s="13">
        <v>0</v>
      </c>
      <c r="T3149" s="13">
        <v>4851</v>
      </c>
      <c r="U3149" s="13">
        <v>3907</v>
      </c>
      <c r="V3149" s="13">
        <v>0</v>
      </c>
      <c r="W3149" s="37">
        <v>9908</v>
      </c>
      <c r="X3149" s="20"/>
      <c r="Y3149" s="15"/>
      <c r="Z3149" s="15"/>
      <c r="AA3149" s="15"/>
      <c r="AB3149" s="15"/>
      <c r="AC3149" s="15"/>
      <c r="AD3149" s="15"/>
      <c r="AE3149" s="15"/>
      <c r="AF3149" s="15"/>
      <c r="AG3149" s="17"/>
    </row>
    <row r="3151" spans="2:33" ht="15" thickBot="1">
      <c r="B3151" s="25" t="s">
        <v>1436</v>
      </c>
      <c r="C3151" s="26" t="s">
        <v>1437</v>
      </c>
      <c r="D3151" s="26" t="s">
        <v>1459</v>
      </c>
      <c r="E3151" s="26" t="s">
        <v>1460</v>
      </c>
      <c r="F3151" s="26" t="s">
        <v>1461</v>
      </c>
      <c r="G3151" s="26" t="s">
        <v>1462</v>
      </c>
      <c r="H3151" s="27" t="s">
        <v>108</v>
      </c>
      <c r="I3151" s="26" t="s">
        <v>1463</v>
      </c>
      <c r="J3151" s="27" t="s">
        <v>87</v>
      </c>
      <c r="K3151" s="29">
        <v>20</v>
      </c>
      <c r="L3151" s="29">
        <v>20</v>
      </c>
      <c r="M3151" s="29">
        <v>20</v>
      </c>
      <c r="N3151" s="29">
        <v>20</v>
      </c>
      <c r="O3151" s="29">
        <v>20</v>
      </c>
      <c r="P3151" s="40">
        <v>20</v>
      </c>
      <c r="Q3151" s="1" t="s">
        <v>35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43">
        <f>SUM(R3151:W3160)</f>
        <v>0</v>
      </c>
      <c r="Y3151" s="10">
        <v>46204</v>
      </c>
      <c r="Z3151" s="11">
        <v>0.2195578337137056</v>
      </c>
      <c r="AA3151" s="11">
        <v>0.18314801174219128</v>
      </c>
      <c r="AB3151" s="11">
        <v>0.14767396744221339</v>
      </c>
      <c r="AC3151" s="11">
        <v>0.12915585942218899</v>
      </c>
      <c r="AD3151" s="11">
        <v>0.11488429483326773</v>
      </c>
      <c r="AE3151" s="11">
        <v>0.13190389226847321</v>
      </c>
      <c r="AF3151" s="11">
        <v>0.7</v>
      </c>
      <c r="AG3151" s="11">
        <v>0.23899999999999999</v>
      </c>
    </row>
    <row r="3152" spans="2:33">
      <c r="B3152" s="18"/>
      <c r="C3152" s="14"/>
      <c r="D3152" s="14"/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35"/>
      <c r="Q3152" s="36" t="s">
        <v>36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37">
        <v>0</v>
      </c>
      <c r="X3152" s="18"/>
      <c r="Y3152" s="14"/>
      <c r="Z3152" s="14"/>
      <c r="AA3152" s="14"/>
      <c r="AB3152" s="14"/>
      <c r="AC3152" s="14"/>
      <c r="AD3152" s="14"/>
      <c r="AE3152" s="14"/>
      <c r="AF3152" s="14"/>
      <c r="AG3152" s="35"/>
    </row>
    <row r="3153" spans="2:33">
      <c r="B3153" s="19"/>
      <c r="P3153" s="16"/>
      <c r="Q3153" s="36" t="s">
        <v>37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37">
        <v>0</v>
      </c>
      <c r="X3153" s="19"/>
      <c r="AG3153" s="16"/>
    </row>
    <row r="3154" spans="2:33">
      <c r="B3154" s="19"/>
      <c r="P3154" s="16"/>
      <c r="Q3154" s="36" t="s">
        <v>38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37">
        <v>0</v>
      </c>
      <c r="X3154" s="19"/>
      <c r="AG3154" s="16"/>
    </row>
    <row r="3155" spans="2:33">
      <c r="B3155" s="19"/>
      <c r="P3155" s="16"/>
      <c r="Q3155" s="36" t="s">
        <v>39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37">
        <v>0</v>
      </c>
      <c r="X3155" s="19"/>
      <c r="AG3155" s="16"/>
    </row>
    <row r="3156" spans="2:33">
      <c r="B3156" s="19"/>
      <c r="P3156" s="16"/>
      <c r="Q3156" s="36" t="s">
        <v>1464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37">
        <v>0</v>
      </c>
      <c r="X3156" s="19"/>
      <c r="AG3156" s="16"/>
    </row>
    <row r="3157" spans="2:33">
      <c r="B3157" s="19"/>
      <c r="P3157" s="16"/>
      <c r="Q3157" s="36" t="s">
        <v>1465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37">
        <v>0</v>
      </c>
      <c r="X3157" s="19"/>
      <c r="AG3157" s="16"/>
    </row>
    <row r="3158" spans="2:33">
      <c r="B3158" s="19"/>
      <c r="P3158" s="16"/>
      <c r="Q3158" s="36" t="s">
        <v>41</v>
      </c>
      <c r="R3158" s="13">
        <v>0</v>
      </c>
      <c r="S3158" s="13">
        <v>0</v>
      </c>
      <c r="T3158" s="13">
        <v>0</v>
      </c>
      <c r="U3158" s="13">
        <v>0</v>
      </c>
      <c r="V3158" s="13">
        <v>0</v>
      </c>
      <c r="W3158" s="37">
        <v>0</v>
      </c>
      <c r="X3158" s="19"/>
      <c r="AG3158" s="16"/>
    </row>
    <row r="3159" spans="2:33">
      <c r="B3159" s="19"/>
      <c r="P3159" s="16"/>
      <c r="Q3159" s="36" t="s">
        <v>42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37">
        <v>0</v>
      </c>
      <c r="X3159" s="19"/>
      <c r="AG3159" s="16"/>
    </row>
    <row r="3160" spans="2:33" ht="15" thickBot="1">
      <c r="B3160" s="20"/>
      <c r="C3160" s="15"/>
      <c r="D3160" s="15"/>
      <c r="E3160" s="15"/>
      <c r="F3160" s="15"/>
      <c r="G3160" s="15"/>
      <c r="H3160" s="15"/>
      <c r="I3160" s="15"/>
      <c r="J3160" s="15"/>
      <c r="K3160" s="15"/>
      <c r="L3160" s="15"/>
      <c r="M3160" s="15"/>
      <c r="N3160" s="15"/>
      <c r="O3160" s="15"/>
      <c r="P3160" s="17"/>
      <c r="Q3160" s="36" t="s">
        <v>43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37">
        <v>0</v>
      </c>
      <c r="X3160" s="20"/>
      <c r="Y3160" s="15"/>
      <c r="Z3160" s="15"/>
      <c r="AA3160" s="15"/>
      <c r="AB3160" s="15"/>
      <c r="AC3160" s="15"/>
      <c r="AD3160" s="15"/>
      <c r="AE3160" s="15"/>
      <c r="AF3160" s="15"/>
      <c r="AG3160" s="17"/>
    </row>
    <row r="3161" spans="2:33" ht="15" thickBot="1"/>
    <row r="3162" spans="2:33" ht="15" thickBot="1">
      <c r="B3162" s="53" t="s">
        <v>2189</v>
      </c>
      <c r="C3162" s="26" t="s">
        <v>1466</v>
      </c>
      <c r="D3162" s="26" t="s">
        <v>1467</v>
      </c>
      <c r="E3162" s="26" t="s">
        <v>1468</v>
      </c>
      <c r="F3162" s="26" t="s">
        <v>1469</v>
      </c>
      <c r="G3162" s="26" t="s">
        <v>1470</v>
      </c>
      <c r="H3162" s="27" t="s">
        <v>33</v>
      </c>
      <c r="I3162" s="26" t="s">
        <v>1471</v>
      </c>
      <c r="J3162" s="27" t="s">
        <v>87</v>
      </c>
      <c r="K3162" s="29">
        <v>20</v>
      </c>
      <c r="L3162" s="29">
        <v>20</v>
      </c>
      <c r="M3162" s="29">
        <v>20</v>
      </c>
      <c r="N3162" s="29">
        <v>20</v>
      </c>
      <c r="O3162" s="29">
        <v>20</v>
      </c>
      <c r="P3162" s="40">
        <v>20</v>
      </c>
      <c r="Q3162" s="1" t="s">
        <v>1472</v>
      </c>
      <c r="R3162" s="2">
        <v>382</v>
      </c>
      <c r="S3162" s="2">
        <v>333</v>
      </c>
      <c r="T3162" s="2">
        <v>331</v>
      </c>
      <c r="U3162" s="2">
        <v>0</v>
      </c>
      <c r="V3162" s="2">
        <v>0</v>
      </c>
      <c r="W3162" s="2">
        <v>0</v>
      </c>
      <c r="X3162" s="43">
        <f>SUM(R3162:W3174)</f>
        <v>32951</v>
      </c>
      <c r="Y3162" s="10">
        <v>46204</v>
      </c>
      <c r="Z3162" s="11">
        <v>0.21964920427208123</v>
      </c>
      <c r="AA3162" s="11">
        <v>0.18323938230056691</v>
      </c>
      <c r="AB3162" s="11">
        <v>0.14776533800058905</v>
      </c>
      <c r="AC3162" s="11">
        <v>0.12924722998056465</v>
      </c>
      <c r="AD3162" s="11">
        <v>0.11497566539164336</v>
      </c>
      <c r="AE3162" s="11">
        <v>0.13199526282684884</v>
      </c>
      <c r="AF3162" s="11">
        <v>0.8</v>
      </c>
      <c r="AG3162" s="11">
        <v>0.23899999999999999</v>
      </c>
    </row>
    <row r="3163" spans="2:33">
      <c r="C3163" s="14"/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35"/>
      <c r="Q3163" s="36" t="s">
        <v>1473</v>
      </c>
      <c r="R3163" s="13">
        <v>981</v>
      </c>
      <c r="S3163" s="13">
        <v>860</v>
      </c>
      <c r="T3163" s="13">
        <v>576</v>
      </c>
      <c r="U3163" s="13">
        <v>0</v>
      </c>
      <c r="V3163" s="13">
        <v>0</v>
      </c>
      <c r="W3163" s="37">
        <v>0</v>
      </c>
      <c r="X3163" s="18"/>
      <c r="Y3163" s="14"/>
      <c r="Z3163" s="14"/>
      <c r="AA3163" s="14"/>
      <c r="AB3163" s="14"/>
      <c r="AC3163" s="14"/>
      <c r="AD3163" s="14"/>
      <c r="AE3163" s="14"/>
      <c r="AF3163" s="14"/>
      <c r="AG3163" s="35"/>
    </row>
    <row r="3164" spans="2:33">
      <c r="B3164" s="19"/>
      <c r="P3164" s="16"/>
      <c r="Q3164" s="36" t="s">
        <v>1411</v>
      </c>
      <c r="R3164" s="13">
        <v>993</v>
      </c>
      <c r="S3164" s="13">
        <v>893</v>
      </c>
      <c r="T3164" s="13">
        <v>882</v>
      </c>
      <c r="U3164" s="13">
        <v>0</v>
      </c>
      <c r="V3164" s="13">
        <v>0</v>
      </c>
      <c r="W3164" s="37">
        <v>0</v>
      </c>
      <c r="X3164" s="19"/>
      <c r="AG3164" s="16"/>
    </row>
    <row r="3165" spans="2:33">
      <c r="B3165" s="19"/>
      <c r="P3165" s="16"/>
      <c r="Q3165" s="36" t="s">
        <v>48</v>
      </c>
      <c r="R3165" s="13">
        <v>887</v>
      </c>
      <c r="S3165" s="13">
        <v>796</v>
      </c>
      <c r="T3165" s="13">
        <v>641</v>
      </c>
      <c r="U3165" s="13">
        <v>0</v>
      </c>
      <c r="V3165" s="13">
        <v>0</v>
      </c>
      <c r="W3165" s="37">
        <v>0</v>
      </c>
      <c r="X3165" s="19"/>
      <c r="AG3165" s="16"/>
    </row>
    <row r="3166" spans="2:33">
      <c r="B3166" s="19"/>
      <c r="P3166" s="16"/>
      <c r="Q3166" s="36" t="s">
        <v>49</v>
      </c>
      <c r="R3166" s="13">
        <v>732</v>
      </c>
      <c r="S3166" s="13">
        <v>663</v>
      </c>
      <c r="T3166" s="13">
        <v>691</v>
      </c>
      <c r="U3166" s="13">
        <v>0</v>
      </c>
      <c r="V3166" s="13">
        <v>0</v>
      </c>
      <c r="W3166" s="37">
        <v>0</v>
      </c>
      <c r="X3166" s="19"/>
      <c r="AG3166" s="16"/>
    </row>
    <row r="3167" spans="2:33">
      <c r="B3167" s="19"/>
      <c r="P3167" s="16"/>
      <c r="Q3167" s="36" t="s">
        <v>50</v>
      </c>
      <c r="R3167" s="13">
        <v>1125</v>
      </c>
      <c r="S3167" s="13">
        <v>1024</v>
      </c>
      <c r="T3167" s="13">
        <v>840</v>
      </c>
      <c r="U3167" s="13">
        <v>0</v>
      </c>
      <c r="V3167" s="13">
        <v>0</v>
      </c>
      <c r="W3167" s="37">
        <v>0</v>
      </c>
      <c r="X3167" s="19"/>
      <c r="AG3167" s="16"/>
    </row>
    <row r="3168" spans="2:33">
      <c r="B3168" s="19"/>
      <c r="P3168" s="16"/>
      <c r="Q3168" s="36" t="s">
        <v>51</v>
      </c>
      <c r="R3168" s="13">
        <v>1486</v>
      </c>
      <c r="S3168" s="13">
        <v>1418</v>
      </c>
      <c r="T3168" s="13">
        <v>1119</v>
      </c>
      <c r="U3168" s="13">
        <v>0</v>
      </c>
      <c r="V3168" s="13">
        <v>0</v>
      </c>
      <c r="W3168" s="37">
        <v>0</v>
      </c>
      <c r="X3168" s="19"/>
      <c r="AG3168" s="16"/>
    </row>
    <row r="3169" spans="2:33">
      <c r="B3169" s="19"/>
      <c r="P3169" s="16"/>
      <c r="Q3169" s="36" t="s">
        <v>1474</v>
      </c>
      <c r="R3169" s="13">
        <v>900</v>
      </c>
      <c r="S3169" s="13">
        <v>817</v>
      </c>
      <c r="T3169" s="13">
        <v>842</v>
      </c>
      <c r="U3169" s="13">
        <v>0</v>
      </c>
      <c r="V3169" s="13">
        <v>0</v>
      </c>
      <c r="W3169" s="37">
        <v>0</v>
      </c>
      <c r="X3169" s="19"/>
      <c r="AG3169" s="16"/>
    </row>
    <row r="3170" spans="2:33">
      <c r="B3170" s="19"/>
      <c r="P3170" s="16"/>
      <c r="Q3170" s="36" t="s">
        <v>1475</v>
      </c>
      <c r="R3170" s="13">
        <v>881</v>
      </c>
      <c r="S3170" s="13">
        <v>803</v>
      </c>
      <c r="T3170" s="13">
        <v>725</v>
      </c>
      <c r="U3170" s="13">
        <v>0</v>
      </c>
      <c r="V3170" s="13">
        <v>0</v>
      </c>
      <c r="W3170" s="37">
        <v>0</v>
      </c>
      <c r="X3170" s="19"/>
      <c r="AG3170" s="16"/>
    </row>
    <row r="3171" spans="2:33">
      <c r="B3171" s="19"/>
      <c r="P3171" s="16"/>
      <c r="Q3171" s="36" t="s">
        <v>1476</v>
      </c>
      <c r="R3171" s="13">
        <v>0</v>
      </c>
      <c r="S3171" s="13">
        <v>0</v>
      </c>
      <c r="T3171" s="13">
        <v>748</v>
      </c>
      <c r="U3171" s="13">
        <v>488</v>
      </c>
      <c r="V3171" s="13">
        <v>0</v>
      </c>
      <c r="W3171" s="37">
        <v>413</v>
      </c>
      <c r="X3171" s="19"/>
      <c r="AG3171" s="16"/>
    </row>
    <row r="3172" spans="2:33">
      <c r="B3172" s="19"/>
      <c r="P3172" s="16"/>
      <c r="Q3172" s="36" t="s">
        <v>44</v>
      </c>
      <c r="R3172" s="13">
        <v>0</v>
      </c>
      <c r="S3172" s="13">
        <v>0</v>
      </c>
      <c r="T3172" s="13">
        <v>0</v>
      </c>
      <c r="U3172" s="13">
        <v>1477</v>
      </c>
      <c r="V3172" s="13">
        <v>892</v>
      </c>
      <c r="W3172" s="37">
        <v>892</v>
      </c>
      <c r="X3172" s="19"/>
      <c r="AG3172" s="16"/>
    </row>
    <row r="3173" spans="2:33">
      <c r="B3173" s="19"/>
      <c r="P3173" s="16"/>
      <c r="Q3173" s="36" t="s">
        <v>45</v>
      </c>
      <c r="R3173" s="13">
        <v>0</v>
      </c>
      <c r="S3173" s="13">
        <v>1193</v>
      </c>
      <c r="T3173" s="13">
        <v>693</v>
      </c>
      <c r="U3173" s="13">
        <v>0</v>
      </c>
      <c r="V3173" s="13">
        <v>0</v>
      </c>
      <c r="W3173" s="37">
        <v>789</v>
      </c>
      <c r="X3173" s="19"/>
      <c r="AG3173" s="16"/>
    </row>
    <row r="3174" spans="2:33" ht="15" thickBot="1">
      <c r="B3174" s="20"/>
      <c r="C3174" s="15"/>
      <c r="D3174" s="15"/>
      <c r="E3174" s="15"/>
      <c r="F3174" s="15"/>
      <c r="G3174" s="15"/>
      <c r="H3174" s="15"/>
      <c r="I3174" s="15"/>
      <c r="J3174" s="15"/>
      <c r="K3174" s="15"/>
      <c r="L3174" s="15"/>
      <c r="M3174" s="15"/>
      <c r="N3174" s="15"/>
      <c r="O3174" s="15"/>
      <c r="P3174" s="17"/>
      <c r="Q3174" s="36" t="s">
        <v>46</v>
      </c>
      <c r="R3174" s="13">
        <v>1186</v>
      </c>
      <c r="S3174" s="13">
        <v>704</v>
      </c>
      <c r="T3174" s="13">
        <v>0</v>
      </c>
      <c r="U3174" s="13">
        <v>0</v>
      </c>
      <c r="V3174" s="13">
        <v>0</v>
      </c>
      <c r="W3174" s="37">
        <v>855</v>
      </c>
      <c r="X3174" s="20"/>
      <c r="Y3174" s="15"/>
      <c r="Z3174" s="15"/>
      <c r="AA3174" s="15"/>
      <c r="AB3174" s="15"/>
      <c r="AC3174" s="15"/>
      <c r="AD3174" s="15"/>
      <c r="AE3174" s="15"/>
      <c r="AF3174" s="15"/>
      <c r="AG3174" s="17"/>
    </row>
    <row r="3175" spans="2:33" ht="15" thickBot="1"/>
    <row r="3176" spans="2:33" ht="15" thickBot="1">
      <c r="B3176" s="53" t="s">
        <v>2189</v>
      </c>
      <c r="C3176" s="26" t="s">
        <v>1477</v>
      </c>
      <c r="D3176" s="26" t="s">
        <v>1478</v>
      </c>
      <c r="E3176" s="26" t="s">
        <v>1479</v>
      </c>
      <c r="F3176" s="26" t="s">
        <v>1480</v>
      </c>
      <c r="G3176" s="26" t="s">
        <v>33</v>
      </c>
      <c r="H3176" s="27" t="s">
        <v>33</v>
      </c>
      <c r="I3176" s="26" t="s">
        <v>1481</v>
      </c>
      <c r="J3176" s="27" t="s">
        <v>87</v>
      </c>
      <c r="K3176" s="29">
        <v>15.1000003814697</v>
      </c>
      <c r="L3176" s="29">
        <v>15.1000003814697</v>
      </c>
      <c r="M3176" s="29">
        <v>15.1000003814697</v>
      </c>
      <c r="N3176" s="29">
        <v>15.1000003814697</v>
      </c>
      <c r="O3176" s="29">
        <v>15.1000003814697</v>
      </c>
      <c r="P3176" s="40">
        <v>15.1000003814697</v>
      </c>
      <c r="Q3176" s="1" t="s">
        <v>35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43">
        <f>SUM(R3176:W3188)</f>
        <v>22566</v>
      </c>
      <c r="Y3176" s="10">
        <v>46204</v>
      </c>
      <c r="Z3176" s="11">
        <v>0.21964920427208123</v>
      </c>
      <c r="AA3176" s="11">
        <v>0.18323938230056691</v>
      </c>
      <c r="AB3176" s="11">
        <v>0.14776533800058905</v>
      </c>
      <c r="AC3176" s="11">
        <v>0.12924722998056465</v>
      </c>
      <c r="AD3176" s="11">
        <v>0.11497566539164336</v>
      </c>
      <c r="AE3176" s="11">
        <v>0.13199526282684884</v>
      </c>
      <c r="AF3176" s="11">
        <v>0.8</v>
      </c>
      <c r="AG3176" s="11">
        <v>0.23899999999999999</v>
      </c>
    </row>
    <row r="3177" spans="2:33">
      <c r="C3177" s="14"/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35"/>
      <c r="Q3177" s="36" t="s">
        <v>36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37">
        <v>0</v>
      </c>
      <c r="X3177" s="18"/>
      <c r="Y3177" s="14"/>
      <c r="Z3177" s="14"/>
      <c r="AA3177" s="14"/>
      <c r="AB3177" s="14"/>
      <c r="AC3177" s="14"/>
      <c r="AD3177" s="14"/>
      <c r="AE3177" s="14"/>
      <c r="AF3177" s="14"/>
      <c r="AG3177" s="35"/>
    </row>
    <row r="3178" spans="2:33">
      <c r="B3178" s="19"/>
      <c r="P3178" s="16"/>
      <c r="Q3178" s="36" t="s">
        <v>37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37">
        <v>0</v>
      </c>
      <c r="X3178" s="19"/>
      <c r="AG3178" s="16"/>
    </row>
    <row r="3179" spans="2:33">
      <c r="B3179" s="19"/>
      <c r="P3179" s="16"/>
      <c r="Q3179" s="36" t="s">
        <v>38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37">
        <v>0</v>
      </c>
      <c r="X3179" s="19"/>
      <c r="AG3179" s="16"/>
    </row>
    <row r="3180" spans="2:33">
      <c r="B3180" s="19"/>
      <c r="P3180" s="16"/>
      <c r="Q3180" s="36" t="s">
        <v>39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37">
        <v>0</v>
      </c>
      <c r="X3180" s="19"/>
      <c r="AG3180" s="16"/>
    </row>
    <row r="3181" spans="2:33">
      <c r="B3181" s="19"/>
      <c r="P3181" s="16"/>
      <c r="Q3181" s="36" t="s">
        <v>238</v>
      </c>
      <c r="R3181" s="13">
        <v>3253</v>
      </c>
      <c r="S3181" s="13">
        <v>2934</v>
      </c>
      <c r="T3181" s="13">
        <v>1594</v>
      </c>
      <c r="U3181" s="13">
        <v>1772</v>
      </c>
      <c r="V3181" s="13">
        <v>687</v>
      </c>
      <c r="W3181" s="37">
        <v>1372</v>
      </c>
      <c r="X3181" s="19"/>
      <c r="AG3181" s="16"/>
    </row>
    <row r="3182" spans="2:33">
      <c r="B3182" s="19"/>
      <c r="P3182" s="16"/>
      <c r="Q3182" s="36" t="s">
        <v>239</v>
      </c>
      <c r="R3182" s="13">
        <v>0</v>
      </c>
      <c r="S3182" s="13">
        <v>0</v>
      </c>
      <c r="T3182" s="13">
        <v>420</v>
      </c>
      <c r="U3182" s="13">
        <v>238</v>
      </c>
      <c r="V3182" s="13">
        <v>0</v>
      </c>
      <c r="W3182" s="37">
        <v>37</v>
      </c>
      <c r="X3182" s="19"/>
      <c r="AG3182" s="16"/>
    </row>
    <row r="3183" spans="2:33">
      <c r="B3183" s="19"/>
      <c r="P3183" s="16"/>
      <c r="Q3183" s="36" t="s">
        <v>41</v>
      </c>
      <c r="R3183" s="13">
        <v>1509</v>
      </c>
      <c r="S3183" s="13">
        <v>815</v>
      </c>
      <c r="T3183" s="13">
        <v>0</v>
      </c>
      <c r="U3183" s="13">
        <v>0</v>
      </c>
      <c r="V3183" s="13">
        <v>0</v>
      </c>
      <c r="W3183" s="37">
        <v>262</v>
      </c>
      <c r="X3183" s="19"/>
      <c r="AG3183" s="16"/>
    </row>
    <row r="3184" spans="2:33">
      <c r="B3184" s="19"/>
      <c r="P3184" s="16"/>
      <c r="Q3184" s="36" t="s">
        <v>42</v>
      </c>
      <c r="R3184" s="13">
        <v>0</v>
      </c>
      <c r="S3184" s="13">
        <v>0</v>
      </c>
      <c r="T3184" s="13">
        <v>1016</v>
      </c>
      <c r="U3184" s="13">
        <v>563</v>
      </c>
      <c r="V3184" s="13">
        <v>0</v>
      </c>
      <c r="W3184" s="37">
        <v>716</v>
      </c>
      <c r="X3184" s="19"/>
      <c r="AG3184" s="16"/>
    </row>
    <row r="3185" spans="2:33">
      <c r="B3185" s="19"/>
      <c r="P3185" s="16"/>
      <c r="Q3185" s="36" t="s">
        <v>43</v>
      </c>
      <c r="R3185" s="13">
        <v>0</v>
      </c>
      <c r="S3185" s="13">
        <v>0</v>
      </c>
      <c r="T3185" s="13">
        <v>918</v>
      </c>
      <c r="U3185" s="13">
        <v>456</v>
      </c>
      <c r="V3185" s="13">
        <v>0</v>
      </c>
      <c r="W3185" s="37">
        <v>127</v>
      </c>
      <c r="X3185" s="19"/>
      <c r="AG3185" s="16"/>
    </row>
    <row r="3186" spans="2:33">
      <c r="B3186" s="19"/>
      <c r="P3186" s="16"/>
      <c r="Q3186" s="36" t="s">
        <v>44</v>
      </c>
      <c r="R3186" s="13">
        <v>0</v>
      </c>
      <c r="S3186" s="13">
        <v>0</v>
      </c>
      <c r="T3186" s="13">
        <v>0</v>
      </c>
      <c r="U3186" s="13">
        <v>555</v>
      </c>
      <c r="V3186" s="13">
        <v>284</v>
      </c>
      <c r="W3186" s="37">
        <v>131</v>
      </c>
      <c r="X3186" s="19"/>
      <c r="AG3186" s="16"/>
    </row>
    <row r="3187" spans="2:33">
      <c r="B3187" s="19"/>
      <c r="P3187" s="16"/>
      <c r="Q3187" s="36" t="s">
        <v>45</v>
      </c>
      <c r="R3187" s="13">
        <v>0</v>
      </c>
      <c r="S3187" s="13">
        <v>685</v>
      </c>
      <c r="T3187" s="13">
        <v>416</v>
      </c>
      <c r="U3187" s="13">
        <v>0</v>
      </c>
      <c r="V3187" s="13">
        <v>0</v>
      </c>
      <c r="W3187" s="37">
        <v>159</v>
      </c>
      <c r="X3187" s="19"/>
      <c r="AG3187" s="16"/>
    </row>
    <row r="3188" spans="2:33" ht="15" thickBot="1">
      <c r="B3188" s="20"/>
      <c r="C3188" s="15"/>
      <c r="D3188" s="15"/>
      <c r="E3188" s="15"/>
      <c r="F3188" s="15"/>
      <c r="G3188" s="15"/>
      <c r="H3188" s="15"/>
      <c r="I3188" s="15"/>
      <c r="J3188" s="15"/>
      <c r="K3188" s="15"/>
      <c r="L3188" s="15"/>
      <c r="M3188" s="15"/>
      <c r="N3188" s="15"/>
      <c r="O3188" s="15"/>
      <c r="P3188" s="17"/>
      <c r="Q3188" s="36" t="s">
        <v>46</v>
      </c>
      <c r="R3188" s="13">
        <v>910</v>
      </c>
      <c r="S3188" s="13">
        <v>527</v>
      </c>
      <c r="T3188" s="13">
        <v>0</v>
      </c>
      <c r="U3188" s="13">
        <v>0</v>
      </c>
      <c r="V3188" s="13">
        <v>0</v>
      </c>
      <c r="W3188" s="37">
        <v>210</v>
      </c>
      <c r="X3188" s="20"/>
      <c r="Y3188" s="15"/>
      <c r="Z3188" s="15"/>
      <c r="AA3188" s="15"/>
      <c r="AB3188" s="15"/>
      <c r="AC3188" s="15"/>
      <c r="AD3188" s="15"/>
      <c r="AE3188" s="15"/>
      <c r="AF3188" s="15"/>
      <c r="AG3188" s="17"/>
    </row>
    <row r="3189" spans="2:33" ht="15" thickBot="1"/>
    <row r="3190" spans="2:33" ht="15" thickBot="1">
      <c r="B3190" s="53" t="s">
        <v>2189</v>
      </c>
      <c r="C3190" s="26" t="s">
        <v>1477</v>
      </c>
      <c r="D3190" s="26" t="s">
        <v>1482</v>
      </c>
      <c r="E3190" s="26" t="s">
        <v>1483</v>
      </c>
      <c r="F3190" s="26" t="s">
        <v>1469</v>
      </c>
      <c r="G3190" s="26" t="s">
        <v>1470</v>
      </c>
      <c r="H3190" s="27" t="s">
        <v>33</v>
      </c>
      <c r="I3190" s="26" t="s">
        <v>1484</v>
      </c>
      <c r="J3190" s="27" t="s">
        <v>87</v>
      </c>
      <c r="K3190" s="29">
        <v>16</v>
      </c>
      <c r="L3190" s="29">
        <v>16</v>
      </c>
      <c r="M3190" s="29">
        <v>16</v>
      </c>
      <c r="N3190" s="29">
        <v>16</v>
      </c>
      <c r="O3190" s="29">
        <v>16</v>
      </c>
      <c r="P3190" s="40">
        <v>16</v>
      </c>
      <c r="Q3190" s="1" t="s">
        <v>35</v>
      </c>
      <c r="R3190" s="2">
        <v>1214</v>
      </c>
      <c r="S3190" s="2">
        <v>766</v>
      </c>
      <c r="T3190" s="2">
        <v>0</v>
      </c>
      <c r="U3190" s="2">
        <v>0</v>
      </c>
      <c r="V3190" s="2">
        <v>0</v>
      </c>
      <c r="W3190" s="2">
        <v>241</v>
      </c>
      <c r="X3190" s="43">
        <f>SUM(R3190:W3202)</f>
        <v>17790</v>
      </c>
      <c r="Y3190" s="10">
        <v>46204</v>
      </c>
      <c r="Z3190" s="11">
        <v>0.21964920427208123</v>
      </c>
      <c r="AA3190" s="11">
        <v>0.18323938230056691</v>
      </c>
      <c r="AB3190" s="11">
        <v>0.14776533800058905</v>
      </c>
      <c r="AC3190" s="11">
        <v>0.12924722998056465</v>
      </c>
      <c r="AD3190" s="11">
        <v>0.11497566539164336</v>
      </c>
      <c r="AE3190" s="11">
        <v>0.13199526282684884</v>
      </c>
      <c r="AF3190" s="11">
        <v>0.8</v>
      </c>
      <c r="AG3190" s="11">
        <v>0.23899999999999999</v>
      </c>
    </row>
    <row r="3191" spans="2:33">
      <c r="C3191" s="14"/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35"/>
      <c r="Q3191" s="36" t="s">
        <v>36</v>
      </c>
      <c r="R3191" s="13">
        <v>969</v>
      </c>
      <c r="S3191" s="13">
        <v>636</v>
      </c>
      <c r="T3191" s="13">
        <v>0</v>
      </c>
      <c r="U3191" s="13">
        <v>0</v>
      </c>
      <c r="V3191" s="13">
        <v>0</v>
      </c>
      <c r="W3191" s="37">
        <v>252</v>
      </c>
      <c r="X3191" s="18"/>
      <c r="Y3191" s="14"/>
      <c r="Z3191" s="14"/>
      <c r="AA3191" s="14"/>
      <c r="AB3191" s="14"/>
      <c r="AC3191" s="14"/>
      <c r="AD3191" s="14"/>
      <c r="AE3191" s="14"/>
      <c r="AF3191" s="14"/>
      <c r="AG3191" s="35"/>
    </row>
    <row r="3192" spans="2:33">
      <c r="B3192" s="19"/>
      <c r="P3192" s="16"/>
      <c r="Q3192" s="36" t="s">
        <v>37</v>
      </c>
      <c r="R3192" s="13">
        <v>0</v>
      </c>
      <c r="S3192" s="13">
        <v>1117</v>
      </c>
      <c r="T3192" s="13">
        <v>723</v>
      </c>
      <c r="U3192" s="13">
        <v>0</v>
      </c>
      <c r="V3192" s="13">
        <v>0</v>
      </c>
      <c r="W3192" s="37">
        <v>274</v>
      </c>
      <c r="X3192" s="19"/>
      <c r="AG3192" s="16"/>
    </row>
    <row r="3193" spans="2:33">
      <c r="B3193" s="19"/>
      <c r="P3193" s="16"/>
      <c r="Q3193" s="36" t="s">
        <v>38</v>
      </c>
      <c r="R3193" s="13">
        <v>0</v>
      </c>
      <c r="S3193" s="13">
        <v>0</v>
      </c>
      <c r="T3193" s="13">
        <v>0</v>
      </c>
      <c r="U3193" s="13">
        <v>616</v>
      </c>
      <c r="V3193" s="13">
        <v>390</v>
      </c>
      <c r="W3193" s="37">
        <v>260</v>
      </c>
      <c r="X3193" s="19"/>
      <c r="AG3193" s="16"/>
    </row>
    <row r="3194" spans="2:33">
      <c r="B3194" s="19"/>
      <c r="P3194" s="16"/>
      <c r="Q3194" s="36" t="s">
        <v>39</v>
      </c>
      <c r="R3194" s="13">
        <v>0</v>
      </c>
      <c r="S3194" s="13">
        <v>0</v>
      </c>
      <c r="T3194" s="13">
        <v>0</v>
      </c>
      <c r="U3194" s="13">
        <v>448</v>
      </c>
      <c r="V3194" s="13">
        <v>335</v>
      </c>
      <c r="W3194" s="37">
        <v>239</v>
      </c>
      <c r="X3194" s="19"/>
      <c r="AG3194" s="16"/>
    </row>
    <row r="3195" spans="2:33">
      <c r="B3195" s="19"/>
      <c r="P3195" s="16"/>
      <c r="Q3195" s="36" t="s">
        <v>238</v>
      </c>
      <c r="R3195" s="13">
        <v>0</v>
      </c>
      <c r="S3195" s="13">
        <v>0</v>
      </c>
      <c r="T3195" s="13">
        <v>146</v>
      </c>
      <c r="U3195" s="13">
        <v>119</v>
      </c>
      <c r="V3195" s="13">
        <v>0</v>
      </c>
      <c r="W3195" s="37">
        <v>74</v>
      </c>
      <c r="X3195" s="19"/>
      <c r="AG3195" s="16"/>
    </row>
    <row r="3196" spans="2:33">
      <c r="B3196" s="19"/>
      <c r="P3196" s="16"/>
      <c r="Q3196" s="36" t="s">
        <v>239</v>
      </c>
      <c r="R3196" s="13">
        <v>0</v>
      </c>
      <c r="S3196" s="13">
        <v>0</v>
      </c>
      <c r="T3196" s="13">
        <v>397</v>
      </c>
      <c r="U3196" s="13">
        <v>302</v>
      </c>
      <c r="V3196" s="13">
        <v>0</v>
      </c>
      <c r="W3196" s="37">
        <v>160</v>
      </c>
      <c r="X3196" s="19"/>
      <c r="AG3196" s="16"/>
    </row>
    <row r="3197" spans="2:33">
      <c r="B3197" s="19"/>
      <c r="P3197" s="16"/>
      <c r="Q3197" s="36" t="s">
        <v>41</v>
      </c>
      <c r="R3197" s="13">
        <v>678</v>
      </c>
      <c r="S3197" s="13">
        <v>461</v>
      </c>
      <c r="T3197" s="13">
        <v>0</v>
      </c>
      <c r="U3197" s="13">
        <v>0</v>
      </c>
      <c r="V3197" s="13">
        <v>0</v>
      </c>
      <c r="W3197" s="37">
        <v>243</v>
      </c>
      <c r="X3197" s="19"/>
      <c r="AG3197" s="16"/>
    </row>
    <row r="3198" spans="2:33">
      <c r="B3198" s="19"/>
      <c r="P3198" s="16"/>
      <c r="Q3198" s="36" t="s">
        <v>42</v>
      </c>
      <c r="R3198" s="13">
        <v>0</v>
      </c>
      <c r="S3198" s="13">
        <v>0</v>
      </c>
      <c r="T3198" s="13">
        <v>566</v>
      </c>
      <c r="U3198" s="13">
        <v>383</v>
      </c>
      <c r="V3198" s="13">
        <v>0</v>
      </c>
      <c r="W3198" s="37">
        <v>258</v>
      </c>
      <c r="X3198" s="19"/>
      <c r="AG3198" s="16"/>
    </row>
    <row r="3199" spans="2:33">
      <c r="B3199" s="19"/>
      <c r="P3199" s="16"/>
      <c r="Q3199" s="36" t="s">
        <v>43</v>
      </c>
      <c r="R3199" s="13">
        <v>0</v>
      </c>
      <c r="S3199" s="13">
        <v>0</v>
      </c>
      <c r="T3199" s="13">
        <v>408</v>
      </c>
      <c r="U3199" s="13">
        <v>297</v>
      </c>
      <c r="V3199" s="13">
        <v>0</v>
      </c>
      <c r="W3199" s="37">
        <v>216</v>
      </c>
      <c r="X3199" s="19"/>
      <c r="AG3199" s="16"/>
    </row>
    <row r="3200" spans="2:33">
      <c r="B3200" s="19"/>
      <c r="P3200" s="16"/>
      <c r="Q3200" s="36" t="s">
        <v>44</v>
      </c>
      <c r="R3200" s="13">
        <v>0</v>
      </c>
      <c r="S3200" s="13">
        <v>0</v>
      </c>
      <c r="T3200" s="13">
        <v>0</v>
      </c>
      <c r="U3200" s="13">
        <v>416</v>
      </c>
      <c r="V3200" s="13">
        <v>294</v>
      </c>
      <c r="W3200" s="37">
        <v>220</v>
      </c>
      <c r="X3200" s="19"/>
      <c r="AG3200" s="16"/>
    </row>
    <row r="3201" spans="2:33">
      <c r="B3201" s="19"/>
      <c r="P3201" s="16"/>
      <c r="Q3201" s="36" t="s">
        <v>45</v>
      </c>
      <c r="R3201" s="13">
        <v>0</v>
      </c>
      <c r="S3201" s="13">
        <v>870</v>
      </c>
      <c r="T3201" s="13">
        <v>542</v>
      </c>
      <c r="U3201" s="13">
        <v>0</v>
      </c>
      <c r="V3201" s="13">
        <v>0</v>
      </c>
      <c r="W3201" s="37">
        <v>268</v>
      </c>
      <c r="X3201" s="19"/>
      <c r="AG3201" s="16"/>
    </row>
    <row r="3202" spans="2:33" ht="15" thickBot="1">
      <c r="B3202" s="20"/>
      <c r="C3202" s="15"/>
      <c r="D3202" s="15"/>
      <c r="E3202" s="15"/>
      <c r="F3202" s="15"/>
      <c r="G3202" s="15"/>
      <c r="H3202" s="15"/>
      <c r="I3202" s="15"/>
      <c r="J3202" s="15"/>
      <c r="K3202" s="15"/>
      <c r="L3202" s="15"/>
      <c r="M3202" s="15"/>
      <c r="N3202" s="15"/>
      <c r="O3202" s="15"/>
      <c r="P3202" s="17"/>
      <c r="Q3202" s="36" t="s">
        <v>46</v>
      </c>
      <c r="R3202" s="13">
        <v>1071</v>
      </c>
      <c r="S3202" s="13">
        <v>682</v>
      </c>
      <c r="T3202" s="13">
        <v>0</v>
      </c>
      <c r="U3202" s="13">
        <v>0</v>
      </c>
      <c r="V3202" s="13">
        <v>0</v>
      </c>
      <c r="W3202" s="37">
        <v>239</v>
      </c>
      <c r="X3202" s="20"/>
      <c r="Y3202" s="15"/>
      <c r="Z3202" s="15"/>
      <c r="AA3202" s="15"/>
      <c r="AB3202" s="15"/>
      <c r="AC3202" s="15"/>
      <c r="AD3202" s="15"/>
      <c r="AE3202" s="15"/>
      <c r="AF3202" s="15"/>
      <c r="AG3202" s="17"/>
    </row>
    <row r="3203" spans="2:33" ht="15" thickBot="1"/>
    <row r="3204" spans="2:33" ht="15" thickBot="1">
      <c r="B3204" s="53" t="s">
        <v>2189</v>
      </c>
      <c r="C3204" s="26" t="s">
        <v>1477</v>
      </c>
      <c r="D3204" s="26" t="s">
        <v>1485</v>
      </c>
      <c r="E3204" s="26" t="s">
        <v>1486</v>
      </c>
      <c r="F3204" s="26" t="s">
        <v>622</v>
      </c>
      <c r="G3204" s="26" t="s">
        <v>33</v>
      </c>
      <c r="H3204" s="27" t="s">
        <v>33</v>
      </c>
      <c r="I3204" s="26" t="s">
        <v>1487</v>
      </c>
      <c r="J3204" s="27" t="s">
        <v>87</v>
      </c>
      <c r="K3204" s="29">
        <v>15.001000404357899</v>
      </c>
      <c r="L3204" s="29">
        <v>15.001000404357899</v>
      </c>
      <c r="M3204" s="29">
        <v>15.001000404357899</v>
      </c>
      <c r="N3204" s="29">
        <v>15.001000404357899</v>
      </c>
      <c r="O3204" s="29">
        <v>15.001000404357899</v>
      </c>
      <c r="P3204" s="40">
        <v>15.001000404357899</v>
      </c>
      <c r="Q3204" s="1" t="s">
        <v>35</v>
      </c>
      <c r="R3204" s="2">
        <v>1020</v>
      </c>
      <c r="S3204" s="2">
        <v>546</v>
      </c>
      <c r="T3204" s="2">
        <v>0</v>
      </c>
      <c r="U3204" s="2">
        <v>0</v>
      </c>
      <c r="V3204" s="2">
        <v>0</v>
      </c>
      <c r="W3204" s="2">
        <v>164</v>
      </c>
      <c r="X3204" s="43">
        <f>SUM(R3204:W3216)</f>
        <v>15939</v>
      </c>
      <c r="Y3204" s="10">
        <v>46204</v>
      </c>
      <c r="Z3204" s="11">
        <v>0.21964920427208123</v>
      </c>
      <c r="AA3204" s="11">
        <v>0.18323938230056691</v>
      </c>
      <c r="AB3204" s="11">
        <v>0.14776533800058905</v>
      </c>
      <c r="AC3204" s="11">
        <v>0.12924722998056465</v>
      </c>
      <c r="AD3204" s="11">
        <v>0.11497566539164336</v>
      </c>
      <c r="AE3204" s="11">
        <v>0.13199526282684884</v>
      </c>
      <c r="AF3204" s="11">
        <v>0.8</v>
      </c>
      <c r="AG3204" s="11">
        <v>0.23899999999999999</v>
      </c>
    </row>
    <row r="3205" spans="2:33">
      <c r="C3205" s="14"/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35"/>
      <c r="Q3205" s="36" t="s">
        <v>36</v>
      </c>
      <c r="R3205" s="13">
        <v>812</v>
      </c>
      <c r="S3205" s="13">
        <v>336</v>
      </c>
      <c r="T3205" s="13">
        <v>0</v>
      </c>
      <c r="U3205" s="13">
        <v>0</v>
      </c>
      <c r="V3205" s="13">
        <v>0</v>
      </c>
      <c r="W3205" s="37">
        <v>284</v>
      </c>
      <c r="X3205" s="18"/>
      <c r="Y3205" s="14"/>
      <c r="Z3205" s="14"/>
      <c r="AA3205" s="14"/>
      <c r="AB3205" s="14"/>
      <c r="AC3205" s="14"/>
      <c r="AD3205" s="14"/>
      <c r="AE3205" s="14"/>
      <c r="AF3205" s="14"/>
      <c r="AG3205" s="35"/>
    </row>
    <row r="3206" spans="2:33">
      <c r="B3206" s="19"/>
      <c r="P3206" s="16"/>
      <c r="Q3206" s="36" t="s">
        <v>37</v>
      </c>
      <c r="R3206" s="13">
        <v>0</v>
      </c>
      <c r="S3206" s="13">
        <v>877</v>
      </c>
      <c r="T3206" s="13">
        <v>403</v>
      </c>
      <c r="U3206" s="13">
        <v>0</v>
      </c>
      <c r="V3206" s="13">
        <v>0</v>
      </c>
      <c r="W3206" s="37">
        <v>204</v>
      </c>
      <c r="X3206" s="19"/>
      <c r="AG3206" s="16"/>
    </row>
    <row r="3207" spans="2:33">
      <c r="B3207" s="19"/>
      <c r="P3207" s="16"/>
      <c r="Q3207" s="36" t="s">
        <v>38</v>
      </c>
      <c r="R3207" s="13">
        <v>0</v>
      </c>
      <c r="S3207" s="13">
        <v>0</v>
      </c>
      <c r="T3207" s="13">
        <v>0</v>
      </c>
      <c r="U3207" s="13">
        <v>563</v>
      </c>
      <c r="V3207" s="13">
        <v>267</v>
      </c>
      <c r="W3207" s="37">
        <v>146</v>
      </c>
      <c r="X3207" s="19"/>
      <c r="AG3207" s="16"/>
    </row>
    <row r="3208" spans="2:33">
      <c r="B3208" s="19"/>
      <c r="P3208" s="16"/>
      <c r="Q3208" s="36" t="s">
        <v>39</v>
      </c>
      <c r="R3208" s="13">
        <v>0</v>
      </c>
      <c r="S3208" s="13">
        <v>0</v>
      </c>
      <c r="T3208" s="13">
        <v>0</v>
      </c>
      <c r="U3208" s="13">
        <v>537</v>
      </c>
      <c r="V3208" s="13">
        <v>244</v>
      </c>
      <c r="W3208" s="37">
        <v>154</v>
      </c>
      <c r="X3208" s="19"/>
      <c r="AG3208" s="16"/>
    </row>
    <row r="3209" spans="2:33">
      <c r="B3209" s="19"/>
      <c r="P3209" s="16"/>
      <c r="Q3209" s="36" t="s">
        <v>238</v>
      </c>
      <c r="R3209" s="13">
        <v>0</v>
      </c>
      <c r="S3209" s="13">
        <v>0</v>
      </c>
      <c r="T3209" s="13">
        <v>235</v>
      </c>
      <c r="U3209" s="13">
        <v>125</v>
      </c>
      <c r="V3209" s="13">
        <v>0</v>
      </c>
      <c r="W3209" s="37">
        <v>50</v>
      </c>
      <c r="X3209" s="19"/>
      <c r="AG3209" s="16"/>
    </row>
    <row r="3210" spans="2:33">
      <c r="B3210" s="19"/>
      <c r="P3210" s="16"/>
      <c r="Q3210" s="36" t="s">
        <v>239</v>
      </c>
      <c r="R3210" s="13">
        <v>0</v>
      </c>
      <c r="S3210" s="13">
        <v>0</v>
      </c>
      <c r="T3210" s="13">
        <v>506</v>
      </c>
      <c r="U3210" s="13">
        <v>253</v>
      </c>
      <c r="V3210" s="13">
        <v>0</v>
      </c>
      <c r="W3210" s="37">
        <v>97</v>
      </c>
      <c r="X3210" s="19"/>
      <c r="AG3210" s="16"/>
    </row>
    <row r="3211" spans="2:33">
      <c r="B3211" s="19"/>
      <c r="P3211" s="16"/>
      <c r="Q3211" s="36" t="s">
        <v>41</v>
      </c>
      <c r="R3211" s="13">
        <v>773</v>
      </c>
      <c r="S3211" s="13">
        <v>393</v>
      </c>
      <c r="T3211" s="13">
        <v>0</v>
      </c>
      <c r="U3211" s="13">
        <v>0</v>
      </c>
      <c r="V3211" s="13">
        <v>0</v>
      </c>
      <c r="W3211" s="37">
        <v>149</v>
      </c>
      <c r="X3211" s="19"/>
      <c r="AG3211" s="16"/>
    </row>
    <row r="3212" spans="2:33">
      <c r="B3212" s="19"/>
      <c r="P3212" s="16"/>
      <c r="Q3212" s="36" t="s">
        <v>42</v>
      </c>
      <c r="R3212" s="13">
        <v>0</v>
      </c>
      <c r="S3212" s="13">
        <v>0</v>
      </c>
      <c r="T3212" s="13">
        <v>639</v>
      </c>
      <c r="U3212" s="13">
        <v>351</v>
      </c>
      <c r="V3212" s="13">
        <v>0</v>
      </c>
      <c r="W3212" s="37">
        <v>541</v>
      </c>
      <c r="X3212" s="19"/>
      <c r="AG3212" s="16"/>
    </row>
    <row r="3213" spans="2:33">
      <c r="B3213" s="19"/>
      <c r="P3213" s="16"/>
      <c r="Q3213" s="36" t="s">
        <v>43</v>
      </c>
      <c r="R3213" s="13">
        <v>0</v>
      </c>
      <c r="S3213" s="13">
        <v>0</v>
      </c>
      <c r="T3213" s="13">
        <v>598</v>
      </c>
      <c r="U3213" s="13">
        <v>285</v>
      </c>
      <c r="V3213" s="13">
        <v>0</v>
      </c>
      <c r="W3213" s="37">
        <v>165</v>
      </c>
      <c r="X3213" s="19"/>
      <c r="AG3213" s="16"/>
    </row>
    <row r="3214" spans="2:33">
      <c r="B3214" s="19"/>
      <c r="P3214" s="16"/>
      <c r="Q3214" s="36" t="s">
        <v>44</v>
      </c>
      <c r="R3214" s="13">
        <v>0</v>
      </c>
      <c r="S3214" s="13">
        <v>0</v>
      </c>
      <c r="T3214" s="13">
        <v>0</v>
      </c>
      <c r="U3214" s="13">
        <v>547</v>
      </c>
      <c r="V3214" s="13">
        <v>258</v>
      </c>
      <c r="W3214" s="37">
        <v>169</v>
      </c>
      <c r="X3214" s="19"/>
      <c r="AG3214" s="16"/>
    </row>
    <row r="3215" spans="2:33">
      <c r="B3215" s="19"/>
      <c r="P3215" s="16"/>
      <c r="Q3215" s="36" t="s">
        <v>45</v>
      </c>
      <c r="R3215" s="13">
        <v>0</v>
      </c>
      <c r="S3215" s="13">
        <v>833</v>
      </c>
      <c r="T3215" s="13">
        <v>369</v>
      </c>
      <c r="U3215" s="13">
        <v>0</v>
      </c>
      <c r="V3215" s="13">
        <v>0</v>
      </c>
      <c r="W3215" s="37">
        <v>199</v>
      </c>
      <c r="X3215" s="19"/>
      <c r="AG3215" s="16"/>
    </row>
    <row r="3216" spans="2:33" ht="15" thickBot="1">
      <c r="B3216" s="20"/>
      <c r="C3216" s="15"/>
      <c r="D3216" s="15"/>
      <c r="E3216" s="15"/>
      <c r="F3216" s="15"/>
      <c r="G3216" s="15"/>
      <c r="H3216" s="15"/>
      <c r="I3216" s="15"/>
      <c r="J3216" s="15"/>
      <c r="K3216" s="15"/>
      <c r="L3216" s="15"/>
      <c r="M3216" s="15"/>
      <c r="N3216" s="15"/>
      <c r="O3216" s="15"/>
      <c r="P3216" s="17"/>
      <c r="Q3216" s="36" t="s">
        <v>46</v>
      </c>
      <c r="R3216" s="13">
        <v>971</v>
      </c>
      <c r="S3216" s="13">
        <v>515</v>
      </c>
      <c r="T3216" s="13">
        <v>0</v>
      </c>
      <c r="U3216" s="13">
        <v>0</v>
      </c>
      <c r="V3216" s="13">
        <v>0</v>
      </c>
      <c r="W3216" s="37">
        <v>361</v>
      </c>
      <c r="X3216" s="20"/>
      <c r="Y3216" s="15"/>
      <c r="Z3216" s="15"/>
      <c r="AA3216" s="15"/>
      <c r="AB3216" s="15"/>
      <c r="AC3216" s="15"/>
      <c r="AD3216" s="15"/>
      <c r="AE3216" s="15"/>
      <c r="AF3216" s="15"/>
      <c r="AG3216" s="17"/>
    </row>
    <row r="3217" spans="2:33" ht="15" thickBot="1"/>
    <row r="3218" spans="2:33" ht="15" thickBot="1">
      <c r="B3218" s="53" t="s">
        <v>2189</v>
      </c>
      <c r="C3218" s="26" t="s">
        <v>1477</v>
      </c>
      <c r="D3218" s="26" t="s">
        <v>1488</v>
      </c>
      <c r="E3218" s="26" t="s">
        <v>1489</v>
      </c>
      <c r="F3218" s="26" t="s">
        <v>1490</v>
      </c>
      <c r="G3218" s="26" t="s">
        <v>33</v>
      </c>
      <c r="H3218" s="27" t="s">
        <v>33</v>
      </c>
      <c r="I3218" s="26" t="s">
        <v>1491</v>
      </c>
      <c r="J3218" s="27" t="s">
        <v>87</v>
      </c>
      <c r="K3218" s="29">
        <v>15.0100002288818</v>
      </c>
      <c r="L3218" s="29">
        <v>15.0100002288818</v>
      </c>
      <c r="M3218" s="29">
        <v>15.0100002288818</v>
      </c>
      <c r="N3218" s="29">
        <v>15.0100002288818</v>
      </c>
      <c r="O3218" s="29">
        <v>15.0100002288818</v>
      </c>
      <c r="P3218" s="40">
        <v>15.0100002288818</v>
      </c>
      <c r="Q3218" s="1" t="s">
        <v>1008</v>
      </c>
      <c r="R3218" s="2">
        <v>0</v>
      </c>
      <c r="S3218" s="2">
        <v>0</v>
      </c>
      <c r="T3218" s="2">
        <v>0</v>
      </c>
      <c r="U3218" s="2">
        <v>209</v>
      </c>
      <c r="V3218" s="2">
        <v>137</v>
      </c>
      <c r="W3218" s="2">
        <v>197</v>
      </c>
      <c r="X3218" s="43">
        <f>SUM(R3218:W3223)</f>
        <v>10551</v>
      </c>
      <c r="Y3218" s="10">
        <v>46204</v>
      </c>
      <c r="Z3218" s="11">
        <v>0.21964920427208123</v>
      </c>
      <c r="AA3218" s="11">
        <v>0.18323938230056691</v>
      </c>
      <c r="AB3218" s="11">
        <v>0.14776533800058905</v>
      </c>
      <c r="AC3218" s="11">
        <v>0.12924722998056465</v>
      </c>
      <c r="AD3218" s="11">
        <v>0.11497566539164336</v>
      </c>
      <c r="AE3218" s="11">
        <v>0.13199526282684884</v>
      </c>
      <c r="AF3218" s="11">
        <v>0.8</v>
      </c>
      <c r="AG3218" s="11">
        <v>0.23899999999999999</v>
      </c>
    </row>
    <row r="3219" spans="2:33">
      <c r="C3219" s="14"/>
      <c r="D3219" s="14"/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35"/>
      <c r="Q3219" s="36" t="s">
        <v>1492</v>
      </c>
      <c r="R3219" s="13">
        <v>0</v>
      </c>
      <c r="S3219" s="13">
        <v>0</v>
      </c>
      <c r="T3219" s="13">
        <v>759</v>
      </c>
      <c r="U3219" s="13">
        <v>639</v>
      </c>
      <c r="V3219" s="13">
        <v>224</v>
      </c>
      <c r="W3219" s="37">
        <v>509</v>
      </c>
      <c r="X3219" s="18"/>
      <c r="Y3219" s="14"/>
      <c r="Z3219" s="14"/>
      <c r="AA3219" s="14"/>
      <c r="AB3219" s="14"/>
      <c r="AC3219" s="14"/>
      <c r="AD3219" s="14"/>
      <c r="AE3219" s="14"/>
      <c r="AF3219" s="14"/>
      <c r="AG3219" s="35"/>
    </row>
    <row r="3220" spans="2:33">
      <c r="B3220" s="19"/>
      <c r="P3220" s="16"/>
      <c r="Q3220" s="36" t="s">
        <v>265</v>
      </c>
      <c r="R3220" s="13">
        <v>319</v>
      </c>
      <c r="S3220" s="13">
        <v>223</v>
      </c>
      <c r="T3220" s="13">
        <v>252</v>
      </c>
      <c r="U3220" s="13">
        <v>176</v>
      </c>
      <c r="V3220" s="13">
        <v>0</v>
      </c>
      <c r="W3220" s="37">
        <v>668</v>
      </c>
      <c r="X3220" s="19"/>
      <c r="AG3220" s="16"/>
    </row>
    <row r="3221" spans="2:33">
      <c r="B3221" s="19"/>
      <c r="P3221" s="16"/>
      <c r="Q3221" s="36" t="s">
        <v>84</v>
      </c>
      <c r="R3221" s="13">
        <v>486</v>
      </c>
      <c r="S3221" s="13">
        <v>340</v>
      </c>
      <c r="T3221" s="13">
        <v>356</v>
      </c>
      <c r="U3221" s="13">
        <v>249</v>
      </c>
      <c r="V3221" s="13">
        <v>0</v>
      </c>
      <c r="W3221" s="37">
        <v>996</v>
      </c>
      <c r="X3221" s="19"/>
      <c r="AG3221" s="16"/>
    </row>
    <row r="3222" spans="2:33">
      <c r="B3222" s="19"/>
      <c r="P3222" s="16"/>
      <c r="Q3222" s="36" t="s">
        <v>1493</v>
      </c>
      <c r="R3222" s="13">
        <v>0</v>
      </c>
      <c r="S3222" s="13">
        <v>0</v>
      </c>
      <c r="T3222" s="13">
        <v>700</v>
      </c>
      <c r="U3222" s="13">
        <v>487</v>
      </c>
      <c r="V3222" s="13">
        <v>0</v>
      </c>
      <c r="W3222" s="37">
        <v>901</v>
      </c>
      <c r="X3222" s="19"/>
      <c r="AG3222" s="16"/>
    </row>
    <row r="3223" spans="2:33" ht="15" thickBot="1">
      <c r="B3223" s="20"/>
      <c r="C3223" s="15"/>
      <c r="D3223" s="15"/>
      <c r="E3223" s="15"/>
      <c r="F3223" s="15"/>
      <c r="G3223" s="15"/>
      <c r="H3223" s="15"/>
      <c r="I3223" s="15"/>
      <c r="J3223" s="15"/>
      <c r="K3223" s="15"/>
      <c r="L3223" s="15"/>
      <c r="M3223" s="15"/>
      <c r="N3223" s="15"/>
      <c r="O3223" s="15"/>
      <c r="P3223" s="17"/>
      <c r="Q3223" s="36" t="s">
        <v>1494</v>
      </c>
      <c r="R3223" s="13">
        <v>0</v>
      </c>
      <c r="S3223" s="13">
        <v>0</v>
      </c>
      <c r="T3223" s="13">
        <v>394</v>
      </c>
      <c r="U3223" s="13">
        <v>490</v>
      </c>
      <c r="V3223" s="13">
        <v>148</v>
      </c>
      <c r="W3223" s="37">
        <v>692</v>
      </c>
      <c r="X3223" s="20"/>
      <c r="Y3223" s="15"/>
      <c r="Z3223" s="15"/>
      <c r="AA3223" s="15"/>
      <c r="AB3223" s="15"/>
      <c r="AC3223" s="15"/>
      <c r="AD3223" s="15"/>
      <c r="AE3223" s="15"/>
      <c r="AF3223" s="15"/>
      <c r="AG3223" s="17"/>
    </row>
    <row r="3224" spans="2:33" ht="15" thickBot="1"/>
    <row r="3225" spans="2:33" ht="15" thickBot="1">
      <c r="B3225" s="53" t="s">
        <v>2189</v>
      </c>
      <c r="C3225" s="26" t="s">
        <v>1477</v>
      </c>
      <c r="D3225" s="26" t="s">
        <v>1495</v>
      </c>
      <c r="E3225" s="26" t="s">
        <v>1496</v>
      </c>
      <c r="F3225" s="26" t="s">
        <v>1497</v>
      </c>
      <c r="G3225" s="26" t="s">
        <v>1498</v>
      </c>
      <c r="H3225" s="27" t="s">
        <v>33</v>
      </c>
      <c r="I3225" s="26" t="s">
        <v>1499</v>
      </c>
      <c r="J3225" s="27" t="s">
        <v>56</v>
      </c>
      <c r="K3225" s="29">
        <v>7.5100002288818404</v>
      </c>
      <c r="L3225" s="29">
        <v>7.5100002288818404</v>
      </c>
      <c r="M3225" s="29">
        <v>7.5100002288818404</v>
      </c>
      <c r="N3225" s="29" t="s">
        <v>96</v>
      </c>
      <c r="O3225" s="29" t="s">
        <v>96</v>
      </c>
      <c r="P3225" s="40" t="s">
        <v>96</v>
      </c>
      <c r="Q3225" s="1" t="s">
        <v>1500</v>
      </c>
      <c r="R3225" s="2">
        <v>536</v>
      </c>
      <c r="S3225" s="2">
        <v>142</v>
      </c>
      <c r="T3225" s="2">
        <v>318</v>
      </c>
      <c r="U3225" s="2">
        <v>0</v>
      </c>
      <c r="V3225" s="2">
        <v>0</v>
      </c>
      <c r="W3225" s="2">
        <v>0</v>
      </c>
      <c r="X3225" s="43">
        <f>SUM(R3225:W3232)</f>
        <v>4345</v>
      </c>
      <c r="Y3225" s="10">
        <v>46204</v>
      </c>
      <c r="Z3225" s="11">
        <v>0.23982933470114767</v>
      </c>
      <c r="AA3225" s="11">
        <v>0.16331488490945434</v>
      </c>
      <c r="AB3225" s="11">
        <v>0.13558926282684883</v>
      </c>
      <c r="AC3225" s="11"/>
      <c r="AD3225" s="11"/>
      <c r="AE3225" s="11"/>
      <c r="AF3225" s="11">
        <v>0.8</v>
      </c>
      <c r="AG3225" s="11">
        <v>0.23899999999999999</v>
      </c>
    </row>
    <row r="3226" spans="2:33">
      <c r="C3226" s="14"/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35"/>
      <c r="Q3226" s="36" t="s">
        <v>1501</v>
      </c>
      <c r="R3226" s="13">
        <v>381</v>
      </c>
      <c r="S3226" s="13">
        <v>95</v>
      </c>
      <c r="T3226" s="13">
        <v>114</v>
      </c>
      <c r="U3226" s="13">
        <v>0</v>
      </c>
      <c r="V3226" s="13">
        <v>0</v>
      </c>
      <c r="W3226" s="37">
        <v>0</v>
      </c>
      <c r="X3226" s="18"/>
      <c r="Y3226" s="14"/>
      <c r="Z3226" s="14"/>
      <c r="AA3226" s="14"/>
      <c r="AB3226" s="14"/>
      <c r="AC3226" s="14"/>
      <c r="AD3226" s="14"/>
      <c r="AE3226" s="14"/>
      <c r="AF3226" s="14"/>
      <c r="AG3226" s="35"/>
    </row>
    <row r="3227" spans="2:33">
      <c r="B3227" s="19"/>
      <c r="P3227" s="16"/>
      <c r="Q3227" s="36" t="s">
        <v>1502</v>
      </c>
      <c r="R3227" s="13">
        <v>371</v>
      </c>
      <c r="S3227" s="13">
        <v>100</v>
      </c>
      <c r="T3227" s="13">
        <v>135</v>
      </c>
      <c r="U3227" s="13">
        <v>0</v>
      </c>
      <c r="V3227" s="13">
        <v>0</v>
      </c>
      <c r="W3227" s="37">
        <v>0</v>
      </c>
      <c r="X3227" s="19"/>
      <c r="AG3227" s="16"/>
    </row>
    <row r="3228" spans="2:33">
      <c r="B3228" s="19"/>
      <c r="P3228" s="16"/>
      <c r="Q3228" s="36" t="s">
        <v>1503</v>
      </c>
      <c r="R3228" s="13">
        <v>201</v>
      </c>
      <c r="S3228" s="13">
        <v>83</v>
      </c>
      <c r="T3228" s="13">
        <v>129</v>
      </c>
      <c r="U3228" s="13">
        <v>0</v>
      </c>
      <c r="V3228" s="13">
        <v>0</v>
      </c>
      <c r="W3228" s="37">
        <v>0</v>
      </c>
      <c r="X3228" s="19"/>
      <c r="AG3228" s="16"/>
    </row>
    <row r="3229" spans="2:33">
      <c r="B3229" s="19"/>
      <c r="P3229" s="16"/>
      <c r="Q3229" s="36" t="s">
        <v>1504</v>
      </c>
      <c r="R3229" s="13">
        <v>167</v>
      </c>
      <c r="S3229" s="13">
        <v>77</v>
      </c>
      <c r="T3229" s="13">
        <v>109</v>
      </c>
      <c r="U3229" s="13">
        <v>0</v>
      </c>
      <c r="V3229" s="13">
        <v>0</v>
      </c>
      <c r="W3229" s="37">
        <v>0</v>
      </c>
      <c r="X3229" s="19"/>
      <c r="AG3229" s="16"/>
    </row>
    <row r="3230" spans="2:33">
      <c r="B3230" s="19"/>
      <c r="P3230" s="16"/>
      <c r="Q3230" s="36" t="s">
        <v>1505</v>
      </c>
      <c r="R3230" s="13">
        <v>269</v>
      </c>
      <c r="S3230" s="13">
        <v>108</v>
      </c>
      <c r="T3230" s="13">
        <v>104</v>
      </c>
      <c r="U3230" s="13">
        <v>0</v>
      </c>
      <c r="V3230" s="13">
        <v>0</v>
      </c>
      <c r="W3230" s="37">
        <v>0</v>
      </c>
      <c r="X3230" s="19"/>
      <c r="AG3230" s="16"/>
    </row>
    <row r="3231" spans="2:33">
      <c r="B3231" s="19"/>
      <c r="P3231" s="16"/>
      <c r="Q3231" s="36" t="s">
        <v>1506</v>
      </c>
      <c r="R3231" s="13">
        <v>366</v>
      </c>
      <c r="S3231" s="13">
        <v>92</v>
      </c>
      <c r="T3231" s="13">
        <v>125</v>
      </c>
      <c r="U3231" s="13">
        <v>0</v>
      </c>
      <c r="V3231" s="13">
        <v>0</v>
      </c>
      <c r="W3231" s="37">
        <v>0</v>
      </c>
      <c r="X3231" s="19"/>
      <c r="AG3231" s="16"/>
    </row>
    <row r="3232" spans="2:33" ht="15" thickBot="1">
      <c r="B3232" s="20"/>
      <c r="C3232" s="15"/>
      <c r="D3232" s="15"/>
      <c r="E3232" s="15"/>
      <c r="F3232" s="15"/>
      <c r="G3232" s="15"/>
      <c r="H3232" s="15"/>
      <c r="I3232" s="15"/>
      <c r="J3232" s="15"/>
      <c r="K3232" s="15"/>
      <c r="L3232" s="15"/>
      <c r="M3232" s="15"/>
      <c r="N3232" s="15"/>
      <c r="O3232" s="15"/>
      <c r="P3232" s="17"/>
      <c r="Q3232" s="36" t="s">
        <v>1507</v>
      </c>
      <c r="R3232" s="13">
        <v>178</v>
      </c>
      <c r="S3232" s="13">
        <v>58</v>
      </c>
      <c r="T3232" s="13">
        <v>87</v>
      </c>
      <c r="U3232" s="13">
        <v>0</v>
      </c>
      <c r="V3232" s="13">
        <v>0</v>
      </c>
      <c r="W3232" s="37">
        <v>0</v>
      </c>
      <c r="X3232" s="20"/>
      <c r="Y3232" s="15"/>
      <c r="Z3232" s="15"/>
      <c r="AA3232" s="15"/>
      <c r="AB3232" s="15"/>
      <c r="AC3232" s="15"/>
      <c r="AD3232" s="15"/>
      <c r="AE3232" s="15"/>
      <c r="AF3232" s="15"/>
      <c r="AG3232" s="17"/>
    </row>
    <row r="3233" spans="2:33" ht="15" thickBot="1"/>
    <row r="3234" spans="2:33" ht="15" thickBot="1">
      <c r="B3234" s="53" t="s">
        <v>2189</v>
      </c>
      <c r="C3234" s="26" t="s">
        <v>1508</v>
      </c>
      <c r="D3234" s="26" t="s">
        <v>1509</v>
      </c>
      <c r="E3234" s="26" t="s">
        <v>1510</v>
      </c>
      <c r="F3234" s="26" t="s">
        <v>1511</v>
      </c>
      <c r="G3234" s="26" t="s">
        <v>1512</v>
      </c>
      <c r="H3234" s="27" t="s">
        <v>33</v>
      </c>
      <c r="I3234" s="26" t="s">
        <v>1513</v>
      </c>
      <c r="J3234" s="27" t="s">
        <v>87</v>
      </c>
      <c r="K3234" s="29">
        <v>15.0100002288818</v>
      </c>
      <c r="L3234" s="29">
        <v>15.0100002288818</v>
      </c>
      <c r="M3234" s="29">
        <v>15.0100002288818</v>
      </c>
      <c r="N3234" s="29">
        <v>15.0100002288818</v>
      </c>
      <c r="O3234" s="29">
        <v>15.0100002288818</v>
      </c>
      <c r="P3234" s="40">
        <v>15.0100002288818</v>
      </c>
      <c r="Q3234" s="1" t="s">
        <v>35</v>
      </c>
      <c r="R3234" s="2">
        <v>2118</v>
      </c>
      <c r="S3234" s="2">
        <v>1171</v>
      </c>
      <c r="T3234" s="2">
        <v>0</v>
      </c>
      <c r="U3234" s="2">
        <v>0</v>
      </c>
      <c r="V3234" s="2">
        <v>0</v>
      </c>
      <c r="W3234" s="2">
        <v>1097</v>
      </c>
      <c r="X3234" s="43">
        <f>SUM(R3234:W3246)</f>
        <v>34786</v>
      </c>
      <c r="Y3234" s="10">
        <v>46204</v>
      </c>
      <c r="Z3234" s="11">
        <v>0.21964920427208123</v>
      </c>
      <c r="AA3234" s="11">
        <v>0.18323938230056691</v>
      </c>
      <c r="AB3234" s="11">
        <v>0.14776533800058905</v>
      </c>
      <c r="AC3234" s="11">
        <v>0.12924722998056465</v>
      </c>
      <c r="AD3234" s="11">
        <v>0.11497566539164336</v>
      </c>
      <c r="AE3234" s="11">
        <v>0.13199526282684884</v>
      </c>
      <c r="AF3234" s="11">
        <v>0.8</v>
      </c>
      <c r="AG3234" s="11">
        <v>0.23899999999999999</v>
      </c>
    </row>
    <row r="3235" spans="2:33">
      <c r="C3235" s="14"/>
      <c r="D3235" s="14"/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35"/>
      <c r="Q3235" s="36" t="s">
        <v>36</v>
      </c>
      <c r="R3235" s="13">
        <v>1709</v>
      </c>
      <c r="S3235" s="13">
        <v>1001</v>
      </c>
      <c r="T3235" s="13">
        <v>0</v>
      </c>
      <c r="U3235" s="13">
        <v>0</v>
      </c>
      <c r="V3235" s="13">
        <v>0</v>
      </c>
      <c r="W3235" s="37">
        <v>997</v>
      </c>
      <c r="X3235" s="18"/>
      <c r="Y3235" s="14"/>
      <c r="Z3235" s="14"/>
      <c r="AA3235" s="14"/>
      <c r="AB3235" s="14"/>
      <c r="AC3235" s="14"/>
      <c r="AD3235" s="14"/>
      <c r="AE3235" s="14"/>
      <c r="AF3235" s="14"/>
      <c r="AG3235" s="35"/>
    </row>
    <row r="3236" spans="2:33">
      <c r="B3236" s="19"/>
      <c r="P3236" s="16"/>
      <c r="Q3236" s="36" t="s">
        <v>37</v>
      </c>
      <c r="R3236" s="13">
        <v>0</v>
      </c>
      <c r="S3236" s="13">
        <v>1981</v>
      </c>
      <c r="T3236" s="13">
        <v>1133</v>
      </c>
      <c r="U3236" s="13">
        <v>0</v>
      </c>
      <c r="V3236" s="13">
        <v>0</v>
      </c>
      <c r="W3236" s="37">
        <v>1371</v>
      </c>
      <c r="X3236" s="19"/>
      <c r="AG3236" s="16"/>
    </row>
    <row r="3237" spans="2:33">
      <c r="B3237" s="19"/>
      <c r="P3237" s="16"/>
      <c r="Q3237" s="36" t="s">
        <v>1514</v>
      </c>
      <c r="R3237" s="13">
        <v>0</v>
      </c>
      <c r="S3237" s="13">
        <v>0</v>
      </c>
      <c r="T3237" s="13">
        <v>0</v>
      </c>
      <c r="U3237" s="13">
        <v>696</v>
      </c>
      <c r="V3237" s="13">
        <v>316</v>
      </c>
      <c r="W3237" s="37">
        <v>364</v>
      </c>
      <c r="X3237" s="19"/>
      <c r="AG3237" s="16"/>
    </row>
    <row r="3238" spans="2:33">
      <c r="B3238" s="19"/>
      <c r="P3238" s="16"/>
      <c r="Q3238" s="36" t="s">
        <v>1515</v>
      </c>
      <c r="R3238" s="13">
        <v>0</v>
      </c>
      <c r="S3238" s="13">
        <v>0</v>
      </c>
      <c r="T3238" s="13">
        <v>0</v>
      </c>
      <c r="U3238" s="13">
        <v>618</v>
      </c>
      <c r="V3238" s="13">
        <v>252</v>
      </c>
      <c r="W3238" s="37">
        <v>362</v>
      </c>
      <c r="X3238" s="19"/>
      <c r="AG3238" s="16"/>
    </row>
    <row r="3239" spans="2:33">
      <c r="B3239" s="19"/>
      <c r="P3239" s="16"/>
      <c r="Q3239" s="36" t="s">
        <v>39</v>
      </c>
      <c r="R3239" s="13">
        <v>0</v>
      </c>
      <c r="S3239" s="13">
        <v>0</v>
      </c>
      <c r="T3239" s="13">
        <v>0</v>
      </c>
      <c r="U3239" s="13">
        <v>1051</v>
      </c>
      <c r="V3239" s="13">
        <v>485</v>
      </c>
      <c r="W3239" s="37">
        <v>649</v>
      </c>
      <c r="X3239" s="19"/>
      <c r="AG3239" s="16"/>
    </row>
    <row r="3240" spans="2:33">
      <c r="B3240" s="19"/>
      <c r="P3240" s="16"/>
      <c r="Q3240" s="36" t="s">
        <v>40</v>
      </c>
      <c r="R3240" s="13">
        <v>0</v>
      </c>
      <c r="S3240" s="13">
        <v>0</v>
      </c>
      <c r="T3240" s="13">
        <v>1053</v>
      </c>
      <c r="U3240" s="13">
        <v>489</v>
      </c>
      <c r="V3240" s="13">
        <v>0</v>
      </c>
      <c r="W3240" s="37">
        <v>453</v>
      </c>
      <c r="X3240" s="19"/>
      <c r="AG3240" s="16"/>
    </row>
    <row r="3241" spans="2:33">
      <c r="B3241" s="19"/>
      <c r="P3241" s="16"/>
      <c r="Q3241" s="36" t="s">
        <v>41</v>
      </c>
      <c r="R3241" s="13">
        <v>1271</v>
      </c>
      <c r="S3241" s="13">
        <v>600</v>
      </c>
      <c r="T3241" s="13">
        <v>0</v>
      </c>
      <c r="U3241" s="13">
        <v>0</v>
      </c>
      <c r="V3241" s="13">
        <v>0</v>
      </c>
      <c r="W3241" s="37">
        <v>424</v>
      </c>
      <c r="X3241" s="19"/>
      <c r="AG3241" s="16"/>
    </row>
    <row r="3242" spans="2:33">
      <c r="B3242" s="19"/>
      <c r="P3242" s="16"/>
      <c r="Q3242" s="36" t="s">
        <v>42</v>
      </c>
      <c r="R3242" s="13">
        <v>0</v>
      </c>
      <c r="S3242" s="13">
        <v>0</v>
      </c>
      <c r="T3242" s="13">
        <v>840</v>
      </c>
      <c r="U3242" s="13">
        <v>393</v>
      </c>
      <c r="V3242" s="13">
        <v>0</v>
      </c>
      <c r="W3242" s="37">
        <v>386</v>
      </c>
      <c r="X3242" s="19"/>
      <c r="AG3242" s="16"/>
    </row>
    <row r="3243" spans="2:33">
      <c r="B3243" s="19"/>
      <c r="P3243" s="16"/>
      <c r="Q3243" s="36" t="s">
        <v>43</v>
      </c>
      <c r="R3243" s="13">
        <v>0</v>
      </c>
      <c r="S3243" s="13">
        <v>0</v>
      </c>
      <c r="T3243" s="13">
        <v>897</v>
      </c>
      <c r="U3243" s="13">
        <v>405</v>
      </c>
      <c r="V3243" s="13">
        <v>0</v>
      </c>
      <c r="W3243" s="37">
        <v>343</v>
      </c>
      <c r="X3243" s="19"/>
      <c r="AG3243" s="16"/>
    </row>
    <row r="3244" spans="2:33">
      <c r="B3244" s="19"/>
      <c r="P3244" s="16"/>
      <c r="Q3244" s="36" t="s">
        <v>44</v>
      </c>
      <c r="R3244" s="13">
        <v>0</v>
      </c>
      <c r="S3244" s="13">
        <v>0</v>
      </c>
      <c r="T3244" s="13">
        <v>0</v>
      </c>
      <c r="U3244" s="13">
        <v>1117</v>
      </c>
      <c r="V3244" s="13">
        <v>504</v>
      </c>
      <c r="W3244" s="37">
        <v>366</v>
      </c>
      <c r="X3244" s="19"/>
      <c r="AG3244" s="16"/>
    </row>
    <row r="3245" spans="2:33">
      <c r="B3245" s="19"/>
      <c r="P3245" s="16"/>
      <c r="Q3245" s="36" t="s">
        <v>45</v>
      </c>
      <c r="R3245" s="13">
        <v>0</v>
      </c>
      <c r="S3245" s="13">
        <v>1955</v>
      </c>
      <c r="T3245" s="13">
        <v>862</v>
      </c>
      <c r="U3245" s="13">
        <v>0</v>
      </c>
      <c r="V3245" s="13">
        <v>0</v>
      </c>
      <c r="W3245" s="37">
        <v>481</v>
      </c>
      <c r="X3245" s="19"/>
      <c r="AG3245" s="16"/>
    </row>
    <row r="3246" spans="2:33" ht="15" thickBot="1">
      <c r="B3246" s="20"/>
      <c r="C3246" s="15"/>
      <c r="D3246" s="15"/>
      <c r="E3246" s="15"/>
      <c r="F3246" s="15"/>
      <c r="G3246" s="15"/>
      <c r="H3246" s="15"/>
      <c r="I3246" s="15"/>
      <c r="J3246" s="15"/>
      <c r="K3246" s="15"/>
      <c r="L3246" s="15"/>
      <c r="M3246" s="15"/>
      <c r="N3246" s="15"/>
      <c r="O3246" s="15"/>
      <c r="P3246" s="17"/>
      <c r="Q3246" s="36" t="s">
        <v>46</v>
      </c>
      <c r="R3246" s="13">
        <v>2083</v>
      </c>
      <c r="S3246" s="13">
        <v>1062</v>
      </c>
      <c r="T3246" s="13">
        <v>0</v>
      </c>
      <c r="U3246" s="13">
        <v>0</v>
      </c>
      <c r="V3246" s="13">
        <v>0</v>
      </c>
      <c r="W3246" s="37">
        <v>1431</v>
      </c>
      <c r="X3246" s="20"/>
      <c r="Y3246" s="15"/>
      <c r="Z3246" s="15"/>
      <c r="AA3246" s="15"/>
      <c r="AB3246" s="15"/>
      <c r="AC3246" s="15"/>
      <c r="AD3246" s="15"/>
      <c r="AE3246" s="15"/>
      <c r="AF3246" s="15"/>
      <c r="AG3246" s="17"/>
    </row>
    <row r="3247" spans="2:33" ht="15" thickBot="1"/>
    <row r="3248" spans="2:33" ht="15" thickBot="1">
      <c r="B3248" s="53" t="s">
        <v>2189</v>
      </c>
      <c r="C3248" s="26" t="s">
        <v>1508</v>
      </c>
      <c r="D3248" s="26" t="s">
        <v>1516</v>
      </c>
      <c r="E3248" s="26" t="s">
        <v>1517</v>
      </c>
      <c r="F3248" s="26" t="s">
        <v>1518</v>
      </c>
      <c r="G3248" s="26" t="s">
        <v>1519</v>
      </c>
      <c r="H3248" s="27" t="s">
        <v>33</v>
      </c>
      <c r="I3248" s="26" t="s">
        <v>1520</v>
      </c>
      <c r="J3248" s="27" t="s">
        <v>87</v>
      </c>
      <c r="K3248" s="29">
        <v>14</v>
      </c>
      <c r="L3248" s="29">
        <v>14</v>
      </c>
      <c r="M3248" s="29">
        <v>14</v>
      </c>
      <c r="N3248" s="29">
        <v>14</v>
      </c>
      <c r="O3248" s="29">
        <v>14</v>
      </c>
      <c r="P3248" s="40">
        <v>15.001000404357899</v>
      </c>
      <c r="Q3248" s="1" t="s">
        <v>1521</v>
      </c>
      <c r="R3248" s="2">
        <v>34</v>
      </c>
      <c r="S3248" s="2">
        <v>29</v>
      </c>
      <c r="T3248" s="2">
        <v>0</v>
      </c>
      <c r="U3248" s="2">
        <v>0</v>
      </c>
      <c r="V3248" s="2">
        <v>0</v>
      </c>
      <c r="W3248" s="2">
        <v>32</v>
      </c>
      <c r="X3248" s="43">
        <f>SUM(R3248:W3251)</f>
        <v>1934</v>
      </c>
      <c r="Y3248" s="10">
        <v>46204</v>
      </c>
      <c r="Z3248" s="11">
        <v>0.21964920427208123</v>
      </c>
      <c r="AA3248" s="11">
        <v>0.18323938230056691</v>
      </c>
      <c r="AB3248" s="11">
        <v>0.14776533800058905</v>
      </c>
      <c r="AC3248" s="11">
        <v>0.12924722998056465</v>
      </c>
      <c r="AD3248" s="11">
        <v>0.11497566539164336</v>
      </c>
      <c r="AE3248" s="11">
        <v>0.13199526282684884</v>
      </c>
      <c r="AF3248" s="11">
        <v>0.8</v>
      </c>
      <c r="AG3248" s="11">
        <v>0.23899999999999999</v>
      </c>
    </row>
    <row r="3249" spans="2:33">
      <c r="C3249" s="14"/>
      <c r="D3249" s="14"/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35"/>
      <c r="Q3249" s="36" t="s">
        <v>42</v>
      </c>
      <c r="R3249" s="13">
        <v>0</v>
      </c>
      <c r="S3249" s="13">
        <v>0</v>
      </c>
      <c r="T3249" s="13">
        <v>111</v>
      </c>
      <c r="U3249" s="13">
        <v>104</v>
      </c>
      <c r="V3249" s="13">
        <v>0</v>
      </c>
      <c r="W3249" s="37">
        <v>63</v>
      </c>
      <c r="X3249" s="18"/>
      <c r="Y3249" s="14"/>
      <c r="Z3249" s="14"/>
      <c r="AA3249" s="14"/>
      <c r="AB3249" s="14"/>
      <c r="AC3249" s="14"/>
      <c r="AD3249" s="14"/>
      <c r="AE3249" s="14"/>
      <c r="AF3249" s="14"/>
      <c r="AG3249" s="35"/>
    </row>
    <row r="3250" spans="2:33">
      <c r="B3250" s="19"/>
      <c r="P3250" s="16"/>
      <c r="Q3250" s="36" t="s">
        <v>43</v>
      </c>
      <c r="R3250" s="13">
        <v>0</v>
      </c>
      <c r="S3250" s="13">
        <v>0</v>
      </c>
      <c r="T3250" s="13">
        <v>72</v>
      </c>
      <c r="U3250" s="13">
        <v>57</v>
      </c>
      <c r="V3250" s="13">
        <v>0</v>
      </c>
      <c r="W3250" s="37">
        <v>78</v>
      </c>
      <c r="X3250" s="19"/>
      <c r="AG3250" s="16"/>
    </row>
    <row r="3251" spans="2:33" ht="15" thickBot="1">
      <c r="B3251" s="20"/>
      <c r="C3251" s="15"/>
      <c r="D3251" s="15"/>
      <c r="E3251" s="15"/>
      <c r="F3251" s="15"/>
      <c r="G3251" s="15"/>
      <c r="H3251" s="15"/>
      <c r="I3251" s="15"/>
      <c r="J3251" s="15"/>
      <c r="K3251" s="15"/>
      <c r="L3251" s="15"/>
      <c r="M3251" s="15"/>
      <c r="N3251" s="15"/>
      <c r="O3251" s="15"/>
      <c r="P3251" s="17"/>
      <c r="Q3251" s="36" t="s">
        <v>44</v>
      </c>
      <c r="R3251" s="13">
        <v>0</v>
      </c>
      <c r="S3251" s="13">
        <v>0</v>
      </c>
      <c r="T3251" s="13">
        <v>0</v>
      </c>
      <c r="U3251" s="13">
        <v>583</v>
      </c>
      <c r="V3251" s="13">
        <v>453</v>
      </c>
      <c r="W3251" s="37">
        <v>318</v>
      </c>
      <c r="X3251" s="20"/>
      <c r="Y3251" s="15"/>
      <c r="Z3251" s="15"/>
      <c r="AA3251" s="15"/>
      <c r="AB3251" s="15"/>
      <c r="AC3251" s="15"/>
      <c r="AD3251" s="15"/>
      <c r="AE3251" s="15"/>
      <c r="AF3251" s="15"/>
      <c r="AG3251" s="17"/>
    </row>
    <row r="3252" spans="2:33" ht="15" thickBot="1"/>
    <row r="3253" spans="2:33" ht="15" thickBot="1">
      <c r="B3253" s="53" t="s">
        <v>2189</v>
      </c>
      <c r="C3253" s="26" t="s">
        <v>1532</v>
      </c>
      <c r="D3253" s="26" t="s">
        <v>1533</v>
      </c>
      <c r="E3253" s="26" t="s">
        <v>1534</v>
      </c>
      <c r="F3253" s="26" t="s">
        <v>1535</v>
      </c>
      <c r="G3253" s="26" t="s">
        <v>33</v>
      </c>
      <c r="H3253" s="27" t="s">
        <v>33</v>
      </c>
      <c r="I3253" s="26" t="s">
        <v>1536</v>
      </c>
      <c r="J3253" s="27" t="s">
        <v>87</v>
      </c>
      <c r="K3253" s="29">
        <v>19.799999237060501</v>
      </c>
      <c r="L3253" s="29">
        <v>19.799999237060501</v>
      </c>
      <c r="M3253" s="29">
        <v>19.799999237060501</v>
      </c>
      <c r="N3253" s="29">
        <v>19.799999237060501</v>
      </c>
      <c r="O3253" s="29">
        <v>19.799999237060501</v>
      </c>
      <c r="P3253" s="40">
        <v>19.799999237060501</v>
      </c>
      <c r="Q3253" s="1" t="s">
        <v>35</v>
      </c>
      <c r="R3253" s="2">
        <v>670</v>
      </c>
      <c r="S3253" s="2">
        <v>405</v>
      </c>
      <c r="T3253" s="2">
        <v>0</v>
      </c>
      <c r="U3253" s="2">
        <v>0</v>
      </c>
      <c r="V3253" s="2">
        <v>0</v>
      </c>
      <c r="W3253" s="2">
        <v>717</v>
      </c>
      <c r="X3253" s="43">
        <f>SUM(R3253:W3265)</f>
        <v>15635</v>
      </c>
      <c r="Y3253" s="10">
        <v>46204</v>
      </c>
      <c r="Z3253" s="11">
        <v>0.21964920427208123</v>
      </c>
      <c r="AA3253" s="11">
        <v>0.18323938230056691</v>
      </c>
      <c r="AB3253" s="11">
        <v>0.14776533800058905</v>
      </c>
      <c r="AC3253" s="11">
        <v>0.12924722998056465</v>
      </c>
      <c r="AD3253" s="11">
        <v>0.11497566539164336</v>
      </c>
      <c r="AE3253" s="11">
        <v>0.13199526282684884</v>
      </c>
      <c r="AF3253" s="11">
        <v>0.8</v>
      </c>
      <c r="AG3253" s="11">
        <v>0.23899999999999999</v>
      </c>
    </row>
    <row r="3254" spans="2:33">
      <c r="C3254" s="14"/>
      <c r="D3254" s="14"/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35"/>
      <c r="Q3254" s="36" t="s">
        <v>36</v>
      </c>
      <c r="R3254" s="13">
        <v>638</v>
      </c>
      <c r="S3254" s="13">
        <v>359</v>
      </c>
      <c r="T3254" s="13">
        <v>0</v>
      </c>
      <c r="U3254" s="13">
        <v>0</v>
      </c>
      <c r="V3254" s="13">
        <v>0</v>
      </c>
      <c r="W3254" s="37">
        <v>583</v>
      </c>
      <c r="X3254" s="18"/>
      <c r="Y3254" s="14"/>
      <c r="Z3254" s="14"/>
      <c r="AA3254" s="14"/>
      <c r="AB3254" s="14"/>
      <c r="AC3254" s="14"/>
      <c r="AD3254" s="14"/>
      <c r="AE3254" s="14"/>
      <c r="AF3254" s="14"/>
      <c r="AG3254" s="35"/>
    </row>
    <row r="3255" spans="2:33">
      <c r="B3255" s="19"/>
      <c r="P3255" s="16"/>
      <c r="Q3255" s="36" t="s">
        <v>37</v>
      </c>
      <c r="R3255" s="13">
        <v>0</v>
      </c>
      <c r="S3255" s="13">
        <v>688</v>
      </c>
      <c r="T3255" s="13">
        <v>412</v>
      </c>
      <c r="U3255" s="13">
        <v>0</v>
      </c>
      <c r="V3255" s="13">
        <v>0</v>
      </c>
      <c r="W3255" s="37">
        <v>546</v>
      </c>
      <c r="X3255" s="19"/>
      <c r="AG3255" s="16"/>
    </row>
    <row r="3256" spans="2:33">
      <c r="B3256" s="19"/>
      <c r="P3256" s="16"/>
      <c r="Q3256" s="36" t="s">
        <v>38</v>
      </c>
      <c r="R3256" s="13">
        <v>0</v>
      </c>
      <c r="S3256" s="13">
        <v>0</v>
      </c>
      <c r="T3256" s="13">
        <v>0</v>
      </c>
      <c r="U3256" s="13">
        <v>518</v>
      </c>
      <c r="V3256" s="13">
        <v>279</v>
      </c>
      <c r="W3256" s="37">
        <v>223</v>
      </c>
      <c r="X3256" s="19"/>
      <c r="AG3256" s="16"/>
    </row>
    <row r="3257" spans="2:33">
      <c r="B3257" s="19"/>
      <c r="P3257" s="16"/>
      <c r="Q3257" s="36" t="s">
        <v>39</v>
      </c>
      <c r="R3257" s="13">
        <v>0</v>
      </c>
      <c r="S3257" s="13">
        <v>0</v>
      </c>
      <c r="T3257" s="13">
        <v>0</v>
      </c>
      <c r="U3257" s="13">
        <v>525</v>
      </c>
      <c r="V3257" s="13">
        <v>276</v>
      </c>
      <c r="W3257" s="37">
        <v>181</v>
      </c>
      <c r="X3257" s="19"/>
      <c r="AG3257" s="16"/>
    </row>
    <row r="3258" spans="2:33">
      <c r="B3258" s="19"/>
      <c r="P3258" s="16"/>
      <c r="Q3258" s="36" t="s">
        <v>238</v>
      </c>
      <c r="R3258" s="13">
        <v>0</v>
      </c>
      <c r="S3258" s="13">
        <v>0</v>
      </c>
      <c r="T3258" s="13">
        <v>127</v>
      </c>
      <c r="U3258" s="13">
        <v>67</v>
      </c>
      <c r="V3258" s="13">
        <v>0</v>
      </c>
      <c r="W3258" s="37">
        <v>59</v>
      </c>
      <c r="X3258" s="19"/>
      <c r="AG3258" s="16"/>
    </row>
    <row r="3259" spans="2:33">
      <c r="B3259" s="19"/>
      <c r="P3259" s="16"/>
      <c r="Q3259" s="36" t="s">
        <v>239</v>
      </c>
      <c r="R3259" s="13">
        <v>0</v>
      </c>
      <c r="S3259" s="13">
        <v>0</v>
      </c>
      <c r="T3259" s="13">
        <v>536</v>
      </c>
      <c r="U3259" s="13">
        <v>296</v>
      </c>
      <c r="V3259" s="13">
        <v>0</v>
      </c>
      <c r="W3259" s="37">
        <v>139</v>
      </c>
      <c r="X3259" s="19"/>
      <c r="AG3259" s="16"/>
    </row>
    <row r="3260" spans="2:33">
      <c r="B3260" s="19"/>
      <c r="P3260" s="16"/>
      <c r="Q3260" s="36" t="s">
        <v>41</v>
      </c>
      <c r="R3260" s="13">
        <v>736</v>
      </c>
      <c r="S3260" s="13">
        <v>394</v>
      </c>
      <c r="T3260" s="13">
        <v>0</v>
      </c>
      <c r="U3260" s="13">
        <v>0</v>
      </c>
      <c r="V3260" s="13">
        <v>0</v>
      </c>
      <c r="W3260" s="37">
        <v>191</v>
      </c>
      <c r="X3260" s="19"/>
      <c r="AG3260" s="16"/>
    </row>
    <row r="3261" spans="2:33">
      <c r="B3261" s="19"/>
      <c r="P3261" s="16"/>
      <c r="Q3261" s="36" t="s">
        <v>42</v>
      </c>
      <c r="R3261" s="13">
        <v>0</v>
      </c>
      <c r="S3261" s="13">
        <v>0</v>
      </c>
      <c r="T3261" s="13">
        <v>497</v>
      </c>
      <c r="U3261" s="13">
        <v>274</v>
      </c>
      <c r="V3261" s="13">
        <v>0</v>
      </c>
      <c r="W3261" s="37">
        <v>190</v>
      </c>
      <c r="X3261" s="19"/>
      <c r="AG3261" s="16"/>
    </row>
    <row r="3262" spans="2:33">
      <c r="B3262" s="19"/>
      <c r="P3262" s="16"/>
      <c r="Q3262" s="36" t="s">
        <v>43</v>
      </c>
      <c r="R3262" s="13">
        <v>0</v>
      </c>
      <c r="S3262" s="13">
        <v>0</v>
      </c>
      <c r="T3262" s="13">
        <v>549</v>
      </c>
      <c r="U3262" s="13">
        <v>296</v>
      </c>
      <c r="V3262" s="13">
        <v>0</v>
      </c>
      <c r="W3262" s="37">
        <v>169</v>
      </c>
      <c r="X3262" s="19"/>
      <c r="AG3262" s="16"/>
    </row>
    <row r="3263" spans="2:33">
      <c r="B3263" s="19"/>
      <c r="P3263" s="16"/>
      <c r="Q3263" s="36" t="s">
        <v>44</v>
      </c>
      <c r="R3263" s="13">
        <v>0</v>
      </c>
      <c r="S3263" s="13">
        <v>0</v>
      </c>
      <c r="T3263" s="13">
        <v>0</v>
      </c>
      <c r="U3263" s="13">
        <v>541</v>
      </c>
      <c r="V3263" s="13">
        <v>288</v>
      </c>
      <c r="W3263" s="37">
        <v>198</v>
      </c>
      <c r="X3263" s="19"/>
      <c r="AG3263" s="16"/>
    </row>
    <row r="3264" spans="2:33">
      <c r="B3264" s="19"/>
      <c r="P3264" s="16"/>
      <c r="Q3264" s="36" t="s">
        <v>45</v>
      </c>
      <c r="R3264" s="13">
        <v>0</v>
      </c>
      <c r="S3264" s="13">
        <v>723</v>
      </c>
      <c r="T3264" s="13">
        <v>401</v>
      </c>
      <c r="U3264" s="13">
        <v>0</v>
      </c>
      <c r="V3264" s="13">
        <v>0</v>
      </c>
      <c r="W3264" s="37">
        <v>367</v>
      </c>
      <c r="X3264" s="19"/>
      <c r="AG3264" s="16"/>
    </row>
    <row r="3265" spans="2:33" ht="15" thickBot="1">
      <c r="B3265" s="20"/>
      <c r="C3265" s="15"/>
      <c r="D3265" s="15"/>
      <c r="E3265" s="15"/>
      <c r="F3265" s="15"/>
      <c r="G3265" s="15"/>
      <c r="H3265" s="15"/>
      <c r="I3265" s="15"/>
      <c r="J3265" s="15"/>
      <c r="K3265" s="15"/>
      <c r="L3265" s="15"/>
      <c r="M3265" s="15"/>
      <c r="N3265" s="15"/>
      <c r="O3265" s="15"/>
      <c r="P3265" s="17"/>
      <c r="Q3265" s="36" t="s">
        <v>46</v>
      </c>
      <c r="R3265" s="13">
        <v>833</v>
      </c>
      <c r="S3265" s="13">
        <v>465</v>
      </c>
      <c r="T3265" s="13">
        <v>0</v>
      </c>
      <c r="U3265" s="13">
        <v>0</v>
      </c>
      <c r="V3265" s="13">
        <v>0</v>
      </c>
      <c r="W3265" s="37">
        <v>279</v>
      </c>
      <c r="X3265" s="20"/>
      <c r="Y3265" s="15"/>
      <c r="Z3265" s="15"/>
      <c r="AA3265" s="15"/>
      <c r="AB3265" s="15"/>
      <c r="AC3265" s="15"/>
      <c r="AD3265" s="15"/>
      <c r="AE3265" s="15"/>
      <c r="AF3265" s="15"/>
      <c r="AG3265" s="17"/>
    </row>
    <row r="3266" spans="2:33" ht="15" thickBot="1"/>
    <row r="3267" spans="2:33" ht="15" thickBot="1">
      <c r="B3267" s="53" t="s">
        <v>2189</v>
      </c>
      <c r="C3267" s="26" t="s">
        <v>1537</v>
      </c>
      <c r="D3267" s="26" t="s">
        <v>1538</v>
      </c>
      <c r="E3267" s="26" t="s">
        <v>1539</v>
      </c>
      <c r="F3267" s="26" t="s">
        <v>1469</v>
      </c>
      <c r="G3267" s="26" t="s">
        <v>1470</v>
      </c>
      <c r="H3267" s="27" t="s">
        <v>33</v>
      </c>
      <c r="I3267" s="26" t="s">
        <v>1540</v>
      </c>
      <c r="J3267" s="27" t="s">
        <v>87</v>
      </c>
      <c r="K3267" s="29">
        <v>10</v>
      </c>
      <c r="L3267" s="29">
        <v>10</v>
      </c>
      <c r="M3267" s="29">
        <v>10</v>
      </c>
      <c r="N3267" s="29">
        <v>10</v>
      </c>
      <c r="O3267" s="29">
        <v>10</v>
      </c>
      <c r="P3267" s="40">
        <v>17</v>
      </c>
      <c r="Q3267" s="1" t="s">
        <v>35</v>
      </c>
      <c r="R3267" s="2">
        <v>882</v>
      </c>
      <c r="S3267" s="2">
        <v>466</v>
      </c>
      <c r="T3267" s="2">
        <v>0</v>
      </c>
      <c r="U3267" s="2">
        <v>0</v>
      </c>
      <c r="V3267" s="2">
        <v>0</v>
      </c>
      <c r="W3267" s="2">
        <v>292</v>
      </c>
      <c r="X3267" s="43">
        <f>SUM(R3267:W3278)</f>
        <v>16692</v>
      </c>
      <c r="Y3267" s="10">
        <v>46204</v>
      </c>
      <c r="Z3267" s="11">
        <v>0.21964920427208123</v>
      </c>
      <c r="AA3267" s="11">
        <v>0.18323938230056691</v>
      </c>
      <c r="AB3267" s="11">
        <v>0.14776533800058905</v>
      </c>
      <c r="AC3267" s="11">
        <v>0.12924722998056465</v>
      </c>
      <c r="AD3267" s="11">
        <v>0.11497566539164336</v>
      </c>
      <c r="AE3267" s="11">
        <v>0.13199526282684884</v>
      </c>
      <c r="AF3267" s="11">
        <v>0.8</v>
      </c>
      <c r="AG3267" s="11">
        <v>0.23899999999999999</v>
      </c>
    </row>
    <row r="3268" spans="2:33">
      <c r="C3268" s="14"/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35"/>
      <c r="Q3268" s="36" t="s">
        <v>36</v>
      </c>
      <c r="R3268" s="13">
        <v>771</v>
      </c>
      <c r="S3268" s="13">
        <v>340</v>
      </c>
      <c r="T3268" s="13">
        <v>0</v>
      </c>
      <c r="U3268" s="13">
        <v>0</v>
      </c>
      <c r="V3268" s="13">
        <v>0</v>
      </c>
      <c r="W3268" s="37">
        <v>214</v>
      </c>
      <c r="X3268" s="18"/>
      <c r="Y3268" s="14"/>
      <c r="Z3268" s="14"/>
      <c r="AA3268" s="14"/>
      <c r="AB3268" s="14"/>
      <c r="AC3268" s="14"/>
      <c r="AD3268" s="14"/>
      <c r="AE3268" s="14"/>
      <c r="AF3268" s="14"/>
      <c r="AG3268" s="35"/>
    </row>
    <row r="3269" spans="2:33">
      <c r="B3269" s="19"/>
      <c r="P3269" s="16"/>
      <c r="Q3269" s="36" t="s">
        <v>37</v>
      </c>
      <c r="R3269" s="13">
        <v>0</v>
      </c>
      <c r="S3269" s="13">
        <v>828</v>
      </c>
      <c r="T3269" s="13">
        <v>351</v>
      </c>
      <c r="U3269" s="13">
        <v>0</v>
      </c>
      <c r="V3269" s="13">
        <v>0</v>
      </c>
      <c r="W3269" s="37">
        <v>233</v>
      </c>
      <c r="X3269" s="19"/>
      <c r="AG3269" s="16"/>
    </row>
    <row r="3270" spans="2:33">
      <c r="B3270" s="19"/>
      <c r="P3270" s="16"/>
      <c r="Q3270" s="36" t="s">
        <v>38</v>
      </c>
      <c r="R3270" s="13">
        <v>0</v>
      </c>
      <c r="S3270" s="13">
        <v>0</v>
      </c>
      <c r="T3270" s="13">
        <v>0</v>
      </c>
      <c r="U3270" s="13">
        <v>543</v>
      </c>
      <c r="V3270" s="13">
        <v>239</v>
      </c>
      <c r="W3270" s="37">
        <v>218</v>
      </c>
      <c r="X3270" s="19"/>
      <c r="AG3270" s="16"/>
    </row>
    <row r="3271" spans="2:33">
      <c r="B3271" s="19"/>
      <c r="P3271" s="16"/>
      <c r="Q3271" s="36" t="s">
        <v>39</v>
      </c>
      <c r="R3271" s="13">
        <v>0</v>
      </c>
      <c r="S3271" s="13">
        <v>0</v>
      </c>
      <c r="T3271" s="13">
        <v>0</v>
      </c>
      <c r="U3271" s="13">
        <v>552</v>
      </c>
      <c r="V3271" s="13">
        <v>265</v>
      </c>
      <c r="W3271" s="37">
        <v>246</v>
      </c>
      <c r="X3271" s="19"/>
      <c r="AG3271" s="16"/>
    </row>
    <row r="3272" spans="2:33">
      <c r="B3272" s="19"/>
      <c r="P3272" s="16"/>
      <c r="Q3272" s="36" t="s">
        <v>40</v>
      </c>
      <c r="R3272" s="13">
        <v>0</v>
      </c>
      <c r="S3272" s="13">
        <v>0</v>
      </c>
      <c r="T3272" s="13">
        <v>935</v>
      </c>
      <c r="U3272" s="13">
        <v>488</v>
      </c>
      <c r="V3272" s="13">
        <v>0</v>
      </c>
      <c r="W3272" s="37">
        <v>237</v>
      </c>
      <c r="X3272" s="19"/>
      <c r="AG3272" s="16"/>
    </row>
    <row r="3273" spans="2:33">
      <c r="B3273" s="19"/>
      <c r="P3273" s="16"/>
      <c r="Q3273" s="36" t="s">
        <v>41</v>
      </c>
      <c r="R3273" s="13">
        <v>1091</v>
      </c>
      <c r="S3273" s="13">
        <v>503</v>
      </c>
      <c r="T3273" s="13">
        <v>0</v>
      </c>
      <c r="U3273" s="13">
        <v>0</v>
      </c>
      <c r="V3273" s="13">
        <v>0</v>
      </c>
      <c r="W3273" s="37">
        <v>258</v>
      </c>
      <c r="X3273" s="19"/>
      <c r="AG3273" s="16"/>
    </row>
    <row r="3274" spans="2:33">
      <c r="B3274" s="19"/>
      <c r="P3274" s="16"/>
      <c r="Q3274" s="36" t="s">
        <v>42</v>
      </c>
      <c r="R3274" s="13">
        <v>0</v>
      </c>
      <c r="S3274" s="13">
        <v>0</v>
      </c>
      <c r="T3274" s="13">
        <v>734</v>
      </c>
      <c r="U3274" s="13">
        <v>359</v>
      </c>
      <c r="V3274" s="13">
        <v>0</v>
      </c>
      <c r="W3274" s="37">
        <v>390</v>
      </c>
      <c r="X3274" s="19"/>
      <c r="AG3274" s="16"/>
    </row>
    <row r="3275" spans="2:33">
      <c r="B3275" s="19"/>
      <c r="P3275" s="16"/>
      <c r="Q3275" s="36" t="s">
        <v>43</v>
      </c>
      <c r="R3275" s="13">
        <v>0</v>
      </c>
      <c r="S3275" s="13">
        <v>0</v>
      </c>
      <c r="T3275" s="13">
        <v>677</v>
      </c>
      <c r="U3275" s="13">
        <v>344</v>
      </c>
      <c r="V3275" s="13">
        <v>0</v>
      </c>
      <c r="W3275" s="37">
        <v>228</v>
      </c>
      <c r="X3275" s="19"/>
      <c r="AG3275" s="16"/>
    </row>
    <row r="3276" spans="2:33">
      <c r="B3276" s="19"/>
      <c r="P3276" s="16"/>
      <c r="Q3276" s="36" t="s">
        <v>44</v>
      </c>
      <c r="R3276" s="13">
        <v>0</v>
      </c>
      <c r="S3276" s="13">
        <v>0</v>
      </c>
      <c r="T3276" s="13">
        <v>0</v>
      </c>
      <c r="U3276" s="13">
        <v>579</v>
      </c>
      <c r="V3276" s="13">
        <v>277</v>
      </c>
      <c r="W3276" s="37">
        <v>231</v>
      </c>
      <c r="X3276" s="19"/>
      <c r="AG3276" s="16"/>
    </row>
    <row r="3277" spans="2:33">
      <c r="B3277" s="19"/>
      <c r="P3277" s="16"/>
      <c r="Q3277" s="36" t="s">
        <v>45</v>
      </c>
      <c r="R3277" s="13">
        <v>0</v>
      </c>
      <c r="S3277" s="13">
        <v>769</v>
      </c>
      <c r="T3277" s="13">
        <v>334</v>
      </c>
      <c r="U3277" s="13">
        <v>0</v>
      </c>
      <c r="V3277" s="13">
        <v>0</v>
      </c>
      <c r="W3277" s="37">
        <v>231</v>
      </c>
      <c r="X3277" s="19"/>
      <c r="AG3277" s="16"/>
    </row>
    <row r="3278" spans="2:33" ht="15" thickBot="1">
      <c r="B3278" s="20"/>
      <c r="C3278" s="15"/>
      <c r="D3278" s="15"/>
      <c r="E3278" s="15"/>
      <c r="F3278" s="15"/>
      <c r="G3278" s="15"/>
      <c r="H3278" s="15"/>
      <c r="I3278" s="15"/>
      <c r="J3278" s="15"/>
      <c r="K3278" s="15"/>
      <c r="L3278" s="15"/>
      <c r="M3278" s="15"/>
      <c r="N3278" s="15"/>
      <c r="O3278" s="15"/>
      <c r="P3278" s="17"/>
      <c r="Q3278" s="36" t="s">
        <v>46</v>
      </c>
      <c r="R3278" s="13">
        <v>927</v>
      </c>
      <c r="S3278" s="13">
        <v>431</v>
      </c>
      <c r="T3278" s="13">
        <v>0</v>
      </c>
      <c r="U3278" s="13">
        <v>0</v>
      </c>
      <c r="V3278" s="13">
        <v>0</v>
      </c>
      <c r="W3278" s="37">
        <v>229</v>
      </c>
      <c r="X3278" s="20"/>
      <c r="Y3278" s="15"/>
      <c r="Z3278" s="15"/>
      <c r="AA3278" s="15"/>
      <c r="AB3278" s="15"/>
      <c r="AC3278" s="15"/>
      <c r="AD3278" s="15"/>
      <c r="AE3278" s="15"/>
      <c r="AF3278" s="15"/>
      <c r="AG3278" s="17"/>
    </row>
    <row r="3279" spans="2:33" ht="15" thickBot="1"/>
    <row r="3280" spans="2:33" ht="15" thickBot="1">
      <c r="B3280" s="53" t="s">
        <v>2189</v>
      </c>
      <c r="C3280" s="26" t="s">
        <v>1537</v>
      </c>
      <c r="D3280" s="26" t="s">
        <v>1541</v>
      </c>
      <c r="E3280" s="26" t="s">
        <v>1542</v>
      </c>
      <c r="F3280" s="26" t="s">
        <v>1543</v>
      </c>
      <c r="G3280" s="26" t="s">
        <v>33</v>
      </c>
      <c r="H3280" s="27" t="s">
        <v>33</v>
      </c>
      <c r="I3280" s="26" t="s">
        <v>1544</v>
      </c>
      <c r="J3280" s="27" t="s">
        <v>56</v>
      </c>
      <c r="K3280" s="29">
        <v>15</v>
      </c>
      <c r="L3280" s="29">
        <v>15</v>
      </c>
      <c r="M3280" s="29">
        <v>15</v>
      </c>
      <c r="N3280" s="29">
        <v>0</v>
      </c>
      <c r="O3280" s="29">
        <v>0</v>
      </c>
      <c r="P3280" s="40">
        <v>0</v>
      </c>
      <c r="Q3280" s="1" t="s">
        <v>1545</v>
      </c>
      <c r="R3280" s="2">
        <v>1035</v>
      </c>
      <c r="S3280" s="2">
        <v>689</v>
      </c>
      <c r="T3280" s="2">
        <v>438</v>
      </c>
      <c r="U3280" s="2">
        <v>0</v>
      </c>
      <c r="V3280" s="2">
        <v>0</v>
      </c>
      <c r="W3280" s="2">
        <v>0</v>
      </c>
      <c r="X3280" s="43">
        <f>SUM(R3280:W3291)</f>
        <v>19954</v>
      </c>
      <c r="Y3280" s="10">
        <v>46204</v>
      </c>
      <c r="Z3280" s="11">
        <v>0.23982933470114767</v>
      </c>
      <c r="AA3280" s="11">
        <v>0.16331488490945434</v>
      </c>
      <c r="AB3280" s="11">
        <v>0.13558926282684883</v>
      </c>
      <c r="AC3280" s="11"/>
      <c r="AD3280" s="11"/>
      <c r="AE3280" s="11"/>
      <c r="AF3280" s="11">
        <v>0.8</v>
      </c>
      <c r="AG3280" s="11">
        <v>0.23899999999999999</v>
      </c>
    </row>
    <row r="3281" spans="2:33">
      <c r="C3281" s="14"/>
      <c r="D3281" s="14"/>
      <c r="E3281" s="14"/>
      <c r="F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35"/>
      <c r="Q3281" s="36" t="s">
        <v>1546</v>
      </c>
      <c r="R3281" s="13">
        <v>861</v>
      </c>
      <c r="S3281" s="13">
        <v>676</v>
      </c>
      <c r="T3281" s="13">
        <v>213</v>
      </c>
      <c r="U3281" s="13">
        <v>0</v>
      </c>
      <c r="V3281" s="13">
        <v>0</v>
      </c>
      <c r="W3281" s="37">
        <v>0</v>
      </c>
      <c r="X3281" s="18"/>
      <c r="Y3281" s="14"/>
      <c r="Z3281" s="14"/>
      <c r="AA3281" s="14"/>
      <c r="AB3281" s="14"/>
      <c r="AC3281" s="14"/>
      <c r="AD3281" s="14"/>
      <c r="AE3281" s="14"/>
      <c r="AF3281" s="14"/>
      <c r="AG3281" s="35"/>
    </row>
    <row r="3282" spans="2:33">
      <c r="B3282" s="19"/>
      <c r="P3282" s="16"/>
      <c r="Q3282" s="36" t="s">
        <v>200</v>
      </c>
      <c r="R3282" s="13">
        <v>782</v>
      </c>
      <c r="S3282" s="13">
        <v>569</v>
      </c>
      <c r="T3282" s="13">
        <v>185</v>
      </c>
      <c r="U3282" s="13">
        <v>0</v>
      </c>
      <c r="V3282" s="13">
        <v>0</v>
      </c>
      <c r="W3282" s="37">
        <v>0</v>
      </c>
      <c r="X3282" s="19"/>
      <c r="AG3282" s="16"/>
    </row>
    <row r="3283" spans="2:33">
      <c r="B3283" s="19"/>
      <c r="P3283" s="16"/>
      <c r="Q3283" s="36" t="s">
        <v>1547</v>
      </c>
      <c r="R3283" s="13">
        <v>577</v>
      </c>
      <c r="S3283" s="13">
        <v>430</v>
      </c>
      <c r="T3283" s="13">
        <v>215</v>
      </c>
      <c r="U3283" s="13">
        <v>0</v>
      </c>
      <c r="V3283" s="13">
        <v>0</v>
      </c>
      <c r="W3283" s="37">
        <v>0</v>
      </c>
      <c r="X3283" s="19"/>
      <c r="AG3283" s="16"/>
    </row>
    <row r="3284" spans="2:33">
      <c r="B3284" s="19"/>
      <c r="P3284" s="16"/>
      <c r="Q3284" s="36" t="s">
        <v>1548</v>
      </c>
      <c r="R3284" s="13">
        <v>505</v>
      </c>
      <c r="S3284" s="13">
        <v>308</v>
      </c>
      <c r="T3284" s="13">
        <v>175</v>
      </c>
      <c r="U3284" s="13">
        <v>0</v>
      </c>
      <c r="V3284" s="13">
        <v>0</v>
      </c>
      <c r="W3284" s="37">
        <v>0</v>
      </c>
      <c r="X3284" s="19"/>
      <c r="AG3284" s="16"/>
    </row>
    <row r="3285" spans="2:33">
      <c r="B3285" s="19"/>
      <c r="P3285" s="16"/>
      <c r="Q3285" s="36" t="s">
        <v>1505</v>
      </c>
      <c r="R3285" s="13">
        <v>1180</v>
      </c>
      <c r="S3285" s="13">
        <v>746</v>
      </c>
      <c r="T3285" s="13">
        <v>160</v>
      </c>
      <c r="U3285" s="13">
        <v>0</v>
      </c>
      <c r="V3285" s="13">
        <v>0</v>
      </c>
      <c r="W3285" s="37">
        <v>0</v>
      </c>
      <c r="X3285" s="19"/>
      <c r="AG3285" s="16"/>
    </row>
    <row r="3286" spans="2:33">
      <c r="B3286" s="19"/>
      <c r="P3286" s="16"/>
      <c r="Q3286" s="36" t="s">
        <v>1549</v>
      </c>
      <c r="R3286" s="13">
        <v>1387</v>
      </c>
      <c r="S3286" s="13">
        <v>908</v>
      </c>
      <c r="T3286" s="13">
        <v>481</v>
      </c>
      <c r="U3286" s="13">
        <v>0</v>
      </c>
      <c r="V3286" s="13">
        <v>0</v>
      </c>
      <c r="W3286" s="37">
        <v>0</v>
      </c>
      <c r="X3286" s="19"/>
      <c r="AG3286" s="16"/>
    </row>
    <row r="3287" spans="2:33">
      <c r="B3287" s="19"/>
      <c r="P3287" s="16"/>
      <c r="Q3287" s="36" t="s">
        <v>205</v>
      </c>
      <c r="R3287" s="13">
        <v>1106</v>
      </c>
      <c r="S3287" s="13">
        <v>703</v>
      </c>
      <c r="T3287" s="13">
        <v>147</v>
      </c>
      <c r="U3287" s="13">
        <v>0</v>
      </c>
      <c r="V3287" s="13">
        <v>0</v>
      </c>
      <c r="W3287" s="37">
        <v>0</v>
      </c>
      <c r="X3287" s="19"/>
      <c r="AG3287" s="16"/>
    </row>
    <row r="3288" spans="2:33">
      <c r="B3288" s="19"/>
      <c r="P3288" s="16"/>
      <c r="Q3288" s="36" t="s">
        <v>206</v>
      </c>
      <c r="R3288" s="13">
        <v>949</v>
      </c>
      <c r="S3288" s="13">
        <v>583</v>
      </c>
      <c r="T3288" s="13">
        <v>128</v>
      </c>
      <c r="U3288" s="13">
        <v>0</v>
      </c>
      <c r="V3288" s="13">
        <v>0</v>
      </c>
      <c r="W3288" s="37">
        <v>0</v>
      </c>
      <c r="X3288" s="19"/>
      <c r="AG3288" s="16"/>
    </row>
    <row r="3289" spans="2:33">
      <c r="B3289" s="19"/>
      <c r="P3289" s="16"/>
      <c r="Q3289" s="36" t="s">
        <v>207</v>
      </c>
      <c r="R3289" s="13">
        <v>530</v>
      </c>
      <c r="S3289" s="13">
        <v>376</v>
      </c>
      <c r="T3289" s="13">
        <v>165</v>
      </c>
      <c r="U3289" s="13">
        <v>0</v>
      </c>
      <c r="V3289" s="13">
        <v>0</v>
      </c>
      <c r="W3289" s="37">
        <v>0</v>
      </c>
      <c r="X3289" s="19"/>
      <c r="AG3289" s="16"/>
    </row>
    <row r="3290" spans="2:33">
      <c r="B3290" s="19"/>
      <c r="P3290" s="16"/>
      <c r="Q3290" s="36" t="s">
        <v>208</v>
      </c>
      <c r="R3290" s="13">
        <v>657</v>
      </c>
      <c r="S3290" s="13">
        <v>418</v>
      </c>
      <c r="T3290" s="13">
        <v>165</v>
      </c>
      <c r="U3290" s="13">
        <v>0</v>
      </c>
      <c r="V3290" s="13">
        <v>0</v>
      </c>
      <c r="W3290" s="37">
        <v>0</v>
      </c>
      <c r="X3290" s="19"/>
      <c r="AG3290" s="16"/>
    </row>
    <row r="3291" spans="2:33" ht="15" thickBot="1">
      <c r="B3291" s="20"/>
      <c r="C3291" s="15"/>
      <c r="D3291" s="15"/>
      <c r="E3291" s="15"/>
      <c r="F3291" s="15"/>
      <c r="G3291" s="15"/>
      <c r="H3291" s="15"/>
      <c r="I3291" s="15"/>
      <c r="J3291" s="15"/>
      <c r="K3291" s="15"/>
      <c r="L3291" s="15"/>
      <c r="M3291" s="15"/>
      <c r="N3291" s="15"/>
      <c r="O3291" s="15"/>
      <c r="P3291" s="17"/>
      <c r="Q3291" s="36" t="s">
        <v>1550</v>
      </c>
      <c r="R3291" s="13">
        <v>805</v>
      </c>
      <c r="S3291" s="13">
        <v>565</v>
      </c>
      <c r="T3291" s="13">
        <v>137</v>
      </c>
      <c r="U3291" s="13">
        <v>0</v>
      </c>
      <c r="V3291" s="13">
        <v>0</v>
      </c>
      <c r="W3291" s="37">
        <v>0</v>
      </c>
      <c r="X3291" s="20"/>
      <c r="Y3291" s="15"/>
      <c r="Z3291" s="15"/>
      <c r="AA3291" s="15"/>
      <c r="AB3291" s="15"/>
      <c r="AC3291" s="15"/>
      <c r="AD3291" s="15"/>
      <c r="AE3291" s="15"/>
      <c r="AF3291" s="15"/>
      <c r="AG3291" s="17"/>
    </row>
    <row r="3292" spans="2:33" ht="15" thickBot="1"/>
    <row r="3293" spans="2:33" ht="15" thickBot="1">
      <c r="B3293" s="53" t="s">
        <v>2189</v>
      </c>
      <c r="C3293" s="26" t="s">
        <v>1537</v>
      </c>
      <c r="D3293" s="26" t="s">
        <v>1551</v>
      </c>
      <c r="E3293" s="26" t="s">
        <v>1552</v>
      </c>
      <c r="F3293" s="26" t="s">
        <v>968</v>
      </c>
      <c r="G3293" s="26" t="s">
        <v>33</v>
      </c>
      <c r="H3293" s="27" t="s">
        <v>33</v>
      </c>
      <c r="I3293" s="26" t="s">
        <v>1553</v>
      </c>
      <c r="J3293" s="27" t="s">
        <v>87</v>
      </c>
      <c r="K3293" s="29">
        <v>7</v>
      </c>
      <c r="L3293" s="29">
        <v>15.1000003814697</v>
      </c>
      <c r="M3293" s="29">
        <v>15.1000003814697</v>
      </c>
      <c r="N3293" s="29">
        <v>15.1000003814697</v>
      </c>
      <c r="O3293" s="29">
        <v>15.1000003814697</v>
      </c>
      <c r="P3293" s="40">
        <v>15.1000003814697</v>
      </c>
      <c r="Q3293" s="1" t="s">
        <v>35</v>
      </c>
      <c r="R3293" s="2">
        <v>757</v>
      </c>
      <c r="S3293" s="2">
        <v>370</v>
      </c>
      <c r="T3293" s="2">
        <v>0</v>
      </c>
      <c r="U3293" s="2">
        <v>0</v>
      </c>
      <c r="V3293" s="2">
        <v>0</v>
      </c>
      <c r="W3293" s="2">
        <v>194</v>
      </c>
      <c r="X3293" s="43">
        <f>SUM(R3293:W3304)</f>
        <v>11465</v>
      </c>
      <c r="Y3293" s="10">
        <v>46204</v>
      </c>
      <c r="Z3293" s="11">
        <v>0.21964920427208123</v>
      </c>
      <c r="AA3293" s="11">
        <v>0.18323938230056691</v>
      </c>
      <c r="AB3293" s="11">
        <v>0.14776533800058905</v>
      </c>
      <c r="AC3293" s="11">
        <v>0.12924722998056465</v>
      </c>
      <c r="AD3293" s="11">
        <v>0.11497566539164336</v>
      </c>
      <c r="AE3293" s="11">
        <v>0.13199526282684884</v>
      </c>
      <c r="AF3293" s="11">
        <v>0.8</v>
      </c>
      <c r="AG3293" s="11">
        <v>0.23899999999999999</v>
      </c>
    </row>
    <row r="3294" spans="2:33">
      <c r="C3294" s="14"/>
      <c r="D3294" s="14"/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35"/>
      <c r="Q3294" s="36" t="s">
        <v>36</v>
      </c>
      <c r="R3294" s="13">
        <v>603</v>
      </c>
      <c r="S3294" s="13">
        <v>263</v>
      </c>
      <c r="T3294" s="13">
        <v>0</v>
      </c>
      <c r="U3294" s="13">
        <v>0</v>
      </c>
      <c r="V3294" s="13">
        <v>0</v>
      </c>
      <c r="W3294" s="37">
        <v>154</v>
      </c>
      <c r="X3294" s="18"/>
      <c r="Y3294" s="14"/>
      <c r="Z3294" s="14"/>
      <c r="AA3294" s="14"/>
      <c r="AB3294" s="14"/>
      <c r="AC3294" s="14"/>
      <c r="AD3294" s="14"/>
      <c r="AE3294" s="14"/>
      <c r="AF3294" s="14"/>
      <c r="AG3294" s="35"/>
    </row>
    <row r="3295" spans="2:33">
      <c r="B3295" s="19"/>
      <c r="P3295" s="16"/>
      <c r="Q3295" s="36" t="s">
        <v>37</v>
      </c>
      <c r="R3295" s="13">
        <v>0</v>
      </c>
      <c r="S3295" s="13">
        <v>615</v>
      </c>
      <c r="T3295" s="13">
        <v>310</v>
      </c>
      <c r="U3295" s="13">
        <v>0</v>
      </c>
      <c r="V3295" s="13">
        <v>0</v>
      </c>
      <c r="W3295" s="37">
        <v>162</v>
      </c>
      <c r="X3295" s="19"/>
      <c r="AG3295" s="16"/>
    </row>
    <row r="3296" spans="2:33">
      <c r="B3296" s="19"/>
      <c r="P3296" s="16"/>
      <c r="Q3296" s="36" t="s">
        <v>38</v>
      </c>
      <c r="R3296" s="13">
        <v>0</v>
      </c>
      <c r="S3296" s="13">
        <v>0</v>
      </c>
      <c r="T3296" s="13">
        <v>0</v>
      </c>
      <c r="U3296" s="13">
        <v>469</v>
      </c>
      <c r="V3296" s="13">
        <v>219</v>
      </c>
      <c r="W3296" s="37">
        <v>132</v>
      </c>
      <c r="X3296" s="19"/>
      <c r="AG3296" s="16"/>
    </row>
    <row r="3297" spans="2:33">
      <c r="B3297" s="19"/>
      <c r="P3297" s="16"/>
      <c r="Q3297" s="36" t="s">
        <v>39</v>
      </c>
      <c r="R3297" s="13">
        <v>0</v>
      </c>
      <c r="S3297" s="13">
        <v>0</v>
      </c>
      <c r="T3297" s="13">
        <v>0</v>
      </c>
      <c r="U3297" s="13">
        <v>389</v>
      </c>
      <c r="V3297" s="13">
        <v>204</v>
      </c>
      <c r="W3297" s="37">
        <v>122</v>
      </c>
      <c r="X3297" s="19"/>
      <c r="AG3297" s="16"/>
    </row>
    <row r="3298" spans="2:33">
      <c r="B3298" s="19"/>
      <c r="P3298" s="16"/>
      <c r="Q3298" s="36" t="s">
        <v>40</v>
      </c>
      <c r="R3298" s="13">
        <v>0</v>
      </c>
      <c r="S3298" s="13">
        <v>0</v>
      </c>
      <c r="T3298" s="13">
        <v>536</v>
      </c>
      <c r="U3298" s="13">
        <v>307</v>
      </c>
      <c r="V3298" s="13">
        <v>0</v>
      </c>
      <c r="W3298" s="37">
        <v>105</v>
      </c>
      <c r="X3298" s="19"/>
      <c r="AG3298" s="16"/>
    </row>
    <row r="3299" spans="2:33">
      <c r="B3299" s="19"/>
      <c r="P3299" s="16"/>
      <c r="Q3299" s="36" t="s">
        <v>41</v>
      </c>
      <c r="R3299" s="13">
        <v>643</v>
      </c>
      <c r="S3299" s="13">
        <v>356</v>
      </c>
      <c r="T3299" s="13">
        <v>0</v>
      </c>
      <c r="U3299" s="13">
        <v>0</v>
      </c>
      <c r="V3299" s="13">
        <v>0</v>
      </c>
      <c r="W3299" s="37">
        <v>103</v>
      </c>
      <c r="X3299" s="19"/>
      <c r="AG3299" s="16"/>
    </row>
    <row r="3300" spans="2:33">
      <c r="B3300" s="19"/>
      <c r="P3300" s="16"/>
      <c r="Q3300" s="36" t="s">
        <v>42</v>
      </c>
      <c r="R3300" s="13">
        <v>0</v>
      </c>
      <c r="S3300" s="13">
        <v>0</v>
      </c>
      <c r="T3300" s="13">
        <v>447</v>
      </c>
      <c r="U3300" s="13">
        <v>267</v>
      </c>
      <c r="V3300" s="13">
        <v>0</v>
      </c>
      <c r="W3300" s="37">
        <v>109</v>
      </c>
      <c r="X3300" s="19"/>
      <c r="AG3300" s="16"/>
    </row>
    <row r="3301" spans="2:33">
      <c r="B3301" s="19"/>
      <c r="P3301" s="16"/>
      <c r="Q3301" s="36" t="s">
        <v>43</v>
      </c>
      <c r="R3301" s="13">
        <v>0</v>
      </c>
      <c r="S3301" s="13">
        <v>0</v>
      </c>
      <c r="T3301" s="13">
        <v>479</v>
      </c>
      <c r="U3301" s="13">
        <v>258</v>
      </c>
      <c r="V3301" s="13">
        <v>0</v>
      </c>
      <c r="W3301" s="37">
        <v>94</v>
      </c>
      <c r="X3301" s="19"/>
      <c r="AG3301" s="16"/>
    </row>
    <row r="3302" spans="2:33">
      <c r="B3302" s="19"/>
      <c r="P3302" s="16"/>
      <c r="Q3302" s="36" t="s">
        <v>44</v>
      </c>
      <c r="R3302" s="13">
        <v>0</v>
      </c>
      <c r="S3302" s="13">
        <v>0</v>
      </c>
      <c r="T3302" s="13">
        <v>0</v>
      </c>
      <c r="U3302" s="13">
        <v>446</v>
      </c>
      <c r="V3302" s="13">
        <v>251</v>
      </c>
      <c r="W3302" s="37">
        <v>103</v>
      </c>
      <c r="X3302" s="19"/>
      <c r="AG3302" s="16"/>
    </row>
    <row r="3303" spans="2:33">
      <c r="B3303" s="19"/>
      <c r="P3303" s="16"/>
      <c r="Q3303" s="36" t="s">
        <v>45</v>
      </c>
      <c r="R3303" s="13">
        <v>0</v>
      </c>
      <c r="S3303" s="13">
        <v>534</v>
      </c>
      <c r="T3303" s="13">
        <v>264</v>
      </c>
      <c r="U3303" s="13">
        <v>0</v>
      </c>
      <c r="V3303" s="13">
        <v>0</v>
      </c>
      <c r="W3303" s="37">
        <v>96</v>
      </c>
      <c r="X3303" s="19"/>
      <c r="AG3303" s="16"/>
    </row>
    <row r="3304" spans="2:33" ht="15" thickBot="1">
      <c r="B3304" s="20"/>
      <c r="C3304" s="15"/>
      <c r="D3304" s="15"/>
      <c r="E3304" s="15"/>
      <c r="F3304" s="15"/>
      <c r="G3304" s="15"/>
      <c r="H3304" s="15"/>
      <c r="I3304" s="15"/>
      <c r="J3304" s="15"/>
      <c r="K3304" s="15"/>
      <c r="L3304" s="15"/>
      <c r="M3304" s="15"/>
      <c r="N3304" s="15"/>
      <c r="O3304" s="15"/>
      <c r="P3304" s="17"/>
      <c r="Q3304" s="36" t="s">
        <v>46</v>
      </c>
      <c r="R3304" s="13">
        <v>674</v>
      </c>
      <c r="S3304" s="13">
        <v>337</v>
      </c>
      <c r="T3304" s="13">
        <v>0</v>
      </c>
      <c r="U3304" s="13">
        <v>0</v>
      </c>
      <c r="V3304" s="13">
        <v>0</v>
      </c>
      <c r="W3304" s="37">
        <v>93</v>
      </c>
      <c r="X3304" s="20"/>
      <c r="Y3304" s="15"/>
      <c r="Z3304" s="15"/>
      <c r="AA3304" s="15"/>
      <c r="AB3304" s="15"/>
      <c r="AC3304" s="15"/>
      <c r="AD3304" s="15"/>
      <c r="AE3304" s="15"/>
      <c r="AF3304" s="15"/>
      <c r="AG3304" s="17"/>
    </row>
    <row r="3305" spans="2:33" ht="15" thickBot="1"/>
    <row r="3306" spans="2:33" ht="15" thickBot="1">
      <c r="B3306" s="53" t="s">
        <v>2189</v>
      </c>
      <c r="C3306" s="26" t="s">
        <v>1537</v>
      </c>
      <c r="D3306" s="26" t="s">
        <v>1554</v>
      </c>
      <c r="E3306" s="26" t="s">
        <v>1555</v>
      </c>
      <c r="F3306" s="26" t="s">
        <v>956</v>
      </c>
      <c r="G3306" s="26" t="s">
        <v>33</v>
      </c>
      <c r="H3306" s="27" t="s">
        <v>33</v>
      </c>
      <c r="I3306" s="26" t="s">
        <v>1556</v>
      </c>
      <c r="J3306" s="27" t="s">
        <v>56</v>
      </c>
      <c r="K3306" s="29">
        <v>14.4899997711182</v>
      </c>
      <c r="L3306" s="29">
        <v>14.4899997711182</v>
      </c>
      <c r="M3306" s="29">
        <v>14.4899997711182</v>
      </c>
      <c r="N3306" s="29">
        <v>0</v>
      </c>
      <c r="O3306" s="29">
        <v>0</v>
      </c>
      <c r="P3306" s="40">
        <v>0</v>
      </c>
      <c r="Q3306" s="1" t="s">
        <v>1557</v>
      </c>
      <c r="R3306" s="2">
        <v>1311.0899658203125</v>
      </c>
      <c r="S3306" s="2">
        <v>741.90997314453125</v>
      </c>
      <c r="T3306" s="2">
        <v>0</v>
      </c>
      <c r="U3306" s="2">
        <v>0</v>
      </c>
      <c r="V3306" s="2">
        <v>0</v>
      </c>
      <c r="W3306" s="2">
        <v>0</v>
      </c>
      <c r="X3306" s="43">
        <f>SUM(R3306:W3317)</f>
        <v>17967.999938964844</v>
      </c>
      <c r="Y3306" s="10">
        <v>46204</v>
      </c>
      <c r="Z3306" s="11">
        <v>0.23982933470114767</v>
      </c>
      <c r="AA3306" s="11">
        <v>0.16331488490945434</v>
      </c>
      <c r="AB3306" s="11">
        <v>0.13558926282684883</v>
      </c>
      <c r="AC3306" s="11"/>
      <c r="AD3306" s="11"/>
      <c r="AE3306" s="11"/>
      <c r="AF3306" s="11">
        <v>0.8</v>
      </c>
      <c r="AG3306" s="11">
        <v>0.23899999999999999</v>
      </c>
    </row>
    <row r="3307" spans="2:33">
      <c r="C3307" s="14"/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35"/>
      <c r="Q3307" s="36" t="s">
        <v>1558</v>
      </c>
      <c r="R3307" s="13">
        <v>944.989990234375</v>
      </c>
      <c r="S3307" s="13">
        <v>621.010009765625</v>
      </c>
      <c r="T3307" s="13">
        <v>0</v>
      </c>
      <c r="U3307" s="13">
        <v>0</v>
      </c>
      <c r="V3307" s="13">
        <v>0</v>
      </c>
      <c r="W3307" s="37">
        <v>0</v>
      </c>
      <c r="X3307" s="18"/>
      <c r="Y3307" s="14"/>
      <c r="Z3307" s="14"/>
      <c r="AA3307" s="14"/>
      <c r="AB3307" s="14"/>
      <c r="AC3307" s="14"/>
      <c r="AD3307" s="14"/>
      <c r="AE3307" s="14"/>
      <c r="AF3307" s="14"/>
      <c r="AG3307" s="35"/>
    </row>
    <row r="3308" spans="2:33">
      <c r="B3308" s="19"/>
      <c r="P3308" s="16"/>
      <c r="Q3308" s="36" t="s">
        <v>1559</v>
      </c>
      <c r="R3308" s="13">
        <v>1305.239990234375</v>
      </c>
      <c r="S3308" s="13">
        <v>717.760009765625</v>
      </c>
      <c r="T3308" s="13">
        <v>0</v>
      </c>
      <c r="U3308" s="13">
        <v>0</v>
      </c>
      <c r="V3308" s="13">
        <v>0</v>
      </c>
      <c r="W3308" s="37">
        <v>0</v>
      </c>
      <c r="X3308" s="19"/>
      <c r="AG3308" s="16"/>
    </row>
    <row r="3309" spans="2:33">
      <c r="B3309" s="19"/>
      <c r="P3309" s="16"/>
      <c r="Q3309" s="36" t="s">
        <v>1560</v>
      </c>
      <c r="R3309" s="13">
        <v>636.05999755859375</v>
      </c>
      <c r="S3309" s="13">
        <v>571.94000244140625</v>
      </c>
      <c r="T3309" s="13">
        <v>0</v>
      </c>
      <c r="U3309" s="13">
        <v>0</v>
      </c>
      <c r="V3309" s="13">
        <v>0</v>
      </c>
      <c r="W3309" s="37">
        <v>0</v>
      </c>
      <c r="X3309" s="19"/>
      <c r="AG3309" s="16"/>
    </row>
    <row r="3310" spans="2:33">
      <c r="B3310" s="19"/>
      <c r="P3310" s="16"/>
      <c r="Q3310" s="36" t="s">
        <v>1561</v>
      </c>
      <c r="R3310" s="13">
        <v>679.6099853515625</v>
      </c>
      <c r="S3310" s="13">
        <v>488.3900146484375</v>
      </c>
      <c r="T3310" s="13">
        <v>0</v>
      </c>
      <c r="U3310" s="13">
        <v>0</v>
      </c>
      <c r="V3310" s="13">
        <v>0</v>
      </c>
      <c r="W3310" s="37">
        <v>0</v>
      </c>
      <c r="X3310" s="19"/>
      <c r="AG3310" s="16"/>
    </row>
    <row r="3311" spans="2:33">
      <c r="B3311" s="19"/>
      <c r="P3311" s="16"/>
      <c r="Q3311" s="36" t="s">
        <v>1562</v>
      </c>
      <c r="R3311" s="13">
        <v>865.8800048828125</v>
      </c>
      <c r="S3311" s="13">
        <v>546.1199951171875</v>
      </c>
      <c r="T3311" s="13">
        <v>0</v>
      </c>
      <c r="U3311" s="13">
        <v>0</v>
      </c>
      <c r="V3311" s="13">
        <v>0</v>
      </c>
      <c r="W3311" s="37">
        <v>0</v>
      </c>
      <c r="X3311" s="19"/>
      <c r="AG3311" s="16"/>
    </row>
    <row r="3312" spans="2:33">
      <c r="B3312" s="19"/>
      <c r="P3312" s="16"/>
      <c r="Q3312" s="36" t="s">
        <v>1563</v>
      </c>
      <c r="R3312" s="13">
        <v>999</v>
      </c>
      <c r="S3312" s="13">
        <v>603</v>
      </c>
      <c r="T3312" s="13">
        <v>0</v>
      </c>
      <c r="U3312" s="13">
        <v>0</v>
      </c>
      <c r="V3312" s="13">
        <v>0</v>
      </c>
      <c r="W3312" s="37">
        <v>0</v>
      </c>
      <c r="X3312" s="19"/>
      <c r="AG3312" s="16"/>
    </row>
    <row r="3313" spans="2:33">
      <c r="B3313" s="19"/>
      <c r="P3313" s="16"/>
      <c r="Q3313" s="36" t="s">
        <v>810</v>
      </c>
      <c r="R3313" s="13">
        <v>636</v>
      </c>
      <c r="S3313" s="13">
        <v>429</v>
      </c>
      <c r="T3313" s="13">
        <v>0</v>
      </c>
      <c r="U3313" s="13">
        <v>0</v>
      </c>
      <c r="V3313" s="13">
        <v>0</v>
      </c>
      <c r="W3313" s="37">
        <v>0</v>
      </c>
      <c r="X3313" s="19"/>
      <c r="AG3313" s="16"/>
    </row>
    <row r="3314" spans="2:33">
      <c r="B3314" s="19"/>
      <c r="P3314" s="16"/>
      <c r="Q3314" s="36" t="s">
        <v>1564</v>
      </c>
      <c r="R3314" s="13">
        <v>743</v>
      </c>
      <c r="S3314" s="13">
        <v>434</v>
      </c>
      <c r="T3314" s="13">
        <v>0</v>
      </c>
      <c r="U3314" s="13">
        <v>0</v>
      </c>
      <c r="V3314" s="13">
        <v>0</v>
      </c>
      <c r="W3314" s="37">
        <v>0</v>
      </c>
      <c r="X3314" s="19"/>
      <c r="AG3314" s="16"/>
    </row>
    <row r="3315" spans="2:33">
      <c r="B3315" s="19"/>
      <c r="P3315" s="16"/>
      <c r="Q3315" s="36" t="s">
        <v>1565</v>
      </c>
      <c r="R3315" s="13">
        <v>782</v>
      </c>
      <c r="S3315" s="13">
        <v>452</v>
      </c>
      <c r="T3315" s="13">
        <v>0</v>
      </c>
      <c r="U3315" s="13">
        <v>0</v>
      </c>
      <c r="V3315" s="13">
        <v>0</v>
      </c>
      <c r="W3315" s="37">
        <v>0</v>
      </c>
      <c r="X3315" s="19"/>
      <c r="AG3315" s="16"/>
    </row>
    <row r="3316" spans="2:33">
      <c r="B3316" s="19"/>
      <c r="P3316" s="16"/>
      <c r="Q3316" s="36" t="s">
        <v>1566</v>
      </c>
      <c r="R3316" s="13">
        <v>1069</v>
      </c>
      <c r="S3316" s="13">
        <v>554</v>
      </c>
      <c r="T3316" s="13">
        <v>0</v>
      </c>
      <c r="U3316" s="13">
        <v>0</v>
      </c>
      <c r="V3316" s="13">
        <v>0</v>
      </c>
      <c r="W3316" s="37">
        <v>0</v>
      </c>
      <c r="X3316" s="19"/>
      <c r="AG3316" s="16"/>
    </row>
    <row r="3317" spans="2:33" ht="15" thickBot="1">
      <c r="B3317" s="20"/>
      <c r="C3317" s="15"/>
      <c r="D3317" s="15"/>
      <c r="E3317" s="15"/>
      <c r="F3317" s="15"/>
      <c r="G3317" s="15"/>
      <c r="H3317" s="15"/>
      <c r="I3317" s="15"/>
      <c r="J3317" s="15"/>
      <c r="K3317" s="15"/>
      <c r="L3317" s="15"/>
      <c r="M3317" s="15"/>
      <c r="N3317" s="15"/>
      <c r="O3317" s="15"/>
      <c r="P3317" s="17"/>
      <c r="Q3317" s="36" t="s">
        <v>1567</v>
      </c>
      <c r="R3317" s="13">
        <v>1227</v>
      </c>
      <c r="S3317" s="13">
        <v>610</v>
      </c>
      <c r="T3317" s="13">
        <v>0</v>
      </c>
      <c r="U3317" s="13">
        <v>0</v>
      </c>
      <c r="V3317" s="13">
        <v>0</v>
      </c>
      <c r="W3317" s="37">
        <v>0</v>
      </c>
      <c r="X3317" s="20"/>
      <c r="Y3317" s="15"/>
      <c r="Z3317" s="15"/>
      <c r="AA3317" s="15"/>
      <c r="AB3317" s="15"/>
      <c r="AC3317" s="15"/>
      <c r="AD3317" s="15"/>
      <c r="AE3317" s="15"/>
      <c r="AF3317" s="15"/>
      <c r="AG3317" s="17"/>
    </row>
    <row r="3318" spans="2:33" ht="15" thickBot="1"/>
    <row r="3319" spans="2:33" ht="15" thickBot="1">
      <c r="B3319" s="53" t="s">
        <v>2189</v>
      </c>
      <c r="C3319" s="26" t="s">
        <v>1537</v>
      </c>
      <c r="D3319" s="26" t="s">
        <v>1568</v>
      </c>
      <c r="E3319" s="26" t="s">
        <v>1569</v>
      </c>
      <c r="F3319" s="26" t="s">
        <v>126</v>
      </c>
      <c r="G3319" s="26" t="s">
        <v>33</v>
      </c>
      <c r="H3319" s="27" t="s">
        <v>33</v>
      </c>
      <c r="I3319" s="26" t="s">
        <v>1570</v>
      </c>
      <c r="J3319" s="27" t="s">
        <v>56</v>
      </c>
      <c r="K3319" s="29">
        <v>4.4000000953674299</v>
      </c>
      <c r="L3319" s="29">
        <v>4.4000000953674299</v>
      </c>
      <c r="M3319" s="29">
        <v>4.4000000953674299</v>
      </c>
      <c r="N3319" s="29">
        <v>0</v>
      </c>
      <c r="O3319" s="29">
        <v>0</v>
      </c>
      <c r="P3319" s="40">
        <v>0</v>
      </c>
      <c r="Q3319" s="1" t="s">
        <v>1571</v>
      </c>
      <c r="R3319" s="2">
        <v>328</v>
      </c>
      <c r="S3319" s="2">
        <v>196</v>
      </c>
      <c r="T3319" s="2">
        <v>86</v>
      </c>
      <c r="U3319" s="2">
        <v>0</v>
      </c>
      <c r="V3319" s="2">
        <v>0</v>
      </c>
      <c r="W3319" s="2">
        <v>0</v>
      </c>
      <c r="X3319" s="43">
        <f>SUM(R3319:W3330)</f>
        <v>6289</v>
      </c>
      <c r="Y3319" s="10">
        <v>46204</v>
      </c>
      <c r="Z3319" s="11">
        <v>0.23982933470114767</v>
      </c>
      <c r="AA3319" s="11">
        <v>0.16331488490945434</v>
      </c>
      <c r="AB3319" s="11">
        <v>0.13558926282684883</v>
      </c>
      <c r="AC3319" s="11"/>
      <c r="AD3319" s="11"/>
      <c r="AE3319" s="11"/>
      <c r="AF3319" s="11">
        <v>0.8</v>
      </c>
      <c r="AG3319" s="11">
        <v>0.23899999999999999</v>
      </c>
    </row>
    <row r="3320" spans="2:33">
      <c r="C3320" s="14"/>
      <c r="D3320" s="14"/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35"/>
      <c r="Q3320" s="36" t="s">
        <v>1353</v>
      </c>
      <c r="R3320" s="13">
        <v>294</v>
      </c>
      <c r="S3320" s="13">
        <v>182</v>
      </c>
      <c r="T3320" s="13">
        <v>93</v>
      </c>
      <c r="U3320" s="13">
        <v>0</v>
      </c>
      <c r="V3320" s="13">
        <v>0</v>
      </c>
      <c r="W3320" s="37">
        <v>0</v>
      </c>
      <c r="X3320" s="18"/>
      <c r="Y3320" s="14"/>
      <c r="Z3320" s="14"/>
      <c r="AA3320" s="14"/>
      <c r="AB3320" s="14"/>
      <c r="AC3320" s="14"/>
      <c r="AD3320" s="14"/>
      <c r="AE3320" s="14"/>
      <c r="AF3320" s="14"/>
      <c r="AG3320" s="35"/>
    </row>
    <row r="3321" spans="2:33">
      <c r="B3321" s="19"/>
      <c r="P3321" s="16"/>
      <c r="Q3321" s="36" t="s">
        <v>1572</v>
      </c>
      <c r="R3321" s="13">
        <v>264</v>
      </c>
      <c r="S3321" s="13">
        <v>147</v>
      </c>
      <c r="T3321" s="13">
        <v>82</v>
      </c>
      <c r="U3321" s="13">
        <v>0</v>
      </c>
      <c r="V3321" s="13">
        <v>0</v>
      </c>
      <c r="W3321" s="37">
        <v>0</v>
      </c>
      <c r="X3321" s="19"/>
      <c r="AG3321" s="16"/>
    </row>
    <row r="3322" spans="2:33">
      <c r="B3322" s="19"/>
      <c r="P3322" s="16"/>
      <c r="Q3322" s="36" t="s">
        <v>1573</v>
      </c>
      <c r="R3322" s="13">
        <v>151</v>
      </c>
      <c r="S3322" s="13">
        <v>101</v>
      </c>
      <c r="T3322" s="13">
        <v>82</v>
      </c>
      <c r="U3322" s="13">
        <v>0</v>
      </c>
      <c r="V3322" s="13">
        <v>0</v>
      </c>
      <c r="W3322" s="37">
        <v>0</v>
      </c>
      <c r="X3322" s="19"/>
      <c r="AG3322" s="16"/>
    </row>
    <row r="3323" spans="2:33">
      <c r="B3323" s="19"/>
      <c r="P3323" s="16"/>
      <c r="Q3323" s="36" t="s">
        <v>1574</v>
      </c>
      <c r="R3323" s="13">
        <v>212</v>
      </c>
      <c r="S3323" s="13">
        <v>142</v>
      </c>
      <c r="T3323" s="13">
        <v>99</v>
      </c>
      <c r="U3323" s="13">
        <v>0</v>
      </c>
      <c r="V3323" s="13">
        <v>0</v>
      </c>
      <c r="W3323" s="37">
        <v>0</v>
      </c>
      <c r="X3323" s="19"/>
      <c r="AG3323" s="16"/>
    </row>
    <row r="3324" spans="2:33">
      <c r="B3324" s="19"/>
      <c r="P3324" s="16"/>
      <c r="Q3324" s="36" t="s">
        <v>1575</v>
      </c>
      <c r="R3324" s="13">
        <v>369</v>
      </c>
      <c r="S3324" s="13">
        <v>215</v>
      </c>
      <c r="T3324" s="13">
        <v>90</v>
      </c>
      <c r="U3324" s="13">
        <v>0</v>
      </c>
      <c r="V3324" s="13">
        <v>0</v>
      </c>
      <c r="W3324" s="37">
        <v>0</v>
      </c>
      <c r="X3324" s="19"/>
      <c r="AG3324" s="16"/>
    </row>
    <row r="3325" spans="2:33">
      <c r="B3325" s="19"/>
      <c r="P3325" s="16"/>
      <c r="Q3325" s="36" t="s">
        <v>1576</v>
      </c>
      <c r="R3325" s="13">
        <v>311</v>
      </c>
      <c r="S3325" s="13">
        <v>185</v>
      </c>
      <c r="T3325" s="13">
        <v>91</v>
      </c>
      <c r="U3325" s="13">
        <v>0</v>
      </c>
      <c r="V3325" s="13">
        <v>0</v>
      </c>
      <c r="W3325" s="37">
        <v>0</v>
      </c>
      <c r="X3325" s="19"/>
      <c r="AG3325" s="16"/>
    </row>
    <row r="3326" spans="2:33">
      <c r="B3326" s="19"/>
      <c r="P3326" s="16"/>
      <c r="Q3326" s="36" t="s">
        <v>1577</v>
      </c>
      <c r="R3326" s="13">
        <v>271</v>
      </c>
      <c r="S3326" s="13">
        <v>187</v>
      </c>
      <c r="T3326" s="13">
        <v>100</v>
      </c>
      <c r="U3326" s="13">
        <v>0</v>
      </c>
      <c r="V3326" s="13">
        <v>0</v>
      </c>
      <c r="W3326" s="37">
        <v>0</v>
      </c>
      <c r="X3326" s="19"/>
      <c r="AG3326" s="16"/>
    </row>
    <row r="3327" spans="2:33">
      <c r="B3327" s="19"/>
      <c r="P3327" s="16"/>
      <c r="Q3327" s="36" t="s">
        <v>1578</v>
      </c>
      <c r="R3327" s="13">
        <v>221</v>
      </c>
      <c r="S3327" s="13">
        <v>148</v>
      </c>
      <c r="T3327" s="13">
        <v>83</v>
      </c>
      <c r="U3327" s="13">
        <v>0</v>
      </c>
      <c r="V3327" s="13">
        <v>0</v>
      </c>
      <c r="W3327" s="37">
        <v>0</v>
      </c>
      <c r="X3327" s="19"/>
      <c r="AG3327" s="16"/>
    </row>
    <row r="3328" spans="2:33">
      <c r="B3328" s="19"/>
      <c r="P3328" s="16"/>
      <c r="Q3328" s="36" t="s">
        <v>1160</v>
      </c>
      <c r="R3328" s="13">
        <v>175</v>
      </c>
      <c r="S3328" s="13">
        <v>128</v>
      </c>
      <c r="T3328" s="13">
        <v>92</v>
      </c>
      <c r="U3328" s="13">
        <v>0</v>
      </c>
      <c r="V3328" s="13">
        <v>0</v>
      </c>
      <c r="W3328" s="37">
        <v>0</v>
      </c>
      <c r="X3328" s="19"/>
      <c r="AG3328" s="16"/>
    </row>
    <row r="3329" spans="2:33">
      <c r="B3329" s="19"/>
      <c r="P3329" s="16"/>
      <c r="Q3329" s="36" t="s">
        <v>1579</v>
      </c>
      <c r="R3329" s="13">
        <v>244</v>
      </c>
      <c r="S3329" s="13">
        <v>149</v>
      </c>
      <c r="T3329" s="13">
        <v>84</v>
      </c>
      <c r="U3329" s="13">
        <v>0</v>
      </c>
      <c r="V3329" s="13">
        <v>0</v>
      </c>
      <c r="W3329" s="37">
        <v>0</v>
      </c>
      <c r="X3329" s="19"/>
      <c r="AG3329" s="16"/>
    </row>
    <row r="3330" spans="2:33" ht="15" thickBot="1">
      <c r="B3330" s="20"/>
      <c r="C3330" s="15"/>
      <c r="D3330" s="15"/>
      <c r="E3330" s="15"/>
      <c r="F3330" s="15"/>
      <c r="G3330" s="15"/>
      <c r="H3330" s="15"/>
      <c r="I3330" s="15"/>
      <c r="J3330" s="15"/>
      <c r="K3330" s="15"/>
      <c r="L3330" s="15"/>
      <c r="M3330" s="15"/>
      <c r="N3330" s="15"/>
      <c r="O3330" s="15"/>
      <c r="P3330" s="17"/>
      <c r="Q3330" s="36" t="s">
        <v>294</v>
      </c>
      <c r="R3330" s="13">
        <v>364</v>
      </c>
      <c r="S3330" s="13">
        <v>215</v>
      </c>
      <c r="T3330" s="13">
        <v>108</v>
      </c>
      <c r="U3330" s="13">
        <v>0</v>
      </c>
      <c r="V3330" s="13">
        <v>0</v>
      </c>
      <c r="W3330" s="37">
        <v>0</v>
      </c>
      <c r="X3330" s="20"/>
      <c r="Y3330" s="15"/>
      <c r="Z3330" s="15"/>
      <c r="AA3330" s="15"/>
      <c r="AB3330" s="15"/>
      <c r="AC3330" s="15"/>
      <c r="AD3330" s="15"/>
      <c r="AE3330" s="15"/>
      <c r="AF3330" s="15"/>
      <c r="AG3330" s="17"/>
    </row>
    <row r="3331" spans="2:33">
      <c r="Q3331" s="36"/>
      <c r="W3331" s="37"/>
    </row>
    <row r="3332" spans="2:33" ht="15" thickBot="1">
      <c r="B3332" s="25" t="s">
        <v>1522</v>
      </c>
      <c r="C3332" s="26" t="s">
        <v>1523</v>
      </c>
      <c r="D3332" s="26" t="s">
        <v>1524</v>
      </c>
      <c r="E3332" s="26" t="s">
        <v>1525</v>
      </c>
      <c r="F3332" s="26" t="s">
        <v>1526</v>
      </c>
      <c r="G3332" s="26" t="s">
        <v>1527</v>
      </c>
      <c r="H3332" s="27" t="s">
        <v>33</v>
      </c>
      <c r="I3332" s="26" t="s">
        <v>1528</v>
      </c>
      <c r="J3332" s="27" t="s">
        <v>34</v>
      </c>
      <c r="K3332" s="29">
        <v>50</v>
      </c>
      <c r="L3332" s="29">
        <v>50</v>
      </c>
      <c r="M3332" s="29">
        <v>50</v>
      </c>
      <c r="N3332" s="29">
        <v>50</v>
      </c>
      <c r="O3332" s="29">
        <v>50</v>
      </c>
      <c r="P3332" s="40">
        <v>350</v>
      </c>
      <c r="Q3332" s="1" t="s">
        <v>35</v>
      </c>
      <c r="R3332" s="2">
        <v>1862</v>
      </c>
      <c r="S3332" s="2">
        <v>1328</v>
      </c>
      <c r="T3332" s="2">
        <v>0</v>
      </c>
      <c r="U3332" s="2">
        <v>0</v>
      </c>
      <c r="V3332" s="2">
        <v>0</v>
      </c>
      <c r="W3332" s="2">
        <v>1644</v>
      </c>
      <c r="X3332" s="43">
        <f>SUM(R3332:W3345)</f>
        <v>30277</v>
      </c>
      <c r="Y3332" s="10">
        <v>46204</v>
      </c>
      <c r="Z3332" s="11">
        <v>0.1905382461068803</v>
      </c>
      <c r="AA3332" s="11">
        <v>0.15945002794194035</v>
      </c>
      <c r="AB3332" s="11">
        <v>0.13221737173042739</v>
      </c>
      <c r="AC3332" s="11">
        <v>0.11821611705587234</v>
      </c>
      <c r="AD3332" s="11">
        <v>0.10730195790232512</v>
      </c>
      <c r="AE3332" s="11">
        <v>0.12297269212691679</v>
      </c>
      <c r="AF3332" s="11">
        <v>1.1100000000000001</v>
      </c>
      <c r="AG3332" s="11">
        <v>0.23899999999999999</v>
      </c>
    </row>
    <row r="3333" spans="2:33">
      <c r="B3333" s="18"/>
      <c r="C3333" s="14"/>
      <c r="D3333" s="14"/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35"/>
      <c r="Q3333" s="36" t="s">
        <v>36</v>
      </c>
      <c r="R3333" s="13">
        <v>1104</v>
      </c>
      <c r="S3333" s="13">
        <v>910</v>
      </c>
      <c r="T3333" s="13">
        <v>0</v>
      </c>
      <c r="U3333" s="13">
        <v>0</v>
      </c>
      <c r="V3333" s="13">
        <v>0</v>
      </c>
      <c r="W3333" s="37">
        <v>1543</v>
      </c>
      <c r="X3333" s="18"/>
      <c r="Y3333" s="14"/>
      <c r="Z3333" s="14"/>
      <c r="AA3333" s="14"/>
      <c r="AB3333" s="14"/>
      <c r="AC3333" s="14"/>
      <c r="AD3333" s="14"/>
      <c r="AE3333" s="14"/>
      <c r="AF3333" s="14"/>
      <c r="AG3333" s="35"/>
    </row>
    <row r="3334" spans="2:33">
      <c r="B3334" s="19"/>
      <c r="P3334" s="16"/>
      <c r="Q3334" s="36" t="s">
        <v>37</v>
      </c>
      <c r="R3334" s="13">
        <v>0</v>
      </c>
      <c r="S3334" s="13">
        <v>1381</v>
      </c>
      <c r="T3334" s="13">
        <v>1018</v>
      </c>
      <c r="U3334" s="13">
        <v>0</v>
      </c>
      <c r="V3334" s="13">
        <v>0</v>
      </c>
      <c r="W3334" s="37">
        <v>1353</v>
      </c>
      <c r="X3334" s="19"/>
      <c r="AG3334" s="16"/>
    </row>
    <row r="3335" spans="2:33">
      <c r="B3335" s="19"/>
      <c r="P3335" s="16"/>
      <c r="Q3335" s="36" t="s">
        <v>38</v>
      </c>
      <c r="R3335" s="13">
        <v>0</v>
      </c>
      <c r="S3335" s="13">
        <v>0</v>
      </c>
      <c r="T3335" s="13">
        <v>0</v>
      </c>
      <c r="U3335" s="13">
        <v>473</v>
      </c>
      <c r="V3335" s="13">
        <v>791</v>
      </c>
      <c r="W3335" s="37">
        <v>1353</v>
      </c>
      <c r="X3335" s="19"/>
      <c r="AG3335" s="16"/>
    </row>
    <row r="3336" spans="2:33">
      <c r="B3336" s="19"/>
      <c r="P3336" s="16"/>
      <c r="Q3336" s="36" t="s">
        <v>39</v>
      </c>
      <c r="R3336" s="13">
        <v>0</v>
      </c>
      <c r="S3336" s="13">
        <v>0</v>
      </c>
      <c r="T3336" s="13">
        <v>0</v>
      </c>
      <c r="U3336" s="13">
        <v>191</v>
      </c>
      <c r="V3336" s="13">
        <v>229</v>
      </c>
      <c r="W3336" s="37">
        <v>834</v>
      </c>
      <c r="X3336" s="19"/>
      <c r="AG3336" s="16"/>
    </row>
    <row r="3337" spans="2:33">
      <c r="B3337" s="19"/>
      <c r="P3337" s="16"/>
      <c r="Q3337" s="36" t="s">
        <v>40</v>
      </c>
      <c r="R3337" s="13">
        <v>0</v>
      </c>
      <c r="S3337" s="13">
        <v>0</v>
      </c>
      <c r="T3337" s="13">
        <v>175</v>
      </c>
      <c r="U3337" s="13">
        <v>238</v>
      </c>
      <c r="V3337" s="13">
        <v>0</v>
      </c>
      <c r="W3337" s="37">
        <v>796</v>
      </c>
      <c r="X3337" s="19"/>
      <c r="AG3337" s="16"/>
    </row>
    <row r="3338" spans="2:33">
      <c r="B3338" s="19"/>
      <c r="P3338" s="16"/>
      <c r="Q3338" s="36" t="s">
        <v>1529</v>
      </c>
      <c r="R3338" s="13">
        <v>28</v>
      </c>
      <c r="S3338" s="13">
        <v>81</v>
      </c>
      <c r="T3338" s="13">
        <v>0</v>
      </c>
      <c r="U3338" s="13">
        <v>0</v>
      </c>
      <c r="V3338" s="13">
        <v>0</v>
      </c>
      <c r="W3338" s="37">
        <v>193</v>
      </c>
      <c r="X3338" s="19"/>
      <c r="AG3338" s="16"/>
    </row>
    <row r="3339" spans="2:33">
      <c r="B3339" s="19"/>
      <c r="P3339" s="16"/>
      <c r="Q3339" s="36" t="s">
        <v>1530</v>
      </c>
      <c r="R3339" s="13">
        <v>25</v>
      </c>
      <c r="S3339" s="13">
        <v>44</v>
      </c>
      <c r="T3339" s="13">
        <v>0</v>
      </c>
      <c r="U3339" s="13">
        <v>0</v>
      </c>
      <c r="V3339" s="13">
        <v>0</v>
      </c>
      <c r="W3339" s="37">
        <v>94</v>
      </c>
      <c r="X3339" s="19"/>
      <c r="AG3339" s="16"/>
    </row>
    <row r="3340" spans="2:33">
      <c r="B3340" s="19"/>
      <c r="P3340" s="16"/>
      <c r="Q3340" s="36" t="s">
        <v>1531</v>
      </c>
      <c r="R3340" s="13">
        <v>173</v>
      </c>
      <c r="S3340" s="13">
        <v>181</v>
      </c>
      <c r="T3340" s="13">
        <v>0</v>
      </c>
      <c r="U3340" s="13">
        <v>0</v>
      </c>
      <c r="V3340" s="13">
        <v>0</v>
      </c>
      <c r="W3340" s="37">
        <v>609</v>
      </c>
      <c r="X3340" s="19"/>
      <c r="AG3340" s="16"/>
    </row>
    <row r="3341" spans="2:33">
      <c r="B3341" s="19"/>
      <c r="P3341" s="16"/>
      <c r="Q3341" s="36" t="s">
        <v>42</v>
      </c>
      <c r="R3341" s="13">
        <v>0</v>
      </c>
      <c r="S3341" s="13">
        <v>0</v>
      </c>
      <c r="T3341" s="13">
        <v>145</v>
      </c>
      <c r="U3341" s="13">
        <v>230</v>
      </c>
      <c r="V3341" s="13">
        <v>0</v>
      </c>
      <c r="W3341" s="37">
        <v>947</v>
      </c>
      <c r="X3341" s="19"/>
      <c r="AG3341" s="16"/>
    </row>
    <row r="3342" spans="2:33">
      <c r="B3342" s="19"/>
      <c r="P3342" s="16"/>
      <c r="Q3342" s="36" t="s">
        <v>43</v>
      </c>
      <c r="R3342" s="13">
        <v>0</v>
      </c>
      <c r="S3342" s="13">
        <v>0</v>
      </c>
      <c r="T3342" s="13">
        <v>290</v>
      </c>
      <c r="U3342" s="13">
        <v>290</v>
      </c>
      <c r="V3342" s="13">
        <v>0</v>
      </c>
      <c r="W3342" s="37">
        <v>906</v>
      </c>
      <c r="X3342" s="19"/>
      <c r="AG3342" s="16"/>
    </row>
    <row r="3343" spans="2:33">
      <c r="B3343" s="19"/>
      <c r="P3343" s="16"/>
      <c r="Q3343" s="36" t="s">
        <v>44</v>
      </c>
      <c r="R3343" s="13">
        <v>0</v>
      </c>
      <c r="S3343" s="13">
        <v>0</v>
      </c>
      <c r="T3343" s="13">
        <v>0</v>
      </c>
      <c r="U3343" s="13">
        <v>556</v>
      </c>
      <c r="V3343" s="13">
        <v>420</v>
      </c>
      <c r="W3343" s="37">
        <v>999</v>
      </c>
      <c r="X3343" s="19"/>
      <c r="AG3343" s="16"/>
    </row>
    <row r="3344" spans="2:33">
      <c r="B3344" s="19"/>
      <c r="P3344" s="16"/>
      <c r="Q3344" s="36" t="s">
        <v>45</v>
      </c>
      <c r="R3344" s="13">
        <v>0</v>
      </c>
      <c r="S3344" s="13">
        <v>925</v>
      </c>
      <c r="T3344" s="13">
        <v>771</v>
      </c>
      <c r="U3344" s="13">
        <v>0</v>
      </c>
      <c r="V3344" s="13">
        <v>0</v>
      </c>
      <c r="W3344" s="37">
        <v>1206</v>
      </c>
      <c r="X3344" s="19"/>
      <c r="AG3344" s="16"/>
    </row>
    <row r="3345" spans="2:33" ht="15" thickBot="1">
      <c r="B3345" s="20"/>
      <c r="C3345" s="15"/>
      <c r="D3345" s="15"/>
      <c r="E3345" s="15"/>
      <c r="F3345" s="15"/>
      <c r="G3345" s="15"/>
      <c r="H3345" s="15"/>
      <c r="I3345" s="15"/>
      <c r="J3345" s="15"/>
      <c r="K3345" s="15"/>
      <c r="L3345" s="15"/>
      <c r="M3345" s="15"/>
      <c r="N3345" s="15"/>
      <c r="O3345" s="15"/>
      <c r="P3345" s="17"/>
      <c r="Q3345" s="36" t="s">
        <v>46</v>
      </c>
      <c r="R3345" s="13">
        <v>1504</v>
      </c>
      <c r="S3345" s="13">
        <v>965</v>
      </c>
      <c r="T3345" s="13">
        <v>0</v>
      </c>
      <c r="U3345" s="13">
        <v>0</v>
      </c>
      <c r="V3345" s="13">
        <v>0</v>
      </c>
      <c r="W3345" s="37">
        <v>1472</v>
      </c>
      <c r="X3345" s="20"/>
      <c r="Y3345" s="15"/>
      <c r="Z3345" s="15"/>
      <c r="AA3345" s="15"/>
      <c r="AB3345" s="15"/>
      <c r="AC3345" s="15"/>
      <c r="AD3345" s="15"/>
      <c r="AE3345" s="15"/>
      <c r="AF3345" s="15"/>
      <c r="AG3345" s="17"/>
    </row>
    <row r="3347" spans="2:33" ht="15" thickBot="1">
      <c r="B3347" s="25" t="s">
        <v>2194</v>
      </c>
      <c r="C3347" s="26" t="s">
        <v>1580</v>
      </c>
      <c r="D3347" s="26" t="s">
        <v>1581</v>
      </c>
      <c r="E3347" s="26" t="s">
        <v>1582</v>
      </c>
      <c r="F3347" s="26" t="s">
        <v>1583</v>
      </c>
      <c r="G3347" s="26" t="s">
        <v>469</v>
      </c>
      <c r="H3347" s="27" t="s">
        <v>469</v>
      </c>
      <c r="I3347" s="26" t="s">
        <v>1584</v>
      </c>
      <c r="J3347" s="27" t="s">
        <v>56</v>
      </c>
      <c r="K3347" s="29">
        <v>6.92799997329712</v>
      </c>
      <c r="L3347" s="29">
        <v>6.92799997329712</v>
      </c>
      <c r="M3347" s="29">
        <v>6.92799997329712</v>
      </c>
      <c r="N3347" s="29">
        <v>0</v>
      </c>
      <c r="O3347" s="29">
        <v>0</v>
      </c>
      <c r="P3347" s="40">
        <v>0</v>
      </c>
      <c r="Q3347" s="1" t="s">
        <v>1585</v>
      </c>
      <c r="R3347" s="2">
        <v>145.35499572753906</v>
      </c>
      <c r="S3347" s="2">
        <v>80.478996276855469</v>
      </c>
      <c r="T3347" s="2">
        <v>125.34200286865234</v>
      </c>
      <c r="U3347" s="2">
        <v>0</v>
      </c>
      <c r="V3347" s="2">
        <v>0</v>
      </c>
      <c r="W3347" s="2">
        <v>0</v>
      </c>
      <c r="X3347" s="43">
        <f>SUM(R3347:W3353)</f>
        <v>10259.175994873047</v>
      </c>
      <c r="Y3347" s="10">
        <v>46199</v>
      </c>
      <c r="Z3347" s="11">
        <v>0.24024557835596999</v>
      </c>
      <c r="AA3347" s="11">
        <v>0.16373112856427666</v>
      </c>
      <c r="AB3347" s="11">
        <v>0.13600550648167117</v>
      </c>
      <c r="AC3347" s="11"/>
      <c r="AD3347" s="11"/>
      <c r="AE3347" s="11"/>
      <c r="AF3347" s="11">
        <v>1.1100000000000001</v>
      </c>
      <c r="AG3347" s="11">
        <v>0.23899999999999999</v>
      </c>
    </row>
    <row r="3348" spans="2:33">
      <c r="B3348" s="18"/>
      <c r="C3348" s="14"/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35"/>
      <c r="Q3348" s="36" t="s">
        <v>1586</v>
      </c>
      <c r="R3348" s="13">
        <v>409</v>
      </c>
      <c r="S3348" s="13">
        <v>375</v>
      </c>
      <c r="T3348" s="13">
        <v>683</v>
      </c>
      <c r="U3348" s="13">
        <v>0</v>
      </c>
      <c r="V3348" s="13">
        <v>0</v>
      </c>
      <c r="W3348" s="37">
        <v>0</v>
      </c>
      <c r="X3348" s="18"/>
      <c r="Y3348" s="14"/>
      <c r="Z3348" s="14"/>
      <c r="AA3348" s="14"/>
      <c r="AB3348" s="14"/>
      <c r="AC3348" s="14"/>
      <c r="AD3348" s="14"/>
      <c r="AE3348" s="14"/>
      <c r="AF3348" s="14"/>
      <c r="AG3348" s="35"/>
    </row>
    <row r="3349" spans="2:33">
      <c r="B3349" s="19"/>
      <c r="P3349" s="16"/>
      <c r="Q3349" s="36" t="s">
        <v>1587</v>
      </c>
      <c r="R3349" s="13">
        <v>625</v>
      </c>
      <c r="S3349" s="13">
        <v>571</v>
      </c>
      <c r="T3349" s="13">
        <v>995</v>
      </c>
      <c r="U3349" s="13">
        <v>0</v>
      </c>
      <c r="V3349" s="13">
        <v>0</v>
      </c>
      <c r="W3349" s="37">
        <v>0</v>
      </c>
      <c r="X3349" s="19"/>
      <c r="AG3349" s="16"/>
    </row>
    <row r="3350" spans="2:33">
      <c r="B3350" s="19"/>
      <c r="P3350" s="16"/>
      <c r="Q3350" s="36" t="s">
        <v>1588</v>
      </c>
      <c r="R3350" s="13">
        <v>545</v>
      </c>
      <c r="S3350" s="13">
        <v>504</v>
      </c>
      <c r="T3350" s="13">
        <v>784</v>
      </c>
      <c r="U3350" s="13">
        <v>0</v>
      </c>
      <c r="V3350" s="13">
        <v>0</v>
      </c>
      <c r="W3350" s="37">
        <v>0</v>
      </c>
      <c r="X3350" s="19"/>
      <c r="AG3350" s="16"/>
    </row>
    <row r="3351" spans="2:33">
      <c r="B3351" s="19"/>
      <c r="P3351" s="16"/>
      <c r="Q3351" s="36" t="s">
        <v>1589</v>
      </c>
      <c r="R3351" s="13">
        <v>516</v>
      </c>
      <c r="S3351" s="13">
        <v>474</v>
      </c>
      <c r="T3351" s="13">
        <v>696</v>
      </c>
      <c r="U3351" s="13">
        <v>0</v>
      </c>
      <c r="V3351" s="13">
        <v>0</v>
      </c>
      <c r="W3351" s="37">
        <v>0</v>
      </c>
      <c r="X3351" s="19"/>
      <c r="AG3351" s="16"/>
    </row>
    <row r="3352" spans="2:33">
      <c r="B3352" s="19"/>
      <c r="P3352" s="16"/>
      <c r="Q3352" s="36" t="s">
        <v>1590</v>
      </c>
      <c r="R3352" s="13">
        <v>501</v>
      </c>
      <c r="S3352" s="13">
        <v>469</v>
      </c>
      <c r="T3352" s="13">
        <v>703</v>
      </c>
      <c r="U3352" s="13">
        <v>0</v>
      </c>
      <c r="V3352" s="13">
        <v>0</v>
      </c>
      <c r="W3352" s="37">
        <v>0</v>
      </c>
      <c r="X3352" s="19"/>
      <c r="AG3352" s="16"/>
    </row>
    <row r="3353" spans="2:33" ht="15" thickBot="1">
      <c r="B3353" s="20"/>
      <c r="C3353" s="15"/>
      <c r="D3353" s="15"/>
      <c r="E3353" s="15"/>
      <c r="F3353" s="15"/>
      <c r="G3353" s="15"/>
      <c r="H3353" s="15"/>
      <c r="I3353" s="15"/>
      <c r="J3353" s="15"/>
      <c r="K3353" s="15"/>
      <c r="L3353" s="15"/>
      <c r="M3353" s="15"/>
      <c r="N3353" s="15"/>
      <c r="O3353" s="15"/>
      <c r="P3353" s="17"/>
      <c r="Q3353" s="36" t="s">
        <v>1591</v>
      </c>
      <c r="R3353" s="13">
        <v>282</v>
      </c>
      <c r="S3353" s="13">
        <v>266</v>
      </c>
      <c r="T3353" s="13">
        <v>510</v>
      </c>
      <c r="U3353" s="13">
        <v>0</v>
      </c>
      <c r="V3353" s="13">
        <v>0</v>
      </c>
      <c r="W3353" s="37">
        <v>0</v>
      </c>
      <c r="X3353" s="20"/>
      <c r="Y3353" s="15"/>
      <c r="Z3353" s="15"/>
      <c r="AA3353" s="15"/>
      <c r="AB3353" s="15"/>
      <c r="AC3353" s="15"/>
      <c r="AD3353" s="15"/>
      <c r="AE3353" s="15"/>
      <c r="AF3353" s="15"/>
      <c r="AG3353" s="17"/>
    </row>
    <row r="3355" spans="2:33" ht="15" thickBot="1">
      <c r="B3355" s="25" t="s">
        <v>1602</v>
      </c>
      <c r="C3355" s="26" t="s">
        <v>1603</v>
      </c>
      <c r="D3355" s="26" t="s">
        <v>1604</v>
      </c>
      <c r="E3355" s="26" t="s">
        <v>1605</v>
      </c>
      <c r="F3355" s="26" t="s">
        <v>1606</v>
      </c>
      <c r="G3355" s="26" t="s">
        <v>1607</v>
      </c>
      <c r="H3355" s="27" t="s">
        <v>72</v>
      </c>
      <c r="I3355" s="26" t="s">
        <v>1608</v>
      </c>
      <c r="J3355" s="27" t="s">
        <v>87</v>
      </c>
      <c r="K3355" s="29">
        <v>15.0100002288818</v>
      </c>
      <c r="L3355" s="29">
        <v>15.0100002288818</v>
      </c>
      <c r="M3355" s="29">
        <v>15.0100002288818</v>
      </c>
      <c r="N3355" s="29">
        <v>15.0100002288818</v>
      </c>
      <c r="O3355" s="29">
        <v>15.0100002288818</v>
      </c>
      <c r="P3355" s="40">
        <v>15.0100002288818</v>
      </c>
      <c r="Q3355" s="1" t="s">
        <v>35</v>
      </c>
      <c r="R3355" s="2">
        <v>1947</v>
      </c>
      <c r="S3355" s="2">
        <v>1076</v>
      </c>
      <c r="T3355" s="2">
        <v>0</v>
      </c>
      <c r="U3355" s="2">
        <v>0</v>
      </c>
      <c r="V3355" s="2">
        <v>0</v>
      </c>
      <c r="W3355" s="2">
        <v>1134</v>
      </c>
      <c r="X3355" s="43">
        <f>SUM(R3355:W3366)</f>
        <v>43545</v>
      </c>
      <c r="Y3355" s="10">
        <v>46204</v>
      </c>
      <c r="Z3355" s="11">
        <v>0.21919235148020305</v>
      </c>
      <c r="AA3355" s="11">
        <v>0.18278252950868873</v>
      </c>
      <c r="AB3355" s="11">
        <v>0.14730848520871084</v>
      </c>
      <c r="AC3355" s="11">
        <v>0.12879037718868644</v>
      </c>
      <c r="AD3355" s="11">
        <v>0.11451881259976519</v>
      </c>
      <c r="AE3355" s="11">
        <v>0.13153841003497066</v>
      </c>
      <c r="AF3355" s="11">
        <v>0.3</v>
      </c>
      <c r="AG3355" s="11">
        <v>0.23899999999999999</v>
      </c>
    </row>
    <row r="3356" spans="2:33">
      <c r="B3356" s="18"/>
      <c r="C3356" s="14"/>
      <c r="D3356" s="14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35"/>
      <c r="Q3356" s="36" t="s">
        <v>36</v>
      </c>
      <c r="R3356" s="13">
        <v>1723</v>
      </c>
      <c r="S3356" s="13">
        <v>946</v>
      </c>
      <c r="T3356" s="13">
        <v>0</v>
      </c>
      <c r="U3356" s="13">
        <v>0</v>
      </c>
      <c r="V3356" s="13">
        <v>0</v>
      </c>
      <c r="W3356" s="37">
        <v>865</v>
      </c>
      <c r="X3356" s="18"/>
      <c r="Y3356" s="14"/>
      <c r="Z3356" s="14"/>
      <c r="AA3356" s="14"/>
      <c r="AB3356" s="14"/>
      <c r="AC3356" s="14"/>
      <c r="AD3356" s="14"/>
      <c r="AE3356" s="14"/>
      <c r="AF3356" s="14"/>
      <c r="AG3356" s="35"/>
    </row>
    <row r="3357" spans="2:33">
      <c r="B3357" s="19"/>
      <c r="P3357" s="16"/>
      <c r="Q3357" s="36" t="s">
        <v>37</v>
      </c>
      <c r="R3357" s="13">
        <v>0</v>
      </c>
      <c r="S3357" s="13">
        <v>1830</v>
      </c>
      <c r="T3357" s="13">
        <v>1036</v>
      </c>
      <c r="U3357" s="13">
        <v>0</v>
      </c>
      <c r="V3357" s="13">
        <v>0</v>
      </c>
      <c r="W3357" s="37">
        <v>1084</v>
      </c>
      <c r="X3357" s="19"/>
      <c r="AG3357" s="16"/>
    </row>
    <row r="3358" spans="2:33">
      <c r="B3358" s="19"/>
      <c r="P3358" s="16"/>
      <c r="Q3358" s="36" t="s">
        <v>38</v>
      </c>
      <c r="R3358" s="13">
        <v>0</v>
      </c>
      <c r="S3358" s="13">
        <v>0</v>
      </c>
      <c r="T3358" s="13">
        <v>0</v>
      </c>
      <c r="U3358" s="13">
        <v>1658</v>
      </c>
      <c r="V3358" s="13">
        <v>896</v>
      </c>
      <c r="W3358" s="37">
        <v>768</v>
      </c>
      <c r="X3358" s="19"/>
      <c r="AG3358" s="16"/>
    </row>
    <row r="3359" spans="2:33">
      <c r="B3359" s="19"/>
      <c r="P3359" s="16"/>
      <c r="Q3359" s="36" t="s">
        <v>39</v>
      </c>
      <c r="R3359" s="13">
        <v>0</v>
      </c>
      <c r="S3359" s="13">
        <v>0</v>
      </c>
      <c r="T3359" s="13">
        <v>0</v>
      </c>
      <c r="U3359" s="13">
        <v>1481</v>
      </c>
      <c r="V3359" s="13">
        <v>807</v>
      </c>
      <c r="W3359" s="37">
        <v>836</v>
      </c>
      <c r="X3359" s="19"/>
      <c r="AG3359" s="16"/>
    </row>
    <row r="3360" spans="2:33">
      <c r="B3360" s="19"/>
      <c r="P3360" s="16"/>
      <c r="Q3360" s="36" t="s">
        <v>40</v>
      </c>
      <c r="R3360" s="13">
        <v>0</v>
      </c>
      <c r="S3360" s="13">
        <v>0</v>
      </c>
      <c r="T3360" s="13">
        <v>1673</v>
      </c>
      <c r="U3360" s="13">
        <v>933</v>
      </c>
      <c r="V3360" s="13">
        <v>0</v>
      </c>
      <c r="W3360" s="37">
        <v>909</v>
      </c>
      <c r="X3360" s="19"/>
      <c r="AG3360" s="16"/>
    </row>
    <row r="3361" spans="2:33">
      <c r="B3361" s="19"/>
      <c r="P3361" s="16"/>
      <c r="Q3361" s="36" t="s">
        <v>41</v>
      </c>
      <c r="R3361" s="13">
        <v>1892</v>
      </c>
      <c r="S3361" s="13">
        <v>1083</v>
      </c>
      <c r="T3361" s="13">
        <v>0</v>
      </c>
      <c r="U3361" s="13">
        <v>0</v>
      </c>
      <c r="V3361" s="13">
        <v>0</v>
      </c>
      <c r="W3361" s="37">
        <v>792</v>
      </c>
      <c r="X3361" s="19"/>
      <c r="AG3361" s="16"/>
    </row>
    <row r="3362" spans="2:33">
      <c r="B3362" s="19"/>
      <c r="P3362" s="16"/>
      <c r="Q3362" s="36" t="s">
        <v>42</v>
      </c>
      <c r="R3362" s="13">
        <v>0</v>
      </c>
      <c r="S3362" s="13">
        <v>0</v>
      </c>
      <c r="T3362" s="13">
        <v>1741</v>
      </c>
      <c r="U3362" s="13">
        <v>1032</v>
      </c>
      <c r="V3362" s="13">
        <v>0</v>
      </c>
      <c r="W3362" s="37">
        <v>1043</v>
      </c>
      <c r="X3362" s="19"/>
      <c r="AG3362" s="16"/>
    </row>
    <row r="3363" spans="2:33">
      <c r="B3363" s="19"/>
      <c r="P3363" s="16"/>
      <c r="Q3363" s="36" t="s">
        <v>43</v>
      </c>
      <c r="R3363" s="13">
        <v>0</v>
      </c>
      <c r="S3363" s="13">
        <v>0</v>
      </c>
      <c r="T3363" s="13">
        <v>1667</v>
      </c>
      <c r="U3363" s="13">
        <v>976</v>
      </c>
      <c r="V3363" s="13">
        <v>0</v>
      </c>
      <c r="W3363" s="37">
        <v>873</v>
      </c>
      <c r="X3363" s="19"/>
      <c r="AG3363" s="16"/>
    </row>
    <row r="3364" spans="2:33">
      <c r="B3364" s="19"/>
      <c r="P3364" s="16"/>
      <c r="Q3364" s="36" t="s">
        <v>44</v>
      </c>
      <c r="R3364" s="13">
        <v>0</v>
      </c>
      <c r="S3364" s="13">
        <v>0</v>
      </c>
      <c r="T3364" s="13">
        <v>0</v>
      </c>
      <c r="U3364" s="13">
        <v>1754</v>
      </c>
      <c r="V3364" s="13">
        <v>1020</v>
      </c>
      <c r="W3364" s="37">
        <v>858</v>
      </c>
      <c r="X3364" s="19"/>
      <c r="AG3364" s="16"/>
    </row>
    <row r="3365" spans="2:33">
      <c r="B3365" s="19"/>
      <c r="P3365" s="16"/>
      <c r="Q3365" s="36" t="s">
        <v>45</v>
      </c>
      <c r="R3365" s="13">
        <v>0</v>
      </c>
      <c r="S3365" s="13">
        <v>1439</v>
      </c>
      <c r="T3365" s="13">
        <v>828</v>
      </c>
      <c r="U3365" s="13">
        <v>0</v>
      </c>
      <c r="V3365" s="13">
        <v>0</v>
      </c>
      <c r="W3365" s="37">
        <v>950</v>
      </c>
      <c r="X3365" s="19"/>
      <c r="AG3365" s="16"/>
    </row>
    <row r="3366" spans="2:33" ht="15" thickBot="1">
      <c r="B3366" s="20"/>
      <c r="C3366" s="15"/>
      <c r="D3366" s="15"/>
      <c r="E3366" s="15"/>
      <c r="F3366" s="15"/>
      <c r="G3366" s="15"/>
      <c r="H3366" s="15"/>
      <c r="I3366" s="15"/>
      <c r="J3366" s="15"/>
      <c r="K3366" s="15"/>
      <c r="L3366" s="15"/>
      <c r="M3366" s="15"/>
      <c r="N3366" s="15"/>
      <c r="O3366" s="15"/>
      <c r="P3366" s="17"/>
      <c r="Q3366" s="36" t="s">
        <v>46</v>
      </c>
      <c r="R3366" s="13">
        <v>1667</v>
      </c>
      <c r="S3366" s="13">
        <v>982</v>
      </c>
      <c r="T3366" s="13">
        <v>0</v>
      </c>
      <c r="U3366" s="13">
        <v>0</v>
      </c>
      <c r="V3366" s="13">
        <v>0</v>
      </c>
      <c r="W3366" s="37">
        <v>1346</v>
      </c>
      <c r="X3366" s="20"/>
      <c r="Y3366" s="15"/>
      <c r="Z3366" s="15"/>
      <c r="AA3366" s="15"/>
      <c r="AB3366" s="15"/>
      <c r="AC3366" s="15"/>
      <c r="AD3366" s="15"/>
      <c r="AE3366" s="15"/>
      <c r="AF3366" s="15"/>
      <c r="AG3366" s="17"/>
    </row>
    <row r="3368" spans="2:33" ht="15" thickBot="1">
      <c r="B3368" s="25" t="s">
        <v>1602</v>
      </c>
      <c r="C3368" s="26" t="s">
        <v>1603</v>
      </c>
      <c r="D3368" s="26" t="s">
        <v>1609</v>
      </c>
      <c r="E3368" s="26" t="s">
        <v>1610</v>
      </c>
      <c r="F3368" s="26" t="s">
        <v>1611</v>
      </c>
      <c r="G3368" s="26" t="s">
        <v>92</v>
      </c>
      <c r="H3368" s="27" t="s">
        <v>33</v>
      </c>
      <c r="I3368" s="26" t="s">
        <v>1612</v>
      </c>
      <c r="J3368" s="27" t="s">
        <v>87</v>
      </c>
      <c r="K3368" s="29">
        <v>14</v>
      </c>
      <c r="L3368" s="29">
        <v>14</v>
      </c>
      <c r="M3368" s="29">
        <v>14</v>
      </c>
      <c r="N3368" s="29">
        <v>14</v>
      </c>
      <c r="O3368" s="29">
        <v>14</v>
      </c>
      <c r="P3368" s="40">
        <v>27</v>
      </c>
      <c r="Q3368" s="1" t="s">
        <v>35</v>
      </c>
      <c r="R3368" s="2">
        <v>1258</v>
      </c>
      <c r="S3368" s="2">
        <v>679</v>
      </c>
      <c r="T3368" s="2">
        <v>0</v>
      </c>
      <c r="U3368" s="2">
        <v>0</v>
      </c>
      <c r="V3368" s="2">
        <v>0</v>
      </c>
      <c r="W3368" s="2">
        <v>849</v>
      </c>
      <c r="X3368" s="43">
        <f>SUM(R3368:W3379)</f>
        <v>37240</v>
      </c>
      <c r="Y3368" s="10">
        <v>46204</v>
      </c>
      <c r="Z3368" s="11">
        <v>0.21919235148020305</v>
      </c>
      <c r="AA3368" s="11">
        <v>0.18278252950868873</v>
      </c>
      <c r="AB3368" s="11">
        <v>0.14730848520871084</v>
      </c>
      <c r="AC3368" s="11">
        <v>0.12879037718868644</v>
      </c>
      <c r="AD3368" s="11">
        <v>0.11451881259976519</v>
      </c>
      <c r="AE3368" s="11">
        <v>0.13153841003497066</v>
      </c>
      <c r="AF3368" s="11">
        <v>0.3</v>
      </c>
      <c r="AG3368" s="11">
        <v>0.23899999999999999</v>
      </c>
    </row>
    <row r="3369" spans="2:33">
      <c r="B3369" s="18"/>
      <c r="C3369" s="14"/>
      <c r="D3369" s="14"/>
      <c r="E3369" s="14"/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35"/>
      <c r="Q3369" s="36" t="s">
        <v>36</v>
      </c>
      <c r="R3369" s="13">
        <v>1183</v>
      </c>
      <c r="S3369" s="13">
        <v>632</v>
      </c>
      <c r="T3369" s="13">
        <v>0</v>
      </c>
      <c r="U3369" s="13">
        <v>0</v>
      </c>
      <c r="V3369" s="13">
        <v>0</v>
      </c>
      <c r="W3369" s="37">
        <v>794</v>
      </c>
      <c r="X3369" s="18"/>
      <c r="Y3369" s="14"/>
      <c r="Z3369" s="14"/>
      <c r="AA3369" s="14"/>
      <c r="AB3369" s="14"/>
      <c r="AC3369" s="14"/>
      <c r="AD3369" s="14"/>
      <c r="AE3369" s="14"/>
      <c r="AF3369" s="14"/>
      <c r="AG3369" s="35"/>
    </row>
    <row r="3370" spans="2:33">
      <c r="B3370" s="19"/>
      <c r="P3370" s="16"/>
      <c r="Q3370" s="36" t="s">
        <v>37</v>
      </c>
      <c r="R3370" s="13">
        <v>0</v>
      </c>
      <c r="S3370" s="13">
        <v>1191</v>
      </c>
      <c r="T3370" s="13">
        <v>652</v>
      </c>
      <c r="U3370" s="13">
        <v>0</v>
      </c>
      <c r="V3370" s="13">
        <v>0</v>
      </c>
      <c r="W3370" s="37">
        <v>912</v>
      </c>
      <c r="X3370" s="19"/>
      <c r="AG3370" s="16"/>
    </row>
    <row r="3371" spans="2:33">
      <c r="B3371" s="19"/>
      <c r="P3371" s="16"/>
      <c r="Q3371" s="36" t="s">
        <v>38</v>
      </c>
      <c r="R3371" s="13">
        <v>0</v>
      </c>
      <c r="S3371" s="13">
        <v>0</v>
      </c>
      <c r="T3371" s="13">
        <v>0</v>
      </c>
      <c r="U3371" s="13">
        <v>1115</v>
      </c>
      <c r="V3371" s="13">
        <v>651</v>
      </c>
      <c r="W3371" s="37">
        <v>761</v>
      </c>
      <c r="X3371" s="19"/>
      <c r="AG3371" s="16"/>
    </row>
    <row r="3372" spans="2:33">
      <c r="B3372" s="19"/>
      <c r="P3372" s="16"/>
      <c r="Q3372" s="36" t="s">
        <v>39</v>
      </c>
      <c r="R3372" s="13">
        <v>0</v>
      </c>
      <c r="S3372" s="13">
        <v>0</v>
      </c>
      <c r="T3372" s="13">
        <v>0</v>
      </c>
      <c r="U3372" s="13">
        <v>1245</v>
      </c>
      <c r="V3372" s="13">
        <v>744</v>
      </c>
      <c r="W3372" s="37">
        <v>858</v>
      </c>
      <c r="X3372" s="19"/>
      <c r="AG3372" s="16"/>
    </row>
    <row r="3373" spans="2:33">
      <c r="B3373" s="19"/>
      <c r="P3373" s="16"/>
      <c r="Q3373" s="36" t="s">
        <v>40</v>
      </c>
      <c r="R3373" s="13">
        <v>0</v>
      </c>
      <c r="S3373" s="13">
        <v>0</v>
      </c>
      <c r="T3373" s="13">
        <v>1543</v>
      </c>
      <c r="U3373" s="13">
        <v>938</v>
      </c>
      <c r="V3373" s="13">
        <v>0</v>
      </c>
      <c r="W3373" s="37">
        <v>1096</v>
      </c>
      <c r="X3373" s="19"/>
      <c r="AG3373" s="16"/>
    </row>
    <row r="3374" spans="2:33">
      <c r="B3374" s="19"/>
      <c r="P3374" s="16"/>
      <c r="Q3374" s="36" t="s">
        <v>41</v>
      </c>
      <c r="R3374" s="13">
        <v>1993</v>
      </c>
      <c r="S3374" s="13">
        <v>1179</v>
      </c>
      <c r="T3374" s="13">
        <v>0</v>
      </c>
      <c r="U3374" s="13">
        <v>0</v>
      </c>
      <c r="V3374" s="13">
        <v>0</v>
      </c>
      <c r="W3374" s="37">
        <v>1039</v>
      </c>
      <c r="X3374" s="19"/>
      <c r="AG3374" s="16"/>
    </row>
    <row r="3375" spans="2:33">
      <c r="B3375" s="19"/>
      <c r="P3375" s="16"/>
      <c r="Q3375" s="36" t="s">
        <v>42</v>
      </c>
      <c r="R3375" s="13">
        <v>0</v>
      </c>
      <c r="S3375" s="13">
        <v>0</v>
      </c>
      <c r="T3375" s="13">
        <v>1692</v>
      </c>
      <c r="U3375" s="13">
        <v>988</v>
      </c>
      <c r="V3375" s="13">
        <v>0</v>
      </c>
      <c r="W3375" s="37">
        <v>1494</v>
      </c>
      <c r="X3375" s="19"/>
      <c r="AG3375" s="16"/>
    </row>
    <row r="3376" spans="2:33">
      <c r="B3376" s="19"/>
      <c r="P3376" s="16"/>
      <c r="Q3376" s="36" t="s">
        <v>43</v>
      </c>
      <c r="R3376" s="13">
        <v>0</v>
      </c>
      <c r="S3376" s="13">
        <v>0</v>
      </c>
      <c r="T3376" s="13">
        <v>1465</v>
      </c>
      <c r="U3376" s="13">
        <v>845</v>
      </c>
      <c r="V3376" s="13">
        <v>0</v>
      </c>
      <c r="W3376" s="37">
        <v>880</v>
      </c>
      <c r="X3376" s="19"/>
      <c r="AG3376" s="16"/>
    </row>
    <row r="3377" spans="2:33">
      <c r="B3377" s="19"/>
      <c r="P3377" s="16"/>
      <c r="Q3377" s="36" t="s">
        <v>44</v>
      </c>
      <c r="R3377" s="13">
        <v>0</v>
      </c>
      <c r="S3377" s="13">
        <v>0</v>
      </c>
      <c r="T3377" s="13">
        <v>0</v>
      </c>
      <c r="U3377" s="13">
        <v>1449</v>
      </c>
      <c r="V3377" s="13">
        <v>827</v>
      </c>
      <c r="W3377" s="37">
        <v>885</v>
      </c>
      <c r="X3377" s="19"/>
      <c r="AG3377" s="16"/>
    </row>
    <row r="3378" spans="2:33">
      <c r="B3378" s="19"/>
      <c r="P3378" s="16"/>
      <c r="Q3378" s="36" t="s">
        <v>45</v>
      </c>
      <c r="R3378" s="13">
        <v>0</v>
      </c>
      <c r="S3378" s="13">
        <v>1155</v>
      </c>
      <c r="T3378" s="13">
        <v>654</v>
      </c>
      <c r="U3378" s="13">
        <v>0</v>
      </c>
      <c r="V3378" s="13">
        <v>0</v>
      </c>
      <c r="W3378" s="37">
        <v>912</v>
      </c>
      <c r="X3378" s="19"/>
      <c r="AG3378" s="16"/>
    </row>
    <row r="3379" spans="2:33" ht="15" thickBot="1">
      <c r="B3379" s="20"/>
      <c r="C3379" s="15"/>
      <c r="D3379" s="15"/>
      <c r="E3379" s="15"/>
      <c r="F3379" s="15"/>
      <c r="G3379" s="15"/>
      <c r="H3379" s="15"/>
      <c r="I3379" s="15"/>
      <c r="J3379" s="15"/>
      <c r="K3379" s="15"/>
      <c r="L3379" s="15"/>
      <c r="M3379" s="15"/>
      <c r="N3379" s="15"/>
      <c r="O3379" s="15"/>
      <c r="P3379" s="17"/>
      <c r="Q3379" s="36" t="s">
        <v>46</v>
      </c>
      <c r="R3379" s="13">
        <v>1162</v>
      </c>
      <c r="S3379" s="13">
        <v>669</v>
      </c>
      <c r="T3379" s="13">
        <v>0</v>
      </c>
      <c r="U3379" s="13">
        <v>0</v>
      </c>
      <c r="V3379" s="13">
        <v>0</v>
      </c>
      <c r="W3379" s="37">
        <v>851</v>
      </c>
      <c r="X3379" s="20"/>
      <c r="Y3379" s="15"/>
      <c r="Z3379" s="15"/>
      <c r="AA3379" s="15"/>
      <c r="AB3379" s="15"/>
      <c r="AC3379" s="15"/>
      <c r="AD3379" s="15"/>
      <c r="AE3379" s="15"/>
      <c r="AF3379" s="15"/>
      <c r="AG3379" s="17"/>
    </row>
    <row r="3381" spans="2:33" ht="15" thickBot="1">
      <c r="B3381" s="25" t="s">
        <v>1602</v>
      </c>
      <c r="C3381" s="26" t="s">
        <v>1603</v>
      </c>
      <c r="D3381" s="26" t="s">
        <v>1613</v>
      </c>
      <c r="E3381" s="26" t="s">
        <v>1614</v>
      </c>
      <c r="F3381" s="26" t="s">
        <v>228</v>
      </c>
      <c r="G3381" s="26" t="s">
        <v>92</v>
      </c>
      <c r="H3381" s="27" t="s">
        <v>33</v>
      </c>
      <c r="I3381" s="26" t="s">
        <v>1615</v>
      </c>
      <c r="J3381" s="27" t="s">
        <v>87</v>
      </c>
      <c r="K3381" s="29">
        <v>15.0100002288818</v>
      </c>
      <c r="L3381" s="29">
        <v>15.0100002288818</v>
      </c>
      <c r="M3381" s="29">
        <v>15.0100002288818</v>
      </c>
      <c r="N3381" s="29">
        <v>15.0100002288818</v>
      </c>
      <c r="O3381" s="29">
        <v>15.0100002288818</v>
      </c>
      <c r="P3381" s="40">
        <v>48</v>
      </c>
      <c r="Q3381" s="1" t="s">
        <v>35</v>
      </c>
      <c r="R3381" s="2">
        <v>1712</v>
      </c>
      <c r="S3381" s="2">
        <v>501</v>
      </c>
      <c r="T3381" s="2">
        <v>0</v>
      </c>
      <c r="U3381" s="2">
        <v>0</v>
      </c>
      <c r="V3381" s="2">
        <v>0</v>
      </c>
      <c r="W3381" s="2">
        <v>1128</v>
      </c>
      <c r="X3381" s="43">
        <f>SUM(R3381:W3392)</f>
        <v>32197</v>
      </c>
      <c r="Y3381" s="10">
        <v>46204</v>
      </c>
      <c r="Z3381" s="11">
        <v>0.21919235148020305</v>
      </c>
      <c r="AA3381" s="11">
        <v>0.18278252950868873</v>
      </c>
      <c r="AB3381" s="11">
        <v>0.14730848520871084</v>
      </c>
      <c r="AC3381" s="11">
        <v>0.12879037718868644</v>
      </c>
      <c r="AD3381" s="11">
        <v>0.11451881259976519</v>
      </c>
      <c r="AE3381" s="11">
        <v>0.13153841003497066</v>
      </c>
      <c r="AF3381" s="11">
        <v>0.3</v>
      </c>
      <c r="AG3381" s="11">
        <v>0.23899999999999999</v>
      </c>
    </row>
    <row r="3382" spans="2:33">
      <c r="B3382" s="18"/>
      <c r="C3382" s="14"/>
      <c r="D3382" s="14"/>
      <c r="E3382" s="14"/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35"/>
      <c r="Q3382" s="36" t="s">
        <v>36</v>
      </c>
      <c r="R3382" s="13">
        <v>1443</v>
      </c>
      <c r="S3382" s="13">
        <v>352</v>
      </c>
      <c r="T3382" s="13">
        <v>0</v>
      </c>
      <c r="U3382" s="13">
        <v>0</v>
      </c>
      <c r="V3382" s="13">
        <v>0</v>
      </c>
      <c r="W3382" s="37">
        <v>988</v>
      </c>
      <c r="X3382" s="18"/>
      <c r="Y3382" s="14"/>
      <c r="Z3382" s="14"/>
      <c r="AA3382" s="14"/>
      <c r="AB3382" s="14"/>
      <c r="AC3382" s="14"/>
      <c r="AD3382" s="14"/>
      <c r="AE3382" s="14"/>
      <c r="AF3382" s="14"/>
      <c r="AG3382" s="35"/>
    </row>
    <row r="3383" spans="2:33">
      <c r="B3383" s="19"/>
      <c r="P3383" s="16"/>
      <c r="Q3383" s="36" t="s">
        <v>37</v>
      </c>
      <c r="R3383" s="13">
        <v>0</v>
      </c>
      <c r="S3383" s="13">
        <v>1461</v>
      </c>
      <c r="T3383" s="13">
        <v>391</v>
      </c>
      <c r="U3383" s="13">
        <v>0</v>
      </c>
      <c r="V3383" s="13">
        <v>0</v>
      </c>
      <c r="W3383" s="37">
        <v>1181</v>
      </c>
      <c r="X3383" s="19"/>
      <c r="AG3383" s="16"/>
    </row>
    <row r="3384" spans="2:33">
      <c r="B3384" s="19"/>
      <c r="P3384" s="16"/>
      <c r="Q3384" s="36" t="s">
        <v>38</v>
      </c>
      <c r="R3384" s="13">
        <v>0</v>
      </c>
      <c r="S3384" s="13">
        <v>0</v>
      </c>
      <c r="T3384" s="13">
        <v>0</v>
      </c>
      <c r="U3384" s="13">
        <v>985</v>
      </c>
      <c r="V3384" s="13">
        <v>328</v>
      </c>
      <c r="W3384" s="37">
        <v>779</v>
      </c>
      <c r="X3384" s="19"/>
      <c r="AG3384" s="16"/>
    </row>
    <row r="3385" spans="2:33">
      <c r="B3385" s="19"/>
      <c r="P3385" s="16"/>
      <c r="Q3385" s="36" t="s">
        <v>39</v>
      </c>
      <c r="R3385" s="13">
        <v>0</v>
      </c>
      <c r="S3385" s="13">
        <v>0</v>
      </c>
      <c r="T3385" s="13">
        <v>0</v>
      </c>
      <c r="U3385" s="13">
        <v>833</v>
      </c>
      <c r="V3385" s="13">
        <v>305</v>
      </c>
      <c r="W3385" s="37">
        <v>792</v>
      </c>
      <c r="X3385" s="19"/>
      <c r="AG3385" s="16"/>
    </row>
    <row r="3386" spans="2:33">
      <c r="B3386" s="19"/>
      <c r="P3386" s="16"/>
      <c r="Q3386" s="36" t="s">
        <v>40</v>
      </c>
      <c r="R3386" s="13">
        <v>0</v>
      </c>
      <c r="S3386" s="13">
        <v>0</v>
      </c>
      <c r="T3386" s="13">
        <v>1213</v>
      </c>
      <c r="U3386" s="13">
        <v>403</v>
      </c>
      <c r="V3386" s="13">
        <v>0</v>
      </c>
      <c r="W3386" s="37">
        <v>980</v>
      </c>
      <c r="X3386" s="19"/>
      <c r="AG3386" s="16"/>
    </row>
    <row r="3387" spans="2:33">
      <c r="B3387" s="19"/>
      <c r="P3387" s="16"/>
      <c r="Q3387" s="36" t="s">
        <v>41</v>
      </c>
      <c r="R3387" s="13">
        <v>1441</v>
      </c>
      <c r="S3387" s="13">
        <v>672</v>
      </c>
      <c r="T3387" s="13">
        <v>0</v>
      </c>
      <c r="U3387" s="13">
        <v>0</v>
      </c>
      <c r="V3387" s="13">
        <v>0</v>
      </c>
      <c r="W3387" s="37">
        <v>934</v>
      </c>
      <c r="X3387" s="19"/>
      <c r="AG3387" s="16"/>
    </row>
    <row r="3388" spans="2:33">
      <c r="B3388" s="19"/>
      <c r="P3388" s="16"/>
      <c r="Q3388" s="36" t="s">
        <v>42</v>
      </c>
      <c r="R3388" s="13">
        <v>0</v>
      </c>
      <c r="S3388" s="13">
        <v>0</v>
      </c>
      <c r="T3388" s="13">
        <v>1318</v>
      </c>
      <c r="U3388" s="13">
        <v>479</v>
      </c>
      <c r="V3388" s="13">
        <v>0</v>
      </c>
      <c r="W3388" s="37">
        <v>1176</v>
      </c>
      <c r="X3388" s="19"/>
      <c r="AG3388" s="16"/>
    </row>
    <row r="3389" spans="2:33">
      <c r="B3389" s="19"/>
      <c r="P3389" s="16"/>
      <c r="Q3389" s="36" t="s">
        <v>43</v>
      </c>
      <c r="R3389" s="13">
        <v>0</v>
      </c>
      <c r="S3389" s="13">
        <v>0</v>
      </c>
      <c r="T3389" s="13">
        <v>1097</v>
      </c>
      <c r="U3389" s="13">
        <v>437</v>
      </c>
      <c r="V3389" s="13">
        <v>0</v>
      </c>
      <c r="W3389" s="37">
        <v>779</v>
      </c>
      <c r="X3389" s="19"/>
      <c r="AG3389" s="16"/>
    </row>
    <row r="3390" spans="2:33">
      <c r="B3390" s="19"/>
      <c r="P3390" s="16"/>
      <c r="Q3390" s="36" t="s">
        <v>44</v>
      </c>
      <c r="R3390" s="13">
        <v>0</v>
      </c>
      <c r="S3390" s="13">
        <v>0</v>
      </c>
      <c r="T3390" s="13">
        <v>0</v>
      </c>
      <c r="U3390" s="13">
        <v>937</v>
      </c>
      <c r="V3390" s="13">
        <v>504</v>
      </c>
      <c r="W3390" s="37">
        <v>676</v>
      </c>
      <c r="X3390" s="19"/>
      <c r="AG3390" s="16"/>
    </row>
    <row r="3391" spans="2:33">
      <c r="B3391" s="19"/>
      <c r="P3391" s="16"/>
      <c r="Q3391" s="36" t="s">
        <v>45</v>
      </c>
      <c r="R3391" s="13">
        <v>0</v>
      </c>
      <c r="S3391" s="13">
        <v>1223</v>
      </c>
      <c r="T3391" s="13">
        <v>374</v>
      </c>
      <c r="U3391" s="13">
        <v>0</v>
      </c>
      <c r="V3391" s="13">
        <v>0</v>
      </c>
      <c r="W3391" s="37">
        <v>1100</v>
      </c>
      <c r="X3391" s="19"/>
      <c r="AG3391" s="16"/>
    </row>
    <row r="3392" spans="2:33" ht="15" thickBot="1">
      <c r="B3392" s="20"/>
      <c r="C3392" s="15"/>
      <c r="D3392" s="15"/>
      <c r="E3392" s="15"/>
      <c r="F3392" s="15"/>
      <c r="G3392" s="15"/>
      <c r="H3392" s="15"/>
      <c r="I3392" s="15"/>
      <c r="J3392" s="15"/>
      <c r="K3392" s="15"/>
      <c r="L3392" s="15"/>
      <c r="M3392" s="15"/>
      <c r="N3392" s="15"/>
      <c r="O3392" s="15"/>
      <c r="P3392" s="17"/>
      <c r="Q3392" s="36" t="s">
        <v>46</v>
      </c>
      <c r="R3392" s="13">
        <v>1672</v>
      </c>
      <c r="S3392" s="13">
        <v>479</v>
      </c>
      <c r="T3392" s="13">
        <v>0</v>
      </c>
      <c r="U3392" s="13">
        <v>0</v>
      </c>
      <c r="V3392" s="13">
        <v>0</v>
      </c>
      <c r="W3392" s="37">
        <v>1124</v>
      </c>
      <c r="X3392" s="20"/>
      <c r="Y3392" s="15"/>
      <c r="Z3392" s="15"/>
      <c r="AA3392" s="15"/>
      <c r="AB3392" s="15"/>
      <c r="AC3392" s="15"/>
      <c r="AD3392" s="15"/>
      <c r="AE3392" s="15"/>
      <c r="AF3392" s="15"/>
      <c r="AG3392" s="17"/>
    </row>
    <row r="3394" spans="2:33" ht="15" thickBot="1">
      <c r="B3394" s="25" t="s">
        <v>1602</v>
      </c>
      <c r="C3394" s="26" t="s">
        <v>1603</v>
      </c>
      <c r="D3394" s="26" t="s">
        <v>1616</v>
      </c>
      <c r="E3394" s="26" t="s">
        <v>1617</v>
      </c>
      <c r="F3394" s="26" t="s">
        <v>179</v>
      </c>
      <c r="G3394" s="26" t="s">
        <v>180</v>
      </c>
      <c r="H3394" s="27" t="s">
        <v>33</v>
      </c>
      <c r="I3394" s="26" t="s">
        <v>1618</v>
      </c>
      <c r="J3394" s="27" t="s">
        <v>87</v>
      </c>
      <c r="K3394" s="29">
        <v>20</v>
      </c>
      <c r="L3394" s="29">
        <v>20</v>
      </c>
      <c r="M3394" s="29">
        <v>20</v>
      </c>
      <c r="N3394" s="29">
        <v>20</v>
      </c>
      <c r="O3394" s="29">
        <v>20</v>
      </c>
      <c r="P3394" s="40">
        <v>27.712999343872099</v>
      </c>
      <c r="Q3394" s="1" t="s">
        <v>35</v>
      </c>
      <c r="R3394" s="2">
        <v>1670</v>
      </c>
      <c r="S3394" s="2">
        <v>657</v>
      </c>
      <c r="T3394" s="2">
        <v>0</v>
      </c>
      <c r="U3394" s="2">
        <v>0</v>
      </c>
      <c r="V3394" s="2">
        <v>0</v>
      </c>
      <c r="W3394" s="2">
        <v>1254</v>
      </c>
      <c r="X3394" s="43">
        <f>SUM(R3394:W3405)</f>
        <v>39753</v>
      </c>
      <c r="Y3394" s="10">
        <v>46204</v>
      </c>
      <c r="Z3394" s="11">
        <v>0.21919235148020305</v>
      </c>
      <c r="AA3394" s="11">
        <v>0.18278252950868873</v>
      </c>
      <c r="AB3394" s="11">
        <v>0.14730848520871084</v>
      </c>
      <c r="AC3394" s="11">
        <v>0.12879037718868644</v>
      </c>
      <c r="AD3394" s="11">
        <v>0.11451881259976519</v>
      </c>
      <c r="AE3394" s="11">
        <v>0.13153841003497066</v>
      </c>
      <c r="AF3394" s="11">
        <v>0.3</v>
      </c>
      <c r="AG3394" s="11">
        <v>0.23899999999999999</v>
      </c>
    </row>
    <row r="3395" spans="2:33">
      <c r="B3395" s="18"/>
      <c r="C3395" s="14"/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35"/>
      <c r="Q3395" s="36" t="s">
        <v>36</v>
      </c>
      <c r="R3395" s="13">
        <v>1290</v>
      </c>
      <c r="S3395" s="13">
        <v>440</v>
      </c>
      <c r="T3395" s="13">
        <v>0</v>
      </c>
      <c r="U3395" s="13">
        <v>0</v>
      </c>
      <c r="V3395" s="13">
        <v>0</v>
      </c>
      <c r="W3395" s="37">
        <v>832</v>
      </c>
      <c r="X3395" s="18"/>
      <c r="Y3395" s="14"/>
      <c r="Z3395" s="14"/>
      <c r="AA3395" s="14"/>
      <c r="AB3395" s="14"/>
      <c r="AC3395" s="14"/>
      <c r="AD3395" s="14"/>
      <c r="AE3395" s="14"/>
      <c r="AF3395" s="14"/>
      <c r="AG3395" s="35"/>
    </row>
    <row r="3396" spans="2:33">
      <c r="B3396" s="19"/>
      <c r="P3396" s="16"/>
      <c r="Q3396" s="36" t="s">
        <v>37</v>
      </c>
      <c r="R3396" s="13">
        <v>0</v>
      </c>
      <c r="S3396" s="13">
        <v>1204</v>
      </c>
      <c r="T3396" s="13">
        <v>423</v>
      </c>
      <c r="U3396" s="13">
        <v>0</v>
      </c>
      <c r="V3396" s="13">
        <v>0</v>
      </c>
      <c r="W3396" s="37">
        <v>1045</v>
      </c>
      <c r="X3396" s="19"/>
      <c r="AG3396" s="16"/>
    </row>
    <row r="3397" spans="2:33">
      <c r="B3397" s="19"/>
      <c r="P3397" s="16"/>
      <c r="Q3397" s="36" t="s">
        <v>38</v>
      </c>
      <c r="R3397" s="13">
        <v>0</v>
      </c>
      <c r="S3397" s="13">
        <v>0</v>
      </c>
      <c r="T3397" s="13">
        <v>0</v>
      </c>
      <c r="U3397" s="13">
        <v>881</v>
      </c>
      <c r="V3397" s="13">
        <v>286</v>
      </c>
      <c r="W3397" s="37">
        <v>550</v>
      </c>
      <c r="X3397" s="19"/>
      <c r="AG3397" s="16"/>
    </row>
    <row r="3398" spans="2:33">
      <c r="B3398" s="19"/>
      <c r="P3398" s="16"/>
      <c r="Q3398" s="36" t="s">
        <v>39</v>
      </c>
      <c r="R3398" s="13">
        <v>0</v>
      </c>
      <c r="S3398" s="13">
        <v>0</v>
      </c>
      <c r="T3398" s="13">
        <v>0</v>
      </c>
      <c r="U3398" s="13">
        <v>1217</v>
      </c>
      <c r="V3398" s="13">
        <v>339</v>
      </c>
      <c r="W3398" s="37">
        <v>724</v>
      </c>
      <c r="X3398" s="19"/>
      <c r="AG3398" s="16"/>
    </row>
    <row r="3399" spans="2:33">
      <c r="B3399" s="19"/>
      <c r="P3399" s="16"/>
      <c r="Q3399" s="36" t="s">
        <v>40</v>
      </c>
      <c r="R3399" s="13">
        <v>0</v>
      </c>
      <c r="S3399" s="13">
        <v>0</v>
      </c>
      <c r="T3399" s="13">
        <v>2545</v>
      </c>
      <c r="U3399" s="13">
        <v>585</v>
      </c>
      <c r="V3399" s="13">
        <v>0</v>
      </c>
      <c r="W3399" s="37">
        <v>1489</v>
      </c>
      <c r="X3399" s="19"/>
      <c r="AG3399" s="16"/>
    </row>
    <row r="3400" spans="2:33">
      <c r="B3400" s="19"/>
      <c r="P3400" s="16"/>
      <c r="Q3400" s="36" t="s">
        <v>41</v>
      </c>
      <c r="R3400" s="13">
        <v>2826</v>
      </c>
      <c r="S3400" s="13">
        <v>1094</v>
      </c>
      <c r="T3400" s="13">
        <v>0</v>
      </c>
      <c r="U3400" s="13">
        <v>0</v>
      </c>
      <c r="V3400" s="13">
        <v>0</v>
      </c>
      <c r="W3400" s="37">
        <v>1576</v>
      </c>
      <c r="X3400" s="19"/>
      <c r="AG3400" s="16"/>
    </row>
    <row r="3401" spans="2:33">
      <c r="B3401" s="19"/>
      <c r="P3401" s="16"/>
      <c r="Q3401" s="36" t="s">
        <v>42</v>
      </c>
      <c r="R3401" s="13">
        <v>0</v>
      </c>
      <c r="S3401" s="13">
        <v>0</v>
      </c>
      <c r="T3401" s="13">
        <v>2295</v>
      </c>
      <c r="U3401" s="13">
        <v>970</v>
      </c>
      <c r="V3401" s="13">
        <v>0</v>
      </c>
      <c r="W3401" s="37">
        <v>1957</v>
      </c>
      <c r="X3401" s="19"/>
      <c r="AG3401" s="16"/>
    </row>
    <row r="3402" spans="2:33">
      <c r="B3402" s="19"/>
      <c r="P3402" s="16"/>
      <c r="Q3402" s="36" t="s">
        <v>43</v>
      </c>
      <c r="R3402" s="13">
        <v>0</v>
      </c>
      <c r="S3402" s="13">
        <v>0</v>
      </c>
      <c r="T3402" s="13">
        <v>2041</v>
      </c>
      <c r="U3402" s="13">
        <v>689</v>
      </c>
      <c r="V3402" s="13">
        <v>0</v>
      </c>
      <c r="W3402" s="37">
        <v>1274</v>
      </c>
      <c r="X3402" s="19"/>
      <c r="AG3402" s="16"/>
    </row>
    <row r="3403" spans="2:33">
      <c r="B3403" s="19"/>
      <c r="P3403" s="16"/>
      <c r="Q3403" s="36" t="s">
        <v>44</v>
      </c>
      <c r="R3403" s="13">
        <v>0</v>
      </c>
      <c r="S3403" s="13">
        <v>0</v>
      </c>
      <c r="T3403" s="13">
        <v>0</v>
      </c>
      <c r="U3403" s="13">
        <v>1114</v>
      </c>
      <c r="V3403" s="13">
        <v>379</v>
      </c>
      <c r="W3403" s="37">
        <v>656</v>
      </c>
      <c r="X3403" s="19"/>
      <c r="AG3403" s="16"/>
    </row>
    <row r="3404" spans="2:33">
      <c r="B3404" s="19"/>
      <c r="P3404" s="16"/>
      <c r="Q3404" s="36" t="s">
        <v>45</v>
      </c>
      <c r="R3404" s="13">
        <v>0</v>
      </c>
      <c r="S3404" s="13">
        <v>1023</v>
      </c>
      <c r="T3404" s="13">
        <v>323</v>
      </c>
      <c r="U3404" s="13">
        <v>0</v>
      </c>
      <c r="V3404" s="13">
        <v>0</v>
      </c>
      <c r="W3404" s="37">
        <v>876</v>
      </c>
      <c r="X3404" s="19"/>
      <c r="AG3404" s="16"/>
    </row>
    <row r="3405" spans="2:33" ht="15" thickBot="1">
      <c r="B3405" s="20"/>
      <c r="C3405" s="15"/>
      <c r="D3405" s="15"/>
      <c r="E3405" s="15"/>
      <c r="F3405" s="15"/>
      <c r="G3405" s="15"/>
      <c r="H3405" s="15"/>
      <c r="I3405" s="15"/>
      <c r="J3405" s="15"/>
      <c r="K3405" s="15"/>
      <c r="L3405" s="15"/>
      <c r="M3405" s="15"/>
      <c r="N3405" s="15"/>
      <c r="O3405" s="15"/>
      <c r="P3405" s="17"/>
      <c r="Q3405" s="36" t="s">
        <v>46</v>
      </c>
      <c r="R3405" s="13">
        <v>1524</v>
      </c>
      <c r="S3405" s="13">
        <v>574</v>
      </c>
      <c r="T3405" s="13">
        <v>0</v>
      </c>
      <c r="U3405" s="13">
        <v>0</v>
      </c>
      <c r="V3405" s="13">
        <v>0</v>
      </c>
      <c r="W3405" s="37">
        <v>1131</v>
      </c>
      <c r="X3405" s="20"/>
      <c r="Y3405" s="15"/>
      <c r="Z3405" s="15"/>
      <c r="AA3405" s="15"/>
      <c r="AB3405" s="15"/>
      <c r="AC3405" s="15"/>
      <c r="AD3405" s="15"/>
      <c r="AE3405" s="15"/>
      <c r="AF3405" s="15"/>
      <c r="AG3405" s="17"/>
    </row>
    <row r="3407" spans="2:33" ht="15" thickBot="1">
      <c r="B3407" s="25" t="s">
        <v>1602</v>
      </c>
      <c r="C3407" s="26" t="s">
        <v>1603</v>
      </c>
      <c r="D3407" s="26" t="s">
        <v>1619</v>
      </c>
      <c r="E3407" s="26" t="s">
        <v>1620</v>
      </c>
      <c r="F3407" s="26" t="s">
        <v>1621</v>
      </c>
      <c r="G3407" s="26" t="s">
        <v>435</v>
      </c>
      <c r="H3407" s="27" t="s">
        <v>435</v>
      </c>
      <c r="I3407" s="26" t="s">
        <v>1622</v>
      </c>
      <c r="J3407" s="27" t="s">
        <v>87</v>
      </c>
      <c r="K3407" s="29">
        <v>20</v>
      </c>
      <c r="L3407" s="29">
        <v>20</v>
      </c>
      <c r="M3407" s="29">
        <v>20</v>
      </c>
      <c r="N3407" s="29">
        <v>20</v>
      </c>
      <c r="O3407" s="29">
        <v>20</v>
      </c>
      <c r="P3407" s="40">
        <v>80</v>
      </c>
      <c r="Q3407" s="1" t="s">
        <v>35</v>
      </c>
      <c r="R3407" s="2">
        <v>2025</v>
      </c>
      <c r="S3407" s="2">
        <v>1103</v>
      </c>
      <c r="T3407" s="2">
        <v>0</v>
      </c>
      <c r="U3407" s="2">
        <v>0</v>
      </c>
      <c r="V3407" s="2">
        <v>0</v>
      </c>
      <c r="W3407" s="2">
        <v>1185</v>
      </c>
      <c r="X3407" s="43">
        <f>SUM(R3407:W3418)</f>
        <v>74469</v>
      </c>
      <c r="Y3407" s="10">
        <v>46204</v>
      </c>
      <c r="Z3407" s="11">
        <v>0.21919235148020305</v>
      </c>
      <c r="AA3407" s="11">
        <v>0.18278252950868873</v>
      </c>
      <c r="AB3407" s="11">
        <v>0.14730848520871084</v>
      </c>
      <c r="AC3407" s="11">
        <v>0.12879037718868644</v>
      </c>
      <c r="AD3407" s="11">
        <v>0.11451881259976519</v>
      </c>
      <c r="AE3407" s="11">
        <v>0.13153841003497066</v>
      </c>
      <c r="AF3407" s="11">
        <v>0.3</v>
      </c>
      <c r="AG3407" s="11">
        <v>0.23899999999999999</v>
      </c>
    </row>
    <row r="3408" spans="2:33">
      <c r="B3408" s="18"/>
      <c r="C3408" s="14"/>
      <c r="D3408" s="14"/>
      <c r="E3408" s="14"/>
      <c r="F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35"/>
      <c r="Q3408" s="36" t="s">
        <v>36</v>
      </c>
      <c r="R3408" s="13">
        <v>1893</v>
      </c>
      <c r="S3408" s="13">
        <v>1035</v>
      </c>
      <c r="T3408" s="13">
        <v>0</v>
      </c>
      <c r="U3408" s="13">
        <v>0</v>
      </c>
      <c r="V3408" s="13">
        <v>0</v>
      </c>
      <c r="W3408" s="37">
        <v>1209</v>
      </c>
      <c r="X3408" s="18"/>
      <c r="Y3408" s="14"/>
      <c r="Z3408" s="14"/>
      <c r="AA3408" s="14"/>
      <c r="AB3408" s="14"/>
      <c r="AC3408" s="14"/>
      <c r="AD3408" s="14"/>
      <c r="AE3408" s="14"/>
      <c r="AF3408" s="14"/>
      <c r="AG3408" s="35"/>
    </row>
    <row r="3409" spans="2:33">
      <c r="B3409" s="19"/>
      <c r="P3409" s="16"/>
      <c r="Q3409" s="36" t="s">
        <v>37</v>
      </c>
      <c r="R3409" s="13">
        <v>0</v>
      </c>
      <c r="S3409" s="13">
        <v>1985</v>
      </c>
      <c r="T3409" s="13">
        <v>1041</v>
      </c>
      <c r="U3409" s="13">
        <v>0</v>
      </c>
      <c r="V3409" s="13">
        <v>0</v>
      </c>
      <c r="W3409" s="37">
        <v>1037</v>
      </c>
      <c r="X3409" s="19"/>
      <c r="AG3409" s="16"/>
    </row>
    <row r="3410" spans="2:33">
      <c r="B3410" s="19"/>
      <c r="P3410" s="16"/>
      <c r="Q3410" s="36" t="s">
        <v>38</v>
      </c>
      <c r="R3410" s="13">
        <v>0</v>
      </c>
      <c r="S3410" s="13">
        <v>0</v>
      </c>
      <c r="T3410" s="13">
        <v>0</v>
      </c>
      <c r="U3410" s="13">
        <v>1892</v>
      </c>
      <c r="V3410" s="13">
        <v>989</v>
      </c>
      <c r="W3410" s="37">
        <v>945</v>
      </c>
      <c r="X3410" s="19"/>
      <c r="AG3410" s="16"/>
    </row>
    <row r="3411" spans="2:33">
      <c r="B3411" s="19"/>
      <c r="P3411" s="16"/>
      <c r="Q3411" s="36" t="s">
        <v>39</v>
      </c>
      <c r="R3411" s="13">
        <v>0</v>
      </c>
      <c r="S3411" s="13">
        <v>0</v>
      </c>
      <c r="T3411" s="13">
        <v>0</v>
      </c>
      <c r="U3411" s="13">
        <v>2052</v>
      </c>
      <c r="V3411" s="13">
        <v>1138</v>
      </c>
      <c r="W3411" s="37">
        <v>1359</v>
      </c>
      <c r="X3411" s="19"/>
      <c r="AG3411" s="16"/>
    </row>
    <row r="3412" spans="2:33">
      <c r="B3412" s="19"/>
      <c r="P3412" s="16"/>
      <c r="Q3412" s="36" t="s">
        <v>40</v>
      </c>
      <c r="R3412" s="13">
        <v>0</v>
      </c>
      <c r="S3412" s="13">
        <v>0</v>
      </c>
      <c r="T3412" s="13">
        <v>3152</v>
      </c>
      <c r="U3412" s="13">
        <v>2003</v>
      </c>
      <c r="V3412" s="13">
        <v>0</v>
      </c>
      <c r="W3412" s="37">
        <v>3628</v>
      </c>
      <c r="X3412" s="19"/>
      <c r="AG3412" s="16"/>
    </row>
    <row r="3413" spans="2:33">
      <c r="B3413" s="19"/>
      <c r="P3413" s="16"/>
      <c r="Q3413" s="36" t="s">
        <v>41</v>
      </c>
      <c r="R3413" s="13">
        <v>3383</v>
      </c>
      <c r="S3413" s="13">
        <v>2111</v>
      </c>
      <c r="T3413" s="13">
        <v>0</v>
      </c>
      <c r="U3413" s="13">
        <v>0</v>
      </c>
      <c r="V3413" s="13">
        <v>0</v>
      </c>
      <c r="W3413" s="37">
        <v>3211</v>
      </c>
      <c r="X3413" s="19"/>
      <c r="AG3413" s="16"/>
    </row>
    <row r="3414" spans="2:33">
      <c r="B3414" s="19"/>
      <c r="P3414" s="16"/>
      <c r="Q3414" s="36" t="s">
        <v>42</v>
      </c>
      <c r="R3414" s="13">
        <v>0</v>
      </c>
      <c r="S3414" s="13">
        <v>0</v>
      </c>
      <c r="T3414" s="13">
        <v>2872</v>
      </c>
      <c r="U3414" s="13">
        <v>1822</v>
      </c>
      <c r="V3414" s="13">
        <v>0</v>
      </c>
      <c r="W3414" s="37">
        <v>3622</v>
      </c>
      <c r="X3414" s="19"/>
      <c r="AG3414" s="16"/>
    </row>
    <row r="3415" spans="2:33">
      <c r="B3415" s="19"/>
      <c r="P3415" s="16"/>
      <c r="Q3415" s="36" t="s">
        <v>43</v>
      </c>
      <c r="R3415" s="13">
        <v>0</v>
      </c>
      <c r="S3415" s="13">
        <v>0</v>
      </c>
      <c r="T3415" s="13">
        <v>3185</v>
      </c>
      <c r="U3415" s="13">
        <v>2044</v>
      </c>
      <c r="V3415" s="13">
        <v>0</v>
      </c>
      <c r="W3415" s="37">
        <v>3347</v>
      </c>
      <c r="X3415" s="19"/>
      <c r="AG3415" s="16"/>
    </row>
    <row r="3416" spans="2:33">
      <c r="B3416" s="19"/>
      <c r="P3416" s="16"/>
      <c r="Q3416" s="36" t="s">
        <v>1623</v>
      </c>
      <c r="R3416" s="13">
        <v>0</v>
      </c>
      <c r="S3416" s="13">
        <v>174</v>
      </c>
      <c r="T3416" s="13">
        <v>91</v>
      </c>
      <c r="U3416" s="13">
        <v>3293</v>
      </c>
      <c r="V3416" s="13">
        <v>2087</v>
      </c>
      <c r="W3416" s="37">
        <v>3503</v>
      </c>
      <c r="X3416" s="19"/>
      <c r="AG3416" s="16"/>
    </row>
    <row r="3417" spans="2:33">
      <c r="B3417" s="19"/>
      <c r="P3417" s="16"/>
      <c r="Q3417" s="36" t="s">
        <v>1624</v>
      </c>
      <c r="R3417" s="13">
        <v>0</v>
      </c>
      <c r="S3417" s="13">
        <v>2258</v>
      </c>
      <c r="T3417" s="13">
        <v>1392</v>
      </c>
      <c r="U3417" s="13">
        <v>0</v>
      </c>
      <c r="V3417" s="13">
        <v>0</v>
      </c>
      <c r="W3417" s="37">
        <v>2164</v>
      </c>
      <c r="X3417" s="19"/>
      <c r="AG3417" s="16"/>
    </row>
    <row r="3418" spans="2:33" ht="15" thickBot="1">
      <c r="B3418" s="20"/>
      <c r="C3418" s="15"/>
      <c r="D3418" s="15"/>
      <c r="E3418" s="15"/>
      <c r="F3418" s="15"/>
      <c r="G3418" s="15"/>
      <c r="H3418" s="15"/>
      <c r="I3418" s="15"/>
      <c r="J3418" s="15"/>
      <c r="K3418" s="15"/>
      <c r="L3418" s="15"/>
      <c r="M3418" s="15"/>
      <c r="N3418" s="15"/>
      <c r="O3418" s="15"/>
      <c r="P3418" s="17"/>
      <c r="Q3418" s="36" t="s">
        <v>46</v>
      </c>
      <c r="R3418" s="13">
        <v>1830</v>
      </c>
      <c r="S3418" s="13">
        <v>992</v>
      </c>
      <c r="T3418" s="13">
        <v>0</v>
      </c>
      <c r="U3418" s="13">
        <v>0</v>
      </c>
      <c r="V3418" s="13">
        <v>0</v>
      </c>
      <c r="W3418" s="37">
        <v>1417</v>
      </c>
      <c r="X3418" s="20"/>
      <c r="Y3418" s="15"/>
      <c r="Z3418" s="15"/>
      <c r="AA3418" s="15"/>
      <c r="AB3418" s="15"/>
      <c r="AC3418" s="15"/>
      <c r="AD3418" s="15"/>
      <c r="AE3418" s="15"/>
      <c r="AF3418" s="15"/>
      <c r="AG3418" s="17"/>
    </row>
    <row r="3420" spans="2:33" ht="15" thickBot="1">
      <c r="B3420" s="25" t="s">
        <v>1602</v>
      </c>
      <c r="C3420" s="26" t="s">
        <v>1603</v>
      </c>
      <c r="D3420" s="26" t="s">
        <v>1625</v>
      </c>
      <c r="E3420" s="26" t="s">
        <v>1626</v>
      </c>
      <c r="F3420" s="26" t="s">
        <v>1243</v>
      </c>
      <c r="G3420" s="26" t="s">
        <v>33</v>
      </c>
      <c r="H3420" s="27" t="s">
        <v>33</v>
      </c>
      <c r="I3420" s="26" t="s">
        <v>1627</v>
      </c>
      <c r="J3420" s="27" t="s">
        <v>87</v>
      </c>
      <c r="K3420" s="29">
        <v>35</v>
      </c>
      <c r="L3420" s="29">
        <v>35</v>
      </c>
      <c r="M3420" s="29">
        <v>35</v>
      </c>
      <c r="N3420" s="29">
        <v>35</v>
      </c>
      <c r="O3420" s="29">
        <v>35</v>
      </c>
      <c r="P3420" s="40">
        <v>70</v>
      </c>
      <c r="Q3420" s="1" t="s">
        <v>35</v>
      </c>
      <c r="R3420" s="2">
        <v>4738</v>
      </c>
      <c r="S3420" s="2">
        <v>2501</v>
      </c>
      <c r="T3420" s="2">
        <v>0</v>
      </c>
      <c r="U3420" s="2">
        <v>0</v>
      </c>
      <c r="V3420" s="2">
        <v>0</v>
      </c>
      <c r="W3420" s="2">
        <v>3163</v>
      </c>
      <c r="X3420" s="43">
        <f>SUM(R3420:W3431)</f>
        <v>99989</v>
      </c>
      <c r="Y3420" s="10">
        <v>46204</v>
      </c>
      <c r="Z3420" s="11">
        <v>0.21919235148020305</v>
      </c>
      <c r="AA3420" s="11">
        <v>0.18278252950868873</v>
      </c>
      <c r="AB3420" s="11">
        <v>0.14730848520871084</v>
      </c>
      <c r="AC3420" s="11">
        <v>0.12879037718868644</v>
      </c>
      <c r="AD3420" s="11">
        <v>0.11451881259976519</v>
      </c>
      <c r="AE3420" s="11">
        <v>0.13153841003497066</v>
      </c>
      <c r="AF3420" s="11">
        <v>0.3</v>
      </c>
      <c r="AG3420" s="11">
        <v>0.23899999999999999</v>
      </c>
    </row>
    <row r="3421" spans="2:33">
      <c r="B3421" s="18"/>
      <c r="C3421" s="14"/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35"/>
      <c r="Q3421" s="36" t="s">
        <v>36</v>
      </c>
      <c r="R3421" s="13">
        <v>3410</v>
      </c>
      <c r="S3421" s="13">
        <v>1922</v>
      </c>
      <c r="T3421" s="13">
        <v>0</v>
      </c>
      <c r="U3421" s="13">
        <v>0</v>
      </c>
      <c r="V3421" s="13">
        <v>0</v>
      </c>
      <c r="W3421" s="37">
        <v>2479</v>
      </c>
      <c r="X3421" s="18"/>
      <c r="Y3421" s="14"/>
      <c r="Z3421" s="14"/>
      <c r="AA3421" s="14"/>
      <c r="AB3421" s="14"/>
      <c r="AC3421" s="14"/>
      <c r="AD3421" s="14"/>
      <c r="AE3421" s="14"/>
      <c r="AF3421" s="14"/>
      <c r="AG3421" s="35"/>
    </row>
    <row r="3422" spans="2:33">
      <c r="B3422" s="19"/>
      <c r="P3422" s="16"/>
      <c r="Q3422" s="36" t="s">
        <v>37</v>
      </c>
      <c r="R3422" s="13">
        <v>0</v>
      </c>
      <c r="S3422" s="13">
        <v>3600</v>
      </c>
      <c r="T3422" s="13">
        <v>1908</v>
      </c>
      <c r="U3422" s="13">
        <v>0</v>
      </c>
      <c r="V3422" s="13">
        <v>0</v>
      </c>
      <c r="W3422" s="37">
        <v>2718</v>
      </c>
      <c r="X3422" s="19"/>
      <c r="AG3422" s="16"/>
    </row>
    <row r="3423" spans="2:33">
      <c r="B3423" s="19"/>
      <c r="P3423" s="16"/>
      <c r="Q3423" s="36" t="s">
        <v>38</v>
      </c>
      <c r="R3423" s="13">
        <v>0</v>
      </c>
      <c r="S3423" s="13">
        <v>0</v>
      </c>
      <c r="T3423" s="13">
        <v>0</v>
      </c>
      <c r="U3423" s="13">
        <v>2755</v>
      </c>
      <c r="V3423" s="13">
        <v>1482</v>
      </c>
      <c r="W3423" s="37">
        <v>2160</v>
      </c>
      <c r="X3423" s="19"/>
      <c r="AG3423" s="16"/>
    </row>
    <row r="3424" spans="2:33">
      <c r="B3424" s="19"/>
      <c r="P3424" s="16"/>
      <c r="Q3424" s="36" t="s">
        <v>39</v>
      </c>
      <c r="R3424" s="13">
        <v>0</v>
      </c>
      <c r="S3424" s="13">
        <v>0</v>
      </c>
      <c r="T3424" s="13">
        <v>0</v>
      </c>
      <c r="U3424" s="13">
        <v>2744</v>
      </c>
      <c r="V3424" s="13">
        <v>1499</v>
      </c>
      <c r="W3424" s="37">
        <v>2154</v>
      </c>
      <c r="X3424" s="19"/>
      <c r="AG3424" s="16"/>
    </row>
    <row r="3425" spans="2:33">
      <c r="B3425" s="19"/>
      <c r="P3425" s="16"/>
      <c r="Q3425" s="36" t="s">
        <v>40</v>
      </c>
      <c r="R3425" s="13">
        <v>0</v>
      </c>
      <c r="S3425" s="13">
        <v>0</v>
      </c>
      <c r="T3425" s="13">
        <v>4191</v>
      </c>
      <c r="U3425" s="13">
        <v>2224</v>
      </c>
      <c r="V3425" s="13">
        <v>0</v>
      </c>
      <c r="W3425" s="37">
        <v>3006</v>
      </c>
      <c r="X3425" s="19"/>
      <c r="AG3425" s="16"/>
    </row>
    <row r="3426" spans="2:33">
      <c r="B3426" s="19"/>
      <c r="P3426" s="16"/>
      <c r="Q3426" s="36" t="s">
        <v>41</v>
      </c>
      <c r="R3426" s="13">
        <v>4443</v>
      </c>
      <c r="S3426" s="13">
        <v>2291</v>
      </c>
      <c r="T3426" s="13">
        <v>0</v>
      </c>
      <c r="U3426" s="13">
        <v>0</v>
      </c>
      <c r="V3426" s="13">
        <v>0</v>
      </c>
      <c r="W3426" s="37">
        <v>2642</v>
      </c>
      <c r="X3426" s="19"/>
      <c r="AG3426" s="16"/>
    </row>
    <row r="3427" spans="2:33">
      <c r="B3427" s="19"/>
      <c r="P3427" s="16"/>
      <c r="Q3427" s="36" t="s">
        <v>42</v>
      </c>
      <c r="R3427" s="13">
        <v>0</v>
      </c>
      <c r="S3427" s="13">
        <v>0</v>
      </c>
      <c r="T3427" s="13">
        <v>4032</v>
      </c>
      <c r="U3427" s="13">
        <v>2025</v>
      </c>
      <c r="V3427" s="13">
        <v>0</v>
      </c>
      <c r="W3427" s="37">
        <v>3836</v>
      </c>
      <c r="X3427" s="19"/>
      <c r="AG3427" s="16"/>
    </row>
    <row r="3428" spans="2:33">
      <c r="B3428" s="19"/>
      <c r="P3428" s="16"/>
      <c r="Q3428" s="36" t="s">
        <v>43</v>
      </c>
      <c r="R3428" s="13">
        <v>0</v>
      </c>
      <c r="S3428" s="13">
        <v>0</v>
      </c>
      <c r="T3428" s="13">
        <v>3702</v>
      </c>
      <c r="U3428" s="13">
        <v>2010</v>
      </c>
      <c r="V3428" s="13">
        <v>0</v>
      </c>
      <c r="W3428" s="37">
        <v>2326</v>
      </c>
      <c r="X3428" s="19"/>
      <c r="AG3428" s="16"/>
    </row>
    <row r="3429" spans="2:33">
      <c r="B3429" s="19"/>
      <c r="P3429" s="16"/>
      <c r="Q3429" s="36" t="s">
        <v>44</v>
      </c>
      <c r="R3429" s="13">
        <v>0</v>
      </c>
      <c r="S3429" s="13">
        <v>0</v>
      </c>
      <c r="T3429" s="13">
        <v>0</v>
      </c>
      <c r="U3429" s="13">
        <v>2926</v>
      </c>
      <c r="V3429" s="13">
        <v>1702</v>
      </c>
      <c r="W3429" s="37">
        <v>2147</v>
      </c>
      <c r="X3429" s="19"/>
      <c r="AG3429" s="16"/>
    </row>
    <row r="3430" spans="2:33">
      <c r="B3430" s="19"/>
      <c r="P3430" s="16"/>
      <c r="Q3430" s="36" t="s">
        <v>45</v>
      </c>
      <c r="R3430" s="13">
        <v>0</v>
      </c>
      <c r="S3430" s="13">
        <v>3259</v>
      </c>
      <c r="T3430" s="13">
        <v>1827</v>
      </c>
      <c r="U3430" s="13">
        <v>0</v>
      </c>
      <c r="V3430" s="13">
        <v>0</v>
      </c>
      <c r="W3430" s="37">
        <v>2888</v>
      </c>
      <c r="X3430" s="19"/>
      <c r="AG3430" s="16"/>
    </row>
    <row r="3431" spans="2:33" ht="15" thickBot="1">
      <c r="B3431" s="20"/>
      <c r="C3431" s="15"/>
      <c r="D3431" s="15"/>
      <c r="E3431" s="15"/>
      <c r="F3431" s="15"/>
      <c r="G3431" s="15"/>
      <c r="H3431" s="15"/>
      <c r="I3431" s="15"/>
      <c r="J3431" s="15"/>
      <c r="K3431" s="15"/>
      <c r="L3431" s="15"/>
      <c r="M3431" s="15"/>
      <c r="N3431" s="15"/>
      <c r="O3431" s="15"/>
      <c r="P3431" s="17"/>
      <c r="Q3431" s="36" t="s">
        <v>46</v>
      </c>
      <c r="R3431" s="13">
        <v>4052</v>
      </c>
      <c r="S3431" s="13">
        <v>2318</v>
      </c>
      <c r="T3431" s="13">
        <v>0</v>
      </c>
      <c r="U3431" s="13">
        <v>0</v>
      </c>
      <c r="V3431" s="13">
        <v>0</v>
      </c>
      <c r="W3431" s="37">
        <v>2909</v>
      </c>
      <c r="X3431" s="20"/>
      <c r="Y3431" s="15"/>
      <c r="Z3431" s="15"/>
      <c r="AA3431" s="15"/>
      <c r="AB3431" s="15"/>
      <c r="AC3431" s="15"/>
      <c r="AD3431" s="15"/>
      <c r="AE3431" s="15"/>
      <c r="AF3431" s="15"/>
      <c r="AG3431" s="17"/>
    </row>
    <row r="3433" spans="2:33" ht="15" thickBot="1">
      <c r="B3433" s="25" t="s">
        <v>1602</v>
      </c>
      <c r="C3433" s="26" t="s">
        <v>1603</v>
      </c>
      <c r="D3433" s="26" t="s">
        <v>1628</v>
      </c>
      <c r="E3433" s="26" t="s">
        <v>1629</v>
      </c>
      <c r="F3433" s="26" t="s">
        <v>1497</v>
      </c>
      <c r="G3433" s="26" t="s">
        <v>1498</v>
      </c>
      <c r="H3433" s="27" t="s">
        <v>33</v>
      </c>
      <c r="I3433" s="26" t="s">
        <v>1630</v>
      </c>
      <c r="J3433" s="27" t="s">
        <v>87</v>
      </c>
      <c r="K3433" s="29">
        <v>34.599998474121101</v>
      </c>
      <c r="L3433" s="29">
        <v>34.599998474121101</v>
      </c>
      <c r="M3433" s="29">
        <v>34.599998474121101</v>
      </c>
      <c r="N3433" s="29">
        <v>34.599998474121101</v>
      </c>
      <c r="O3433" s="29">
        <v>34.599998474121101</v>
      </c>
      <c r="P3433" s="40">
        <v>34.599998474121101</v>
      </c>
      <c r="Q3433" s="1" t="s">
        <v>35</v>
      </c>
      <c r="R3433" s="2">
        <v>2623</v>
      </c>
      <c r="S3433" s="2">
        <v>1235</v>
      </c>
      <c r="T3433" s="2">
        <v>0</v>
      </c>
      <c r="U3433" s="2">
        <v>0</v>
      </c>
      <c r="V3433" s="2">
        <v>0</v>
      </c>
      <c r="W3433" s="2">
        <v>1416</v>
      </c>
      <c r="X3433" s="43">
        <f>SUM(R3433:W3444)</f>
        <v>46483</v>
      </c>
      <c r="Y3433" s="10">
        <v>46204</v>
      </c>
      <c r="Z3433" s="11">
        <v>0.21919235148020305</v>
      </c>
      <c r="AA3433" s="11">
        <v>0.18278252950868873</v>
      </c>
      <c r="AB3433" s="11">
        <v>0.14730848520871084</v>
      </c>
      <c r="AC3433" s="11">
        <v>0.12879037718868644</v>
      </c>
      <c r="AD3433" s="11">
        <v>0.11451881259976519</v>
      </c>
      <c r="AE3433" s="11">
        <v>0.13153841003497066</v>
      </c>
      <c r="AF3433" s="11">
        <v>0.3</v>
      </c>
      <c r="AG3433" s="11">
        <v>0.23899999999999999</v>
      </c>
    </row>
    <row r="3434" spans="2:33">
      <c r="B3434" s="18"/>
      <c r="C3434" s="14"/>
      <c r="D3434" s="14"/>
      <c r="E3434" s="14"/>
      <c r="F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35"/>
      <c r="Q3434" s="36" t="s">
        <v>36</v>
      </c>
      <c r="R3434" s="13">
        <v>2037</v>
      </c>
      <c r="S3434" s="13">
        <v>909</v>
      </c>
      <c r="T3434" s="13">
        <v>0</v>
      </c>
      <c r="U3434" s="13">
        <v>0</v>
      </c>
      <c r="V3434" s="13">
        <v>0</v>
      </c>
      <c r="W3434" s="37">
        <v>1241</v>
      </c>
      <c r="X3434" s="18"/>
      <c r="Y3434" s="14"/>
      <c r="Z3434" s="14"/>
      <c r="AA3434" s="14"/>
      <c r="AB3434" s="14"/>
      <c r="AC3434" s="14"/>
      <c r="AD3434" s="14"/>
      <c r="AE3434" s="14"/>
      <c r="AF3434" s="14"/>
      <c r="AG3434" s="35"/>
    </row>
    <row r="3435" spans="2:33">
      <c r="B3435" s="19"/>
      <c r="P3435" s="16"/>
      <c r="Q3435" s="36" t="s">
        <v>37</v>
      </c>
      <c r="R3435" s="13">
        <v>0</v>
      </c>
      <c r="S3435" s="13">
        <v>1986</v>
      </c>
      <c r="T3435" s="13">
        <v>952</v>
      </c>
      <c r="U3435" s="13">
        <v>0</v>
      </c>
      <c r="V3435" s="13">
        <v>0</v>
      </c>
      <c r="W3435" s="37">
        <v>1547</v>
      </c>
      <c r="X3435" s="19"/>
      <c r="AG3435" s="16"/>
    </row>
    <row r="3436" spans="2:33">
      <c r="B3436" s="19"/>
      <c r="P3436" s="16"/>
      <c r="Q3436" s="36" t="s">
        <v>38</v>
      </c>
      <c r="R3436" s="13">
        <v>0</v>
      </c>
      <c r="S3436" s="13">
        <v>0</v>
      </c>
      <c r="T3436" s="13">
        <v>0</v>
      </c>
      <c r="U3436" s="13">
        <v>1248</v>
      </c>
      <c r="V3436" s="13">
        <v>648</v>
      </c>
      <c r="W3436" s="37">
        <v>854</v>
      </c>
      <c r="X3436" s="19"/>
      <c r="AG3436" s="16"/>
    </row>
    <row r="3437" spans="2:33">
      <c r="B3437" s="19"/>
      <c r="P3437" s="16"/>
      <c r="Q3437" s="36" t="s">
        <v>39</v>
      </c>
      <c r="R3437" s="13">
        <v>0</v>
      </c>
      <c r="S3437" s="13">
        <v>0</v>
      </c>
      <c r="T3437" s="13">
        <v>0</v>
      </c>
      <c r="U3437" s="13">
        <v>1142</v>
      </c>
      <c r="V3437" s="13">
        <v>655</v>
      </c>
      <c r="W3437" s="37">
        <v>949</v>
      </c>
      <c r="X3437" s="19"/>
      <c r="AG3437" s="16"/>
    </row>
    <row r="3438" spans="2:33">
      <c r="B3438" s="19"/>
      <c r="P3438" s="16"/>
      <c r="Q3438" s="36" t="s">
        <v>40</v>
      </c>
      <c r="R3438" s="13">
        <v>0</v>
      </c>
      <c r="S3438" s="13">
        <v>0</v>
      </c>
      <c r="T3438" s="13">
        <v>1549</v>
      </c>
      <c r="U3438" s="13">
        <v>946</v>
      </c>
      <c r="V3438" s="13">
        <v>0</v>
      </c>
      <c r="W3438" s="37">
        <v>1230</v>
      </c>
      <c r="X3438" s="19"/>
      <c r="AG3438" s="16"/>
    </row>
    <row r="3439" spans="2:33">
      <c r="B3439" s="19"/>
      <c r="P3439" s="16"/>
      <c r="Q3439" s="36" t="s">
        <v>41</v>
      </c>
      <c r="R3439" s="13">
        <v>1761</v>
      </c>
      <c r="S3439" s="13">
        <v>1083</v>
      </c>
      <c r="T3439" s="13">
        <v>0</v>
      </c>
      <c r="U3439" s="13">
        <v>0</v>
      </c>
      <c r="V3439" s="13">
        <v>0</v>
      </c>
      <c r="W3439" s="37">
        <v>1085</v>
      </c>
      <c r="X3439" s="19"/>
      <c r="AG3439" s="16"/>
    </row>
    <row r="3440" spans="2:33">
      <c r="B3440" s="19"/>
      <c r="P3440" s="16"/>
      <c r="Q3440" s="36" t="s">
        <v>42</v>
      </c>
      <c r="R3440" s="13">
        <v>0</v>
      </c>
      <c r="S3440" s="13">
        <v>0</v>
      </c>
      <c r="T3440" s="13">
        <v>1615</v>
      </c>
      <c r="U3440" s="13">
        <v>1043</v>
      </c>
      <c r="V3440" s="13">
        <v>0</v>
      </c>
      <c r="W3440" s="37">
        <v>1663</v>
      </c>
      <c r="X3440" s="19"/>
      <c r="AG3440" s="16"/>
    </row>
    <row r="3441" spans="2:33">
      <c r="B3441" s="19"/>
      <c r="P3441" s="16"/>
      <c r="Q3441" s="36" t="s">
        <v>43</v>
      </c>
      <c r="R3441" s="13">
        <v>0</v>
      </c>
      <c r="S3441" s="13">
        <v>0</v>
      </c>
      <c r="T3441" s="13">
        <v>1372</v>
      </c>
      <c r="U3441" s="13">
        <v>808</v>
      </c>
      <c r="V3441" s="13">
        <v>0</v>
      </c>
      <c r="W3441" s="37">
        <v>976</v>
      </c>
      <c r="X3441" s="19"/>
      <c r="AG3441" s="16"/>
    </row>
    <row r="3442" spans="2:33">
      <c r="B3442" s="19"/>
      <c r="P3442" s="16"/>
      <c r="Q3442" s="36" t="s">
        <v>44</v>
      </c>
      <c r="R3442" s="13">
        <v>0</v>
      </c>
      <c r="S3442" s="13">
        <v>0</v>
      </c>
      <c r="T3442" s="13">
        <v>0</v>
      </c>
      <c r="U3442" s="13">
        <v>1112</v>
      </c>
      <c r="V3442" s="13">
        <v>667</v>
      </c>
      <c r="W3442" s="37">
        <v>807</v>
      </c>
      <c r="X3442" s="19"/>
      <c r="AG3442" s="16"/>
    </row>
    <row r="3443" spans="2:33">
      <c r="B3443" s="19"/>
      <c r="P3443" s="16"/>
      <c r="Q3443" s="36" t="s">
        <v>45</v>
      </c>
      <c r="R3443" s="13">
        <v>0</v>
      </c>
      <c r="S3443" s="13">
        <v>1821</v>
      </c>
      <c r="T3443" s="13">
        <v>960</v>
      </c>
      <c r="U3443" s="13">
        <v>0</v>
      </c>
      <c r="V3443" s="13">
        <v>0</v>
      </c>
      <c r="W3443" s="37">
        <v>1395</v>
      </c>
      <c r="X3443" s="19"/>
      <c r="AG3443" s="16"/>
    </row>
    <row r="3444" spans="2:33" ht="15" thickBot="1">
      <c r="B3444" s="20"/>
      <c r="C3444" s="15"/>
      <c r="D3444" s="15"/>
      <c r="E3444" s="15"/>
      <c r="F3444" s="15"/>
      <c r="G3444" s="15"/>
      <c r="H3444" s="15"/>
      <c r="I3444" s="15"/>
      <c r="J3444" s="15"/>
      <c r="K3444" s="15"/>
      <c r="L3444" s="15"/>
      <c r="M3444" s="15"/>
      <c r="N3444" s="15"/>
      <c r="O3444" s="15"/>
      <c r="P3444" s="17"/>
      <c r="Q3444" s="36" t="s">
        <v>46</v>
      </c>
      <c r="R3444" s="13">
        <v>2540</v>
      </c>
      <c r="S3444" s="13">
        <v>1235</v>
      </c>
      <c r="T3444" s="13">
        <v>0</v>
      </c>
      <c r="U3444" s="13">
        <v>0</v>
      </c>
      <c r="V3444" s="13">
        <v>0</v>
      </c>
      <c r="W3444" s="37">
        <v>1373</v>
      </c>
      <c r="X3444" s="20"/>
      <c r="Y3444" s="15"/>
      <c r="Z3444" s="15"/>
      <c r="AA3444" s="15"/>
      <c r="AB3444" s="15"/>
      <c r="AC3444" s="15"/>
      <c r="AD3444" s="15"/>
      <c r="AE3444" s="15"/>
      <c r="AF3444" s="15"/>
      <c r="AG3444" s="17"/>
    </row>
    <row r="3446" spans="2:33" ht="15" thickBot="1">
      <c r="B3446" s="25" t="s">
        <v>1602</v>
      </c>
      <c r="C3446" s="26" t="s">
        <v>1603</v>
      </c>
      <c r="D3446" s="26" t="s">
        <v>1631</v>
      </c>
      <c r="E3446" s="26" t="s">
        <v>1632</v>
      </c>
      <c r="F3446" s="26" t="s">
        <v>1633</v>
      </c>
      <c r="G3446" s="26" t="s">
        <v>597</v>
      </c>
      <c r="H3446" s="27" t="s">
        <v>597</v>
      </c>
      <c r="I3446" s="26" t="s">
        <v>1634</v>
      </c>
      <c r="J3446" s="27" t="s">
        <v>87</v>
      </c>
      <c r="K3446" s="29">
        <v>18</v>
      </c>
      <c r="L3446" s="29">
        <v>18</v>
      </c>
      <c r="M3446" s="29">
        <v>18</v>
      </c>
      <c r="N3446" s="29">
        <v>18</v>
      </c>
      <c r="O3446" s="29">
        <v>18</v>
      </c>
      <c r="P3446" s="40">
        <v>27</v>
      </c>
      <c r="Q3446" s="1" t="s">
        <v>35</v>
      </c>
      <c r="R3446" s="2">
        <v>1846</v>
      </c>
      <c r="S3446" s="2">
        <v>846</v>
      </c>
      <c r="T3446" s="2">
        <v>0</v>
      </c>
      <c r="U3446" s="2">
        <v>0</v>
      </c>
      <c r="V3446" s="2">
        <v>0</v>
      </c>
      <c r="W3446" s="2">
        <v>937</v>
      </c>
      <c r="X3446" s="43">
        <f>SUM(R3446:W3457)</f>
        <v>30739</v>
      </c>
      <c r="Y3446" s="10">
        <v>46204</v>
      </c>
      <c r="Z3446" s="11">
        <v>0.21919235148020305</v>
      </c>
      <c r="AA3446" s="11">
        <v>0.18278252950868873</v>
      </c>
      <c r="AB3446" s="11">
        <v>0.14730848520871084</v>
      </c>
      <c r="AC3446" s="11">
        <v>0.12879037718868644</v>
      </c>
      <c r="AD3446" s="11">
        <v>0.11451881259976519</v>
      </c>
      <c r="AE3446" s="11">
        <v>0.13153841003497066</v>
      </c>
      <c r="AF3446" s="11">
        <v>0.3</v>
      </c>
      <c r="AG3446" s="11">
        <v>0.23899999999999999</v>
      </c>
    </row>
    <row r="3447" spans="2:33">
      <c r="B3447" s="18"/>
      <c r="C3447" s="14"/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35"/>
      <c r="Q3447" s="36" t="s">
        <v>36</v>
      </c>
      <c r="R3447" s="13">
        <v>1383</v>
      </c>
      <c r="S3447" s="13">
        <v>609</v>
      </c>
      <c r="T3447" s="13">
        <v>0</v>
      </c>
      <c r="U3447" s="13">
        <v>0</v>
      </c>
      <c r="V3447" s="13">
        <v>0</v>
      </c>
      <c r="W3447" s="37">
        <v>618</v>
      </c>
      <c r="X3447" s="18"/>
      <c r="Y3447" s="14"/>
      <c r="Z3447" s="14"/>
      <c r="AA3447" s="14"/>
      <c r="AB3447" s="14"/>
      <c r="AC3447" s="14"/>
      <c r="AD3447" s="14"/>
      <c r="AE3447" s="14"/>
      <c r="AF3447" s="14"/>
      <c r="AG3447" s="35"/>
    </row>
    <row r="3448" spans="2:33">
      <c r="B3448" s="19"/>
      <c r="P3448" s="16"/>
      <c r="Q3448" s="36" t="s">
        <v>37</v>
      </c>
      <c r="R3448" s="13">
        <v>0</v>
      </c>
      <c r="S3448" s="13">
        <v>1464</v>
      </c>
      <c r="T3448" s="13">
        <v>689</v>
      </c>
      <c r="U3448" s="13">
        <v>0</v>
      </c>
      <c r="V3448" s="13">
        <v>0</v>
      </c>
      <c r="W3448" s="37">
        <v>659</v>
      </c>
      <c r="X3448" s="19"/>
      <c r="AG3448" s="16"/>
    </row>
    <row r="3449" spans="2:33">
      <c r="B3449" s="19"/>
      <c r="P3449" s="16"/>
      <c r="Q3449" s="36" t="s">
        <v>38</v>
      </c>
      <c r="R3449" s="13">
        <v>0</v>
      </c>
      <c r="S3449" s="13">
        <v>0</v>
      </c>
      <c r="T3449" s="13">
        <v>0</v>
      </c>
      <c r="U3449" s="13">
        <v>950</v>
      </c>
      <c r="V3449" s="13">
        <v>363</v>
      </c>
      <c r="W3449" s="37">
        <v>401</v>
      </c>
      <c r="X3449" s="19"/>
      <c r="AG3449" s="16"/>
    </row>
    <row r="3450" spans="2:33">
      <c r="B3450" s="19"/>
      <c r="P3450" s="16"/>
      <c r="Q3450" s="36" t="s">
        <v>39</v>
      </c>
      <c r="R3450" s="13">
        <v>0</v>
      </c>
      <c r="S3450" s="13">
        <v>0</v>
      </c>
      <c r="T3450" s="13">
        <v>0</v>
      </c>
      <c r="U3450" s="13">
        <v>995</v>
      </c>
      <c r="V3450" s="13">
        <v>344</v>
      </c>
      <c r="W3450" s="37">
        <v>458</v>
      </c>
      <c r="X3450" s="19"/>
      <c r="AG3450" s="16"/>
    </row>
    <row r="3451" spans="2:33">
      <c r="B3451" s="19"/>
      <c r="P3451" s="16"/>
      <c r="Q3451" s="36" t="s">
        <v>40</v>
      </c>
      <c r="R3451" s="13">
        <v>0</v>
      </c>
      <c r="S3451" s="13">
        <v>0</v>
      </c>
      <c r="T3451" s="13">
        <v>1265</v>
      </c>
      <c r="U3451" s="13">
        <v>455</v>
      </c>
      <c r="V3451" s="13">
        <v>0</v>
      </c>
      <c r="W3451" s="37">
        <v>521</v>
      </c>
      <c r="X3451" s="19"/>
      <c r="AG3451" s="16"/>
    </row>
    <row r="3452" spans="2:33">
      <c r="B3452" s="19"/>
      <c r="P3452" s="16"/>
      <c r="Q3452" s="36" t="s">
        <v>41</v>
      </c>
      <c r="R3452" s="13">
        <v>1736</v>
      </c>
      <c r="S3452" s="13">
        <v>658</v>
      </c>
      <c r="T3452" s="13">
        <v>0</v>
      </c>
      <c r="U3452" s="13">
        <v>0</v>
      </c>
      <c r="V3452" s="13">
        <v>0</v>
      </c>
      <c r="W3452" s="37">
        <v>491</v>
      </c>
      <c r="X3452" s="19"/>
      <c r="AG3452" s="16"/>
    </row>
    <row r="3453" spans="2:33">
      <c r="B3453" s="19"/>
      <c r="P3453" s="16"/>
      <c r="Q3453" s="36" t="s">
        <v>42</v>
      </c>
      <c r="R3453" s="13">
        <v>0</v>
      </c>
      <c r="S3453" s="13">
        <v>0</v>
      </c>
      <c r="T3453" s="13">
        <v>1689</v>
      </c>
      <c r="U3453" s="13">
        <v>638</v>
      </c>
      <c r="V3453" s="13">
        <v>0</v>
      </c>
      <c r="W3453" s="37">
        <v>654</v>
      </c>
      <c r="X3453" s="19"/>
      <c r="AG3453" s="16"/>
    </row>
    <row r="3454" spans="2:33">
      <c r="B3454" s="19"/>
      <c r="P3454" s="16"/>
      <c r="Q3454" s="36" t="s">
        <v>43</v>
      </c>
      <c r="R3454" s="13">
        <v>0</v>
      </c>
      <c r="S3454" s="13">
        <v>0</v>
      </c>
      <c r="T3454" s="13">
        <v>1152</v>
      </c>
      <c r="U3454" s="13">
        <v>493</v>
      </c>
      <c r="V3454" s="13">
        <v>0</v>
      </c>
      <c r="W3454" s="37">
        <v>428</v>
      </c>
      <c r="X3454" s="19"/>
      <c r="AG3454" s="16"/>
    </row>
    <row r="3455" spans="2:33">
      <c r="B3455" s="19"/>
      <c r="P3455" s="16"/>
      <c r="Q3455" s="36" t="s">
        <v>44</v>
      </c>
      <c r="R3455" s="13">
        <v>0</v>
      </c>
      <c r="S3455" s="13">
        <v>0</v>
      </c>
      <c r="T3455" s="13">
        <v>0</v>
      </c>
      <c r="U3455" s="13">
        <v>1021</v>
      </c>
      <c r="V3455" s="13">
        <v>499</v>
      </c>
      <c r="W3455" s="37">
        <v>397</v>
      </c>
      <c r="X3455" s="19"/>
      <c r="AG3455" s="16"/>
    </row>
    <row r="3456" spans="2:33">
      <c r="B3456" s="19"/>
      <c r="P3456" s="16"/>
      <c r="Q3456" s="36" t="s">
        <v>45</v>
      </c>
      <c r="R3456" s="13">
        <v>0</v>
      </c>
      <c r="S3456" s="13">
        <v>1149</v>
      </c>
      <c r="T3456" s="13">
        <v>579</v>
      </c>
      <c r="U3456" s="13">
        <v>0</v>
      </c>
      <c r="V3456" s="13">
        <v>0</v>
      </c>
      <c r="W3456" s="37">
        <v>734</v>
      </c>
      <c r="X3456" s="19"/>
      <c r="AG3456" s="16"/>
    </row>
    <row r="3457" spans="2:33" ht="15" thickBot="1">
      <c r="B3457" s="20"/>
      <c r="C3457" s="15"/>
      <c r="D3457" s="15"/>
      <c r="E3457" s="15"/>
      <c r="F3457" s="15"/>
      <c r="G3457" s="15"/>
      <c r="H3457" s="15"/>
      <c r="I3457" s="15"/>
      <c r="J3457" s="15"/>
      <c r="K3457" s="15"/>
      <c r="L3457" s="15"/>
      <c r="M3457" s="15"/>
      <c r="N3457" s="15"/>
      <c r="O3457" s="15"/>
      <c r="P3457" s="17"/>
      <c r="Q3457" s="36" t="s">
        <v>46</v>
      </c>
      <c r="R3457" s="13">
        <v>1618</v>
      </c>
      <c r="S3457" s="13">
        <v>873</v>
      </c>
      <c r="T3457" s="13">
        <v>0</v>
      </c>
      <c r="U3457" s="13">
        <v>0</v>
      </c>
      <c r="V3457" s="13">
        <v>0</v>
      </c>
      <c r="W3457" s="37">
        <v>1127</v>
      </c>
      <c r="X3457" s="20"/>
      <c r="Y3457" s="15"/>
      <c r="Z3457" s="15"/>
      <c r="AA3457" s="15"/>
      <c r="AB3457" s="15"/>
      <c r="AC3457" s="15"/>
      <c r="AD3457" s="15"/>
      <c r="AE3457" s="15"/>
      <c r="AF3457" s="15"/>
      <c r="AG3457" s="17"/>
    </row>
    <row r="3459" spans="2:33" ht="15" thickBot="1">
      <c r="B3459" s="25" t="s">
        <v>1602</v>
      </c>
      <c r="C3459" s="26" t="s">
        <v>1603</v>
      </c>
      <c r="D3459" s="26" t="s">
        <v>1635</v>
      </c>
      <c r="E3459" s="26" t="s">
        <v>1636</v>
      </c>
      <c r="F3459" s="26" t="s">
        <v>1637</v>
      </c>
      <c r="G3459" s="26" t="s">
        <v>55</v>
      </c>
      <c r="H3459" s="27" t="s">
        <v>55</v>
      </c>
      <c r="I3459" s="26" t="s">
        <v>1638</v>
      </c>
      <c r="J3459" s="27" t="s">
        <v>87</v>
      </c>
      <c r="K3459" s="29">
        <v>15</v>
      </c>
      <c r="L3459" s="29">
        <v>15</v>
      </c>
      <c r="M3459" s="29">
        <v>15</v>
      </c>
      <c r="N3459" s="29">
        <v>15</v>
      </c>
      <c r="O3459" s="29">
        <v>15</v>
      </c>
      <c r="P3459" s="40">
        <v>31</v>
      </c>
      <c r="Q3459" s="1" t="s">
        <v>35</v>
      </c>
      <c r="R3459" s="2">
        <v>1331</v>
      </c>
      <c r="S3459" s="2">
        <v>778</v>
      </c>
      <c r="T3459" s="2">
        <v>0</v>
      </c>
      <c r="U3459" s="2">
        <v>0</v>
      </c>
      <c r="V3459" s="2">
        <v>0</v>
      </c>
      <c r="W3459" s="2">
        <v>739</v>
      </c>
      <c r="X3459" s="43">
        <f>SUM(R3459:W3470)</f>
        <v>25529</v>
      </c>
      <c r="Y3459" s="10">
        <v>46204</v>
      </c>
      <c r="Z3459" s="11">
        <v>0.21919235148020305</v>
      </c>
      <c r="AA3459" s="11">
        <v>0.18278252950868873</v>
      </c>
      <c r="AB3459" s="11">
        <v>0.14730848520871084</v>
      </c>
      <c r="AC3459" s="11">
        <v>0.12879037718868644</v>
      </c>
      <c r="AD3459" s="11">
        <v>0.11451881259976519</v>
      </c>
      <c r="AE3459" s="11">
        <v>0.13153841003497066</v>
      </c>
      <c r="AF3459" s="11">
        <v>0.3</v>
      </c>
      <c r="AG3459" s="11">
        <v>0.23899999999999999</v>
      </c>
    </row>
    <row r="3460" spans="2:33">
      <c r="B3460" s="18"/>
      <c r="C3460" s="14"/>
      <c r="D3460" s="14"/>
      <c r="E3460" s="14"/>
      <c r="F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35"/>
      <c r="Q3460" s="36" t="s">
        <v>36</v>
      </c>
      <c r="R3460" s="13">
        <v>1151</v>
      </c>
      <c r="S3460" s="13">
        <v>639</v>
      </c>
      <c r="T3460" s="13">
        <v>0</v>
      </c>
      <c r="U3460" s="13">
        <v>0</v>
      </c>
      <c r="V3460" s="13">
        <v>0</v>
      </c>
      <c r="W3460" s="37">
        <v>575</v>
      </c>
      <c r="X3460" s="18"/>
      <c r="Y3460" s="14"/>
      <c r="Z3460" s="14"/>
      <c r="AA3460" s="14"/>
      <c r="AB3460" s="14"/>
      <c r="AC3460" s="14"/>
      <c r="AD3460" s="14"/>
      <c r="AE3460" s="14"/>
      <c r="AF3460" s="14"/>
      <c r="AG3460" s="35"/>
    </row>
    <row r="3461" spans="2:33">
      <c r="B3461" s="19"/>
      <c r="P3461" s="16"/>
      <c r="Q3461" s="36" t="s">
        <v>37</v>
      </c>
      <c r="R3461" s="13">
        <v>0</v>
      </c>
      <c r="S3461" s="13">
        <v>1129</v>
      </c>
      <c r="T3461" s="13">
        <v>632</v>
      </c>
      <c r="U3461" s="13">
        <v>0</v>
      </c>
      <c r="V3461" s="13">
        <v>0</v>
      </c>
      <c r="W3461" s="37">
        <v>638</v>
      </c>
      <c r="X3461" s="19"/>
      <c r="AG3461" s="16"/>
    </row>
    <row r="3462" spans="2:33">
      <c r="B3462" s="19"/>
      <c r="P3462" s="16"/>
      <c r="Q3462" s="36" t="s">
        <v>38</v>
      </c>
      <c r="R3462" s="13">
        <v>0</v>
      </c>
      <c r="S3462" s="13">
        <v>0</v>
      </c>
      <c r="T3462" s="13">
        <v>0</v>
      </c>
      <c r="U3462" s="13">
        <v>758</v>
      </c>
      <c r="V3462" s="13">
        <v>430</v>
      </c>
      <c r="W3462" s="37">
        <v>466</v>
      </c>
      <c r="X3462" s="19"/>
      <c r="AG3462" s="16"/>
    </row>
    <row r="3463" spans="2:33">
      <c r="B3463" s="19"/>
      <c r="P3463" s="16"/>
      <c r="Q3463" s="36" t="s">
        <v>39</v>
      </c>
      <c r="R3463" s="13">
        <v>0</v>
      </c>
      <c r="S3463" s="13">
        <v>0</v>
      </c>
      <c r="T3463" s="13">
        <v>0</v>
      </c>
      <c r="U3463" s="13">
        <v>693</v>
      </c>
      <c r="V3463" s="13">
        <v>421</v>
      </c>
      <c r="W3463" s="37">
        <v>507</v>
      </c>
      <c r="X3463" s="19"/>
      <c r="AG3463" s="16"/>
    </row>
    <row r="3464" spans="2:33">
      <c r="B3464" s="19"/>
      <c r="P3464" s="16"/>
      <c r="Q3464" s="36" t="s">
        <v>40</v>
      </c>
      <c r="R3464" s="13">
        <v>0</v>
      </c>
      <c r="S3464" s="13">
        <v>0</v>
      </c>
      <c r="T3464" s="13">
        <v>796</v>
      </c>
      <c r="U3464" s="13">
        <v>491</v>
      </c>
      <c r="V3464" s="13">
        <v>0</v>
      </c>
      <c r="W3464" s="37">
        <v>409</v>
      </c>
      <c r="X3464" s="19"/>
      <c r="AG3464" s="16"/>
    </row>
    <row r="3465" spans="2:33">
      <c r="B3465" s="19"/>
      <c r="P3465" s="16"/>
      <c r="Q3465" s="36" t="s">
        <v>41</v>
      </c>
      <c r="R3465" s="13">
        <v>1136</v>
      </c>
      <c r="S3465" s="13">
        <v>723</v>
      </c>
      <c r="T3465" s="13">
        <v>0</v>
      </c>
      <c r="U3465" s="13">
        <v>0</v>
      </c>
      <c r="V3465" s="13">
        <v>0</v>
      </c>
      <c r="W3465" s="37">
        <v>351</v>
      </c>
      <c r="X3465" s="19"/>
      <c r="AG3465" s="16"/>
    </row>
    <row r="3466" spans="2:33">
      <c r="B3466" s="19"/>
      <c r="P3466" s="16"/>
      <c r="Q3466" s="36" t="s">
        <v>42</v>
      </c>
      <c r="R3466" s="13">
        <v>0</v>
      </c>
      <c r="S3466" s="13">
        <v>0</v>
      </c>
      <c r="T3466" s="13">
        <v>1034</v>
      </c>
      <c r="U3466" s="13">
        <v>671</v>
      </c>
      <c r="V3466" s="13">
        <v>0</v>
      </c>
      <c r="W3466" s="37">
        <v>514</v>
      </c>
      <c r="X3466" s="19"/>
      <c r="AG3466" s="16"/>
    </row>
    <row r="3467" spans="2:33">
      <c r="B3467" s="19"/>
      <c r="P3467" s="16"/>
      <c r="Q3467" s="36" t="s">
        <v>43</v>
      </c>
      <c r="R3467" s="13">
        <v>0</v>
      </c>
      <c r="S3467" s="13">
        <v>0</v>
      </c>
      <c r="T3467" s="13">
        <v>712</v>
      </c>
      <c r="U3467" s="13">
        <v>407</v>
      </c>
      <c r="V3467" s="13">
        <v>0</v>
      </c>
      <c r="W3467" s="37">
        <v>397</v>
      </c>
      <c r="X3467" s="19"/>
      <c r="AG3467" s="16"/>
    </row>
    <row r="3468" spans="2:33">
      <c r="B3468" s="19"/>
      <c r="P3468" s="16"/>
      <c r="Q3468" s="36" t="s">
        <v>44</v>
      </c>
      <c r="R3468" s="13">
        <v>0</v>
      </c>
      <c r="S3468" s="13">
        <v>0</v>
      </c>
      <c r="T3468" s="13">
        <v>0</v>
      </c>
      <c r="U3468" s="13">
        <v>835</v>
      </c>
      <c r="V3468" s="13">
        <v>471</v>
      </c>
      <c r="W3468" s="37">
        <v>468</v>
      </c>
      <c r="X3468" s="19"/>
      <c r="AG3468" s="16"/>
    </row>
    <row r="3469" spans="2:33">
      <c r="B3469" s="19"/>
      <c r="P3469" s="16"/>
      <c r="Q3469" s="36" t="s">
        <v>45</v>
      </c>
      <c r="R3469" s="13">
        <v>0</v>
      </c>
      <c r="S3469" s="13">
        <v>1096</v>
      </c>
      <c r="T3469" s="13">
        <v>591</v>
      </c>
      <c r="U3469" s="13">
        <v>0</v>
      </c>
      <c r="V3469" s="13">
        <v>0</v>
      </c>
      <c r="W3469" s="37">
        <v>623</v>
      </c>
      <c r="X3469" s="19"/>
      <c r="AG3469" s="16"/>
    </row>
    <row r="3470" spans="2:33" ht="15" thickBot="1">
      <c r="B3470" s="20"/>
      <c r="C3470" s="15"/>
      <c r="D3470" s="15"/>
      <c r="E3470" s="15"/>
      <c r="F3470" s="15"/>
      <c r="G3470" s="15"/>
      <c r="H3470" s="15"/>
      <c r="I3470" s="15"/>
      <c r="J3470" s="15"/>
      <c r="K3470" s="15"/>
      <c r="L3470" s="15"/>
      <c r="M3470" s="15"/>
      <c r="N3470" s="15"/>
      <c r="O3470" s="15"/>
      <c r="P3470" s="17"/>
      <c r="Q3470" s="36" t="s">
        <v>46</v>
      </c>
      <c r="R3470" s="13">
        <v>1381</v>
      </c>
      <c r="S3470" s="13">
        <v>751</v>
      </c>
      <c r="T3470" s="13">
        <v>0</v>
      </c>
      <c r="U3470" s="13">
        <v>0</v>
      </c>
      <c r="V3470" s="13">
        <v>0</v>
      </c>
      <c r="W3470" s="37">
        <v>785</v>
      </c>
      <c r="X3470" s="20"/>
      <c r="Y3470" s="15"/>
      <c r="Z3470" s="15"/>
      <c r="AA3470" s="15"/>
      <c r="AB3470" s="15"/>
      <c r="AC3470" s="15"/>
      <c r="AD3470" s="15"/>
      <c r="AE3470" s="15"/>
      <c r="AF3470" s="15"/>
      <c r="AG3470" s="17"/>
    </row>
    <row r="3472" spans="2:33" ht="15" thickBot="1">
      <c r="B3472" s="25" t="s">
        <v>1602</v>
      </c>
      <c r="C3472" s="26" t="s">
        <v>1603</v>
      </c>
      <c r="D3472" s="26" t="s">
        <v>1639</v>
      </c>
      <c r="E3472" s="26" t="s">
        <v>1640</v>
      </c>
      <c r="F3472" s="26" t="s">
        <v>1641</v>
      </c>
      <c r="G3472" s="26" t="s">
        <v>1642</v>
      </c>
      <c r="H3472" s="27" t="s">
        <v>1642</v>
      </c>
      <c r="I3472" s="26" t="s">
        <v>1643</v>
      </c>
      <c r="J3472" s="27" t="s">
        <v>87</v>
      </c>
      <c r="K3472" s="29">
        <v>11</v>
      </c>
      <c r="L3472" s="29">
        <v>11</v>
      </c>
      <c r="M3472" s="29">
        <v>13</v>
      </c>
      <c r="N3472" s="29">
        <v>13</v>
      </c>
      <c r="O3472" s="29">
        <v>13</v>
      </c>
      <c r="P3472" s="40">
        <v>25</v>
      </c>
      <c r="Q3472" s="1" t="s">
        <v>35</v>
      </c>
      <c r="R3472" s="2">
        <v>892</v>
      </c>
      <c r="S3472" s="2">
        <v>345</v>
      </c>
      <c r="T3472" s="2">
        <v>0</v>
      </c>
      <c r="U3472" s="2">
        <v>0</v>
      </c>
      <c r="V3472" s="2">
        <v>0</v>
      </c>
      <c r="W3472" s="2">
        <v>423</v>
      </c>
      <c r="X3472" s="43">
        <f>SUM(R3472:W3483)</f>
        <v>23160</v>
      </c>
      <c r="Y3472" s="10">
        <v>46204</v>
      </c>
      <c r="Z3472" s="11">
        <v>0.21919235148020305</v>
      </c>
      <c r="AA3472" s="11">
        <v>0.18278252950868873</v>
      </c>
      <c r="AB3472" s="11">
        <v>0.14730848520871084</v>
      </c>
      <c r="AC3472" s="11">
        <v>0.12879037718868644</v>
      </c>
      <c r="AD3472" s="11">
        <v>0.11451881259976519</v>
      </c>
      <c r="AE3472" s="11">
        <v>0.13153841003497066</v>
      </c>
      <c r="AF3472" s="11">
        <v>0.3</v>
      </c>
      <c r="AG3472" s="11">
        <v>0.23899999999999999</v>
      </c>
    </row>
    <row r="3473" spans="2:33">
      <c r="B3473" s="18"/>
      <c r="C3473" s="14"/>
      <c r="D3473" s="14"/>
      <c r="E3473" s="14"/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35"/>
      <c r="Q3473" s="36" t="s">
        <v>36</v>
      </c>
      <c r="R3473" s="13">
        <v>886</v>
      </c>
      <c r="S3473" s="13">
        <v>362</v>
      </c>
      <c r="T3473" s="13">
        <v>0</v>
      </c>
      <c r="U3473" s="13">
        <v>0</v>
      </c>
      <c r="V3473" s="13">
        <v>0</v>
      </c>
      <c r="W3473" s="37">
        <v>362</v>
      </c>
      <c r="X3473" s="18"/>
      <c r="Y3473" s="14"/>
      <c r="Z3473" s="14"/>
      <c r="AA3473" s="14"/>
      <c r="AB3473" s="14"/>
      <c r="AC3473" s="14"/>
      <c r="AD3473" s="14"/>
      <c r="AE3473" s="14"/>
      <c r="AF3473" s="14"/>
      <c r="AG3473" s="35"/>
    </row>
    <row r="3474" spans="2:33">
      <c r="B3474" s="19"/>
      <c r="P3474" s="16"/>
      <c r="Q3474" s="36" t="s">
        <v>37</v>
      </c>
      <c r="R3474" s="13">
        <v>0</v>
      </c>
      <c r="S3474" s="13">
        <v>930</v>
      </c>
      <c r="T3474" s="13">
        <v>466</v>
      </c>
      <c r="U3474" s="13">
        <v>0</v>
      </c>
      <c r="V3474" s="13">
        <v>0</v>
      </c>
      <c r="W3474" s="37">
        <v>440</v>
      </c>
      <c r="X3474" s="19"/>
      <c r="AG3474" s="16"/>
    </row>
    <row r="3475" spans="2:33">
      <c r="B3475" s="19"/>
      <c r="P3475" s="16"/>
      <c r="Q3475" s="36" t="s">
        <v>38</v>
      </c>
      <c r="R3475" s="13">
        <v>0</v>
      </c>
      <c r="S3475" s="13">
        <v>0</v>
      </c>
      <c r="T3475" s="13">
        <v>0</v>
      </c>
      <c r="U3475" s="13">
        <v>907</v>
      </c>
      <c r="V3475" s="13">
        <v>357</v>
      </c>
      <c r="W3475" s="37">
        <v>396</v>
      </c>
      <c r="X3475" s="19"/>
      <c r="AG3475" s="16"/>
    </row>
    <row r="3476" spans="2:33">
      <c r="B3476" s="19"/>
      <c r="P3476" s="16"/>
      <c r="Q3476" s="36" t="s">
        <v>39</v>
      </c>
      <c r="R3476" s="13">
        <v>0</v>
      </c>
      <c r="S3476" s="13">
        <v>0</v>
      </c>
      <c r="T3476" s="13">
        <v>0</v>
      </c>
      <c r="U3476" s="13">
        <v>985</v>
      </c>
      <c r="V3476" s="13">
        <v>332</v>
      </c>
      <c r="W3476" s="37">
        <v>424</v>
      </c>
      <c r="X3476" s="19"/>
      <c r="AG3476" s="16"/>
    </row>
    <row r="3477" spans="2:33">
      <c r="B3477" s="19"/>
      <c r="P3477" s="16"/>
      <c r="Q3477" s="36" t="s">
        <v>40</v>
      </c>
      <c r="R3477" s="13">
        <v>0</v>
      </c>
      <c r="S3477" s="13">
        <v>0</v>
      </c>
      <c r="T3477" s="13">
        <v>1228</v>
      </c>
      <c r="U3477" s="13">
        <v>528</v>
      </c>
      <c r="V3477" s="13">
        <v>0</v>
      </c>
      <c r="W3477" s="37">
        <v>488</v>
      </c>
      <c r="X3477" s="19"/>
      <c r="AG3477" s="16"/>
    </row>
    <row r="3478" spans="2:33">
      <c r="B3478" s="19"/>
      <c r="P3478" s="16"/>
      <c r="Q3478" s="36" t="s">
        <v>41</v>
      </c>
      <c r="R3478" s="13">
        <v>1724</v>
      </c>
      <c r="S3478" s="13">
        <v>681</v>
      </c>
      <c r="T3478" s="13">
        <v>0</v>
      </c>
      <c r="U3478" s="13">
        <v>0</v>
      </c>
      <c r="V3478" s="13">
        <v>0</v>
      </c>
      <c r="W3478" s="37">
        <v>431</v>
      </c>
      <c r="X3478" s="19"/>
      <c r="AG3478" s="16"/>
    </row>
    <row r="3479" spans="2:33">
      <c r="B3479" s="19"/>
      <c r="P3479" s="16"/>
      <c r="Q3479" s="36" t="s">
        <v>42</v>
      </c>
      <c r="R3479" s="13">
        <v>0</v>
      </c>
      <c r="S3479" s="13">
        <v>0</v>
      </c>
      <c r="T3479" s="13">
        <v>1367</v>
      </c>
      <c r="U3479" s="13">
        <v>460</v>
      </c>
      <c r="V3479" s="13">
        <v>0</v>
      </c>
      <c r="W3479" s="37">
        <v>440</v>
      </c>
      <c r="X3479" s="19"/>
      <c r="AG3479" s="16"/>
    </row>
    <row r="3480" spans="2:33">
      <c r="B3480" s="19"/>
      <c r="P3480" s="16"/>
      <c r="Q3480" s="36" t="s">
        <v>43</v>
      </c>
      <c r="R3480" s="13">
        <v>0</v>
      </c>
      <c r="S3480" s="13">
        <v>0</v>
      </c>
      <c r="T3480" s="13">
        <v>1100</v>
      </c>
      <c r="U3480" s="13">
        <v>489</v>
      </c>
      <c r="V3480" s="13">
        <v>0</v>
      </c>
      <c r="W3480" s="37">
        <v>442</v>
      </c>
      <c r="X3480" s="19"/>
      <c r="AG3480" s="16"/>
    </row>
    <row r="3481" spans="2:33">
      <c r="B3481" s="19"/>
      <c r="P3481" s="16"/>
      <c r="Q3481" s="36" t="s">
        <v>44</v>
      </c>
      <c r="R3481" s="13">
        <v>0</v>
      </c>
      <c r="S3481" s="13">
        <v>0</v>
      </c>
      <c r="T3481" s="13">
        <v>0</v>
      </c>
      <c r="U3481" s="13">
        <v>1040</v>
      </c>
      <c r="V3481" s="13">
        <v>428</v>
      </c>
      <c r="W3481" s="37">
        <v>392</v>
      </c>
      <c r="X3481" s="19"/>
      <c r="AG3481" s="16"/>
    </row>
    <row r="3482" spans="2:33">
      <c r="B3482" s="19"/>
      <c r="P3482" s="16"/>
      <c r="Q3482" s="36" t="s">
        <v>45</v>
      </c>
      <c r="R3482" s="13">
        <v>0</v>
      </c>
      <c r="S3482" s="13">
        <v>894</v>
      </c>
      <c r="T3482" s="13">
        <v>391</v>
      </c>
      <c r="U3482" s="13">
        <v>0</v>
      </c>
      <c r="V3482" s="13">
        <v>0</v>
      </c>
      <c r="W3482" s="37">
        <v>371</v>
      </c>
      <c r="X3482" s="19"/>
      <c r="AG3482" s="16"/>
    </row>
    <row r="3483" spans="2:33" ht="15" thickBot="1">
      <c r="B3483" s="20"/>
      <c r="C3483" s="15"/>
      <c r="D3483" s="15"/>
      <c r="E3483" s="15"/>
      <c r="F3483" s="15"/>
      <c r="G3483" s="15"/>
      <c r="H3483" s="15"/>
      <c r="I3483" s="15"/>
      <c r="J3483" s="15"/>
      <c r="K3483" s="15"/>
      <c r="L3483" s="15"/>
      <c r="M3483" s="15"/>
      <c r="N3483" s="15"/>
      <c r="O3483" s="15"/>
      <c r="P3483" s="17"/>
      <c r="Q3483" s="36" t="s">
        <v>46</v>
      </c>
      <c r="R3483" s="13">
        <v>917</v>
      </c>
      <c r="S3483" s="13">
        <v>335</v>
      </c>
      <c r="T3483" s="13">
        <v>0</v>
      </c>
      <c r="U3483" s="13">
        <v>0</v>
      </c>
      <c r="V3483" s="13">
        <v>0</v>
      </c>
      <c r="W3483" s="37">
        <v>507</v>
      </c>
      <c r="X3483" s="20"/>
      <c r="Y3483" s="15"/>
      <c r="Z3483" s="15"/>
      <c r="AA3483" s="15"/>
      <c r="AB3483" s="15"/>
      <c r="AC3483" s="15"/>
      <c r="AD3483" s="15"/>
      <c r="AE3483" s="15"/>
      <c r="AF3483" s="15"/>
      <c r="AG3483" s="17"/>
    </row>
    <row r="3485" spans="2:33" ht="15" thickBot="1">
      <c r="B3485" s="25" t="s">
        <v>1602</v>
      </c>
      <c r="C3485" s="26" t="s">
        <v>1603</v>
      </c>
      <c r="D3485" s="26" t="s">
        <v>1644</v>
      </c>
      <c r="E3485" s="26" t="s">
        <v>1645</v>
      </c>
      <c r="F3485" s="26" t="s">
        <v>1646</v>
      </c>
      <c r="G3485" s="26" t="s">
        <v>65</v>
      </c>
      <c r="H3485" s="27" t="s">
        <v>66</v>
      </c>
      <c r="I3485" s="26" t="s">
        <v>1647</v>
      </c>
      <c r="J3485" s="27" t="s">
        <v>87</v>
      </c>
      <c r="K3485" s="29">
        <v>27</v>
      </c>
      <c r="L3485" s="29">
        <v>27</v>
      </c>
      <c r="M3485" s="29">
        <v>27</v>
      </c>
      <c r="N3485" s="29">
        <v>27</v>
      </c>
      <c r="O3485" s="29">
        <v>27</v>
      </c>
      <c r="P3485" s="40">
        <v>35</v>
      </c>
      <c r="Q3485" s="1" t="s">
        <v>35</v>
      </c>
      <c r="R3485" s="2">
        <v>1906</v>
      </c>
      <c r="S3485" s="2">
        <v>1245</v>
      </c>
      <c r="T3485" s="2">
        <v>0</v>
      </c>
      <c r="U3485" s="2">
        <v>0</v>
      </c>
      <c r="V3485" s="2">
        <v>0</v>
      </c>
      <c r="W3485" s="2">
        <v>794</v>
      </c>
      <c r="X3485" s="43">
        <f>SUM(R3485:W3496)</f>
        <v>39459</v>
      </c>
      <c r="Y3485" s="10">
        <v>46204</v>
      </c>
      <c r="Z3485" s="11">
        <v>0.21919235148020305</v>
      </c>
      <c r="AA3485" s="11">
        <v>0.18278252950868873</v>
      </c>
      <c r="AB3485" s="11">
        <v>0.14730848520871084</v>
      </c>
      <c r="AC3485" s="11">
        <v>0.12879037718868644</v>
      </c>
      <c r="AD3485" s="11">
        <v>0.11451881259976519</v>
      </c>
      <c r="AE3485" s="11">
        <v>0.13153841003497066</v>
      </c>
      <c r="AF3485" s="11">
        <v>0.3</v>
      </c>
      <c r="AG3485" s="11">
        <v>0.23899999999999999</v>
      </c>
    </row>
    <row r="3486" spans="2:33">
      <c r="B3486" s="18"/>
      <c r="C3486" s="14"/>
      <c r="D3486" s="14"/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35"/>
      <c r="Q3486" s="36" t="s">
        <v>36</v>
      </c>
      <c r="R3486" s="13">
        <v>1417</v>
      </c>
      <c r="S3486" s="13">
        <v>837</v>
      </c>
      <c r="T3486" s="13">
        <v>0</v>
      </c>
      <c r="U3486" s="13">
        <v>0</v>
      </c>
      <c r="V3486" s="13">
        <v>0</v>
      </c>
      <c r="W3486" s="37">
        <v>684</v>
      </c>
      <c r="X3486" s="18"/>
      <c r="Y3486" s="14"/>
      <c r="Z3486" s="14"/>
      <c r="AA3486" s="14"/>
      <c r="AB3486" s="14"/>
      <c r="AC3486" s="14"/>
      <c r="AD3486" s="14"/>
      <c r="AE3486" s="14"/>
      <c r="AF3486" s="14"/>
      <c r="AG3486" s="35"/>
    </row>
    <row r="3487" spans="2:33">
      <c r="B3487" s="19"/>
      <c r="P3487" s="16"/>
      <c r="Q3487" s="36" t="s">
        <v>37</v>
      </c>
      <c r="R3487" s="13">
        <v>0</v>
      </c>
      <c r="S3487" s="13">
        <v>1272</v>
      </c>
      <c r="T3487" s="13">
        <v>758</v>
      </c>
      <c r="U3487" s="13">
        <v>0</v>
      </c>
      <c r="V3487" s="13">
        <v>0</v>
      </c>
      <c r="W3487" s="37">
        <v>679</v>
      </c>
      <c r="X3487" s="19"/>
      <c r="AG3487" s="16"/>
    </row>
    <row r="3488" spans="2:33">
      <c r="B3488" s="19"/>
      <c r="P3488" s="16"/>
      <c r="Q3488" s="36" t="s">
        <v>38</v>
      </c>
      <c r="R3488" s="13">
        <v>0</v>
      </c>
      <c r="S3488" s="13">
        <v>0</v>
      </c>
      <c r="T3488" s="13">
        <v>0</v>
      </c>
      <c r="U3488" s="13">
        <v>922</v>
      </c>
      <c r="V3488" s="13">
        <v>505</v>
      </c>
      <c r="W3488" s="37">
        <v>460</v>
      </c>
      <c r="X3488" s="19"/>
      <c r="AG3488" s="16"/>
    </row>
    <row r="3489" spans="2:33">
      <c r="B3489" s="19"/>
      <c r="P3489" s="16"/>
      <c r="Q3489" s="36" t="s">
        <v>39</v>
      </c>
      <c r="R3489" s="13">
        <v>0</v>
      </c>
      <c r="S3489" s="13">
        <v>0</v>
      </c>
      <c r="T3489" s="13">
        <v>0</v>
      </c>
      <c r="U3489" s="13">
        <v>882</v>
      </c>
      <c r="V3489" s="13">
        <v>524</v>
      </c>
      <c r="W3489" s="37">
        <v>718</v>
      </c>
      <c r="X3489" s="19"/>
      <c r="AG3489" s="16"/>
    </row>
    <row r="3490" spans="2:33">
      <c r="B3490" s="19"/>
      <c r="P3490" s="16"/>
      <c r="Q3490" s="36" t="s">
        <v>40</v>
      </c>
      <c r="R3490" s="13">
        <v>0</v>
      </c>
      <c r="S3490" s="13">
        <v>0</v>
      </c>
      <c r="T3490" s="13">
        <v>908</v>
      </c>
      <c r="U3490" s="13">
        <v>555</v>
      </c>
      <c r="V3490" s="13">
        <v>0</v>
      </c>
      <c r="W3490" s="37">
        <v>740</v>
      </c>
      <c r="X3490" s="19"/>
      <c r="AG3490" s="16"/>
    </row>
    <row r="3491" spans="2:33">
      <c r="B3491" s="19"/>
      <c r="P3491" s="16"/>
      <c r="Q3491" s="36" t="s">
        <v>41</v>
      </c>
      <c r="R3491" s="13">
        <v>1912</v>
      </c>
      <c r="S3491" s="13">
        <v>1333</v>
      </c>
      <c r="T3491" s="13">
        <v>0</v>
      </c>
      <c r="U3491" s="13">
        <v>0</v>
      </c>
      <c r="V3491" s="13">
        <v>0</v>
      </c>
      <c r="W3491" s="37">
        <v>825</v>
      </c>
      <c r="X3491" s="19"/>
      <c r="AG3491" s="16"/>
    </row>
    <row r="3492" spans="2:33">
      <c r="B3492" s="19"/>
      <c r="P3492" s="16"/>
      <c r="Q3492" s="36" t="s">
        <v>42</v>
      </c>
      <c r="R3492" s="13">
        <v>0</v>
      </c>
      <c r="S3492" s="13">
        <v>0</v>
      </c>
      <c r="T3492" s="13">
        <v>2485</v>
      </c>
      <c r="U3492" s="13">
        <v>1533</v>
      </c>
      <c r="V3492" s="13">
        <v>0</v>
      </c>
      <c r="W3492" s="37">
        <v>1233</v>
      </c>
      <c r="X3492" s="19"/>
      <c r="AG3492" s="16"/>
    </row>
    <row r="3493" spans="2:33">
      <c r="B3493" s="19"/>
      <c r="P3493" s="16"/>
      <c r="Q3493" s="36" t="s">
        <v>43</v>
      </c>
      <c r="R3493" s="13">
        <v>0</v>
      </c>
      <c r="S3493" s="13">
        <v>0</v>
      </c>
      <c r="T3493" s="13">
        <v>1841</v>
      </c>
      <c r="U3493" s="13">
        <v>1112</v>
      </c>
      <c r="V3493" s="13">
        <v>0</v>
      </c>
      <c r="W3493" s="37">
        <v>784</v>
      </c>
      <c r="X3493" s="19"/>
      <c r="AG3493" s="16"/>
    </row>
    <row r="3494" spans="2:33">
      <c r="B3494" s="19"/>
      <c r="P3494" s="16"/>
      <c r="Q3494" s="36" t="s">
        <v>44</v>
      </c>
      <c r="R3494" s="13">
        <v>0</v>
      </c>
      <c r="S3494" s="13">
        <v>0</v>
      </c>
      <c r="T3494" s="13">
        <v>0</v>
      </c>
      <c r="U3494" s="13">
        <v>1740</v>
      </c>
      <c r="V3494" s="13">
        <v>928</v>
      </c>
      <c r="W3494" s="37">
        <v>611</v>
      </c>
      <c r="X3494" s="19"/>
      <c r="AG3494" s="16"/>
    </row>
    <row r="3495" spans="2:33">
      <c r="B3495" s="19"/>
      <c r="P3495" s="16"/>
      <c r="Q3495" s="36" t="s">
        <v>45</v>
      </c>
      <c r="R3495" s="13">
        <v>0</v>
      </c>
      <c r="S3495" s="13">
        <v>1781</v>
      </c>
      <c r="T3495" s="13">
        <v>946</v>
      </c>
      <c r="U3495" s="13">
        <v>0</v>
      </c>
      <c r="V3495" s="13">
        <v>0</v>
      </c>
      <c r="W3495" s="37">
        <v>624</v>
      </c>
      <c r="X3495" s="19"/>
      <c r="AG3495" s="16"/>
    </row>
    <row r="3496" spans="2:33" ht="15" thickBot="1">
      <c r="B3496" s="20"/>
      <c r="C3496" s="15"/>
      <c r="D3496" s="15"/>
      <c r="E3496" s="15"/>
      <c r="F3496" s="15"/>
      <c r="G3496" s="15"/>
      <c r="H3496" s="15"/>
      <c r="I3496" s="15"/>
      <c r="J3496" s="15"/>
      <c r="K3496" s="15"/>
      <c r="L3496" s="15"/>
      <c r="M3496" s="15"/>
      <c r="N3496" s="15"/>
      <c r="O3496" s="15"/>
      <c r="P3496" s="17"/>
      <c r="Q3496" s="36" t="s">
        <v>46</v>
      </c>
      <c r="R3496" s="13">
        <v>2041</v>
      </c>
      <c r="S3496" s="13">
        <v>1172</v>
      </c>
      <c r="T3496" s="13">
        <v>0</v>
      </c>
      <c r="U3496" s="13">
        <v>0</v>
      </c>
      <c r="V3496" s="13">
        <v>0</v>
      </c>
      <c r="W3496" s="37">
        <v>752</v>
      </c>
      <c r="X3496" s="20"/>
      <c r="Y3496" s="15"/>
      <c r="Z3496" s="15"/>
      <c r="AA3496" s="15"/>
      <c r="AB3496" s="15"/>
      <c r="AC3496" s="15"/>
      <c r="AD3496" s="15"/>
      <c r="AE3496" s="15"/>
      <c r="AF3496" s="15"/>
      <c r="AG3496" s="17"/>
    </row>
    <row r="3498" spans="2:33" ht="15" thickBot="1">
      <c r="B3498" s="25" t="s">
        <v>1602</v>
      </c>
      <c r="C3498" s="26" t="s">
        <v>1603</v>
      </c>
      <c r="D3498" s="26" t="s">
        <v>1648</v>
      </c>
      <c r="E3498" s="26" t="s">
        <v>1649</v>
      </c>
      <c r="F3498" s="26" t="s">
        <v>1650</v>
      </c>
      <c r="G3498" s="26" t="s">
        <v>511</v>
      </c>
      <c r="H3498" s="27" t="s">
        <v>511</v>
      </c>
      <c r="I3498" s="26" t="s">
        <v>1651</v>
      </c>
      <c r="J3498" s="27" t="s">
        <v>87</v>
      </c>
      <c r="K3498" s="29">
        <v>13</v>
      </c>
      <c r="L3498" s="29">
        <v>13</v>
      </c>
      <c r="M3498" s="29">
        <v>13</v>
      </c>
      <c r="N3498" s="29">
        <v>13</v>
      </c>
      <c r="O3498" s="29">
        <v>13</v>
      </c>
      <c r="P3498" s="40">
        <v>20</v>
      </c>
      <c r="Q3498" s="1" t="s">
        <v>35</v>
      </c>
      <c r="R3498" s="2">
        <v>854</v>
      </c>
      <c r="S3498" s="2">
        <v>211</v>
      </c>
      <c r="T3498" s="2">
        <v>0</v>
      </c>
      <c r="U3498" s="2">
        <v>0</v>
      </c>
      <c r="V3498" s="2">
        <v>0</v>
      </c>
      <c r="W3498" s="2">
        <v>370</v>
      </c>
      <c r="X3498" s="43">
        <f>SUM(R3498:W3509)</f>
        <v>17701</v>
      </c>
      <c r="Y3498" s="10">
        <v>46204</v>
      </c>
      <c r="Z3498" s="11">
        <v>0.21919235148020305</v>
      </c>
      <c r="AA3498" s="11">
        <v>0.18278252950868873</v>
      </c>
      <c r="AB3498" s="11">
        <v>0.14730848520871084</v>
      </c>
      <c r="AC3498" s="11">
        <v>0.12879037718868644</v>
      </c>
      <c r="AD3498" s="11">
        <v>0.11451881259976519</v>
      </c>
      <c r="AE3498" s="11">
        <v>0.13153841003497066</v>
      </c>
      <c r="AF3498" s="11">
        <v>0.3</v>
      </c>
      <c r="AG3498" s="11">
        <v>0.23899999999999999</v>
      </c>
    </row>
    <row r="3499" spans="2:33">
      <c r="B3499" s="18"/>
      <c r="C3499" s="14"/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35"/>
      <c r="Q3499" s="36" t="s">
        <v>36</v>
      </c>
      <c r="R3499" s="13">
        <v>744</v>
      </c>
      <c r="S3499" s="13">
        <v>187</v>
      </c>
      <c r="T3499" s="13">
        <v>0</v>
      </c>
      <c r="U3499" s="13">
        <v>0</v>
      </c>
      <c r="V3499" s="13">
        <v>0</v>
      </c>
      <c r="W3499" s="37">
        <v>300</v>
      </c>
      <c r="X3499" s="18"/>
      <c r="Y3499" s="14"/>
      <c r="Z3499" s="14"/>
      <c r="AA3499" s="14"/>
      <c r="AB3499" s="14"/>
      <c r="AC3499" s="14"/>
      <c r="AD3499" s="14"/>
      <c r="AE3499" s="14"/>
      <c r="AF3499" s="14"/>
      <c r="AG3499" s="35"/>
    </row>
    <row r="3500" spans="2:33">
      <c r="B3500" s="19"/>
      <c r="P3500" s="16"/>
      <c r="Q3500" s="36" t="s">
        <v>37</v>
      </c>
      <c r="R3500" s="13">
        <v>0</v>
      </c>
      <c r="S3500" s="13">
        <v>691</v>
      </c>
      <c r="T3500" s="13">
        <v>254</v>
      </c>
      <c r="U3500" s="13">
        <v>0</v>
      </c>
      <c r="V3500" s="13">
        <v>0</v>
      </c>
      <c r="W3500" s="37">
        <v>336</v>
      </c>
      <c r="X3500" s="19"/>
      <c r="AG3500" s="16"/>
    </row>
    <row r="3501" spans="2:33">
      <c r="B3501" s="19"/>
      <c r="P3501" s="16"/>
      <c r="Q3501" s="36" t="s">
        <v>38</v>
      </c>
      <c r="R3501" s="13">
        <v>0</v>
      </c>
      <c r="S3501" s="13">
        <v>0</v>
      </c>
      <c r="T3501" s="13">
        <v>0</v>
      </c>
      <c r="U3501" s="13">
        <v>640</v>
      </c>
      <c r="V3501" s="13">
        <v>246</v>
      </c>
      <c r="W3501" s="37">
        <v>281</v>
      </c>
      <c r="X3501" s="19"/>
      <c r="AG3501" s="16"/>
    </row>
    <row r="3502" spans="2:33">
      <c r="B3502" s="19"/>
      <c r="P3502" s="16"/>
      <c r="Q3502" s="36" t="s">
        <v>39</v>
      </c>
      <c r="R3502" s="13">
        <v>0</v>
      </c>
      <c r="S3502" s="13">
        <v>0</v>
      </c>
      <c r="T3502" s="13">
        <v>0</v>
      </c>
      <c r="U3502" s="13">
        <v>680</v>
      </c>
      <c r="V3502" s="13">
        <v>248</v>
      </c>
      <c r="W3502" s="37">
        <v>347</v>
      </c>
      <c r="X3502" s="19"/>
      <c r="AG3502" s="16"/>
    </row>
    <row r="3503" spans="2:33">
      <c r="B3503" s="19"/>
      <c r="P3503" s="16"/>
      <c r="Q3503" s="36" t="s">
        <v>40</v>
      </c>
      <c r="R3503" s="13">
        <v>0</v>
      </c>
      <c r="S3503" s="13">
        <v>0</v>
      </c>
      <c r="T3503" s="13">
        <v>865</v>
      </c>
      <c r="U3503" s="13">
        <v>253</v>
      </c>
      <c r="V3503" s="13">
        <v>0</v>
      </c>
      <c r="W3503" s="37">
        <v>403</v>
      </c>
      <c r="X3503" s="19"/>
      <c r="AG3503" s="16"/>
    </row>
    <row r="3504" spans="2:33">
      <c r="B3504" s="19"/>
      <c r="P3504" s="16"/>
      <c r="Q3504" s="36" t="s">
        <v>41</v>
      </c>
      <c r="R3504" s="13">
        <v>1181</v>
      </c>
      <c r="S3504" s="13">
        <v>401</v>
      </c>
      <c r="T3504" s="13">
        <v>0</v>
      </c>
      <c r="U3504" s="13">
        <v>0</v>
      </c>
      <c r="V3504" s="13">
        <v>0</v>
      </c>
      <c r="W3504" s="37">
        <v>435</v>
      </c>
      <c r="X3504" s="19"/>
      <c r="AG3504" s="16"/>
    </row>
    <row r="3505" spans="2:33">
      <c r="B3505" s="19"/>
      <c r="P3505" s="16"/>
      <c r="Q3505" s="36" t="s">
        <v>42</v>
      </c>
      <c r="R3505" s="13">
        <v>0</v>
      </c>
      <c r="S3505" s="13">
        <v>0</v>
      </c>
      <c r="T3505" s="13">
        <v>1079</v>
      </c>
      <c r="U3505" s="13">
        <v>423</v>
      </c>
      <c r="V3505" s="13">
        <v>0</v>
      </c>
      <c r="W3505" s="37">
        <v>480</v>
      </c>
      <c r="X3505" s="19"/>
      <c r="AG3505" s="16"/>
    </row>
    <row r="3506" spans="2:33">
      <c r="B3506" s="19"/>
      <c r="P3506" s="16"/>
      <c r="Q3506" s="36" t="s">
        <v>43</v>
      </c>
      <c r="R3506" s="13">
        <v>0</v>
      </c>
      <c r="S3506" s="13">
        <v>0</v>
      </c>
      <c r="T3506" s="13">
        <v>823</v>
      </c>
      <c r="U3506" s="13">
        <v>289</v>
      </c>
      <c r="V3506" s="13">
        <v>0</v>
      </c>
      <c r="W3506" s="37">
        <v>331</v>
      </c>
      <c r="X3506" s="19"/>
      <c r="AG3506" s="16"/>
    </row>
    <row r="3507" spans="2:33">
      <c r="B3507" s="19"/>
      <c r="P3507" s="16"/>
      <c r="Q3507" s="36" t="s">
        <v>44</v>
      </c>
      <c r="R3507" s="13">
        <v>0</v>
      </c>
      <c r="S3507" s="13">
        <v>0</v>
      </c>
      <c r="T3507" s="13">
        <v>0</v>
      </c>
      <c r="U3507" s="13">
        <v>802</v>
      </c>
      <c r="V3507" s="13">
        <v>321</v>
      </c>
      <c r="W3507" s="37">
        <v>307</v>
      </c>
      <c r="X3507" s="19"/>
      <c r="AG3507" s="16"/>
    </row>
    <row r="3508" spans="2:33">
      <c r="B3508" s="19"/>
      <c r="P3508" s="16"/>
      <c r="Q3508" s="36" t="s">
        <v>45</v>
      </c>
      <c r="R3508" s="13">
        <v>0</v>
      </c>
      <c r="S3508" s="13">
        <v>684</v>
      </c>
      <c r="T3508" s="13">
        <v>252</v>
      </c>
      <c r="U3508" s="13">
        <v>0</v>
      </c>
      <c r="V3508" s="13">
        <v>0</v>
      </c>
      <c r="W3508" s="37">
        <v>363</v>
      </c>
      <c r="X3508" s="19"/>
      <c r="AG3508" s="16"/>
    </row>
    <row r="3509" spans="2:33" ht="15" thickBot="1">
      <c r="B3509" s="20"/>
      <c r="C3509" s="15"/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7"/>
      <c r="Q3509" s="36" t="s">
        <v>46</v>
      </c>
      <c r="R3509" s="13">
        <v>879</v>
      </c>
      <c r="S3509" s="13">
        <v>258</v>
      </c>
      <c r="T3509" s="13">
        <v>0</v>
      </c>
      <c r="U3509" s="13">
        <v>0</v>
      </c>
      <c r="V3509" s="13">
        <v>0</v>
      </c>
      <c r="W3509" s="37">
        <v>483</v>
      </c>
      <c r="X3509" s="20"/>
      <c r="Y3509" s="15"/>
      <c r="Z3509" s="15"/>
      <c r="AA3509" s="15"/>
      <c r="AB3509" s="15"/>
      <c r="AC3509" s="15"/>
      <c r="AD3509" s="15"/>
      <c r="AE3509" s="15"/>
      <c r="AF3509" s="15"/>
      <c r="AG3509" s="17"/>
    </row>
    <row r="3511" spans="2:33" ht="15" thickBot="1">
      <c r="B3511" s="25" t="s">
        <v>1602</v>
      </c>
      <c r="C3511" s="26" t="s">
        <v>1603</v>
      </c>
      <c r="D3511" s="26" t="s">
        <v>1652</v>
      </c>
      <c r="E3511" s="26" t="s">
        <v>1653</v>
      </c>
      <c r="F3511" s="26" t="s">
        <v>877</v>
      </c>
      <c r="G3511" s="26" t="s">
        <v>878</v>
      </c>
      <c r="H3511" s="27" t="s">
        <v>607</v>
      </c>
      <c r="I3511" s="26" t="s">
        <v>1654</v>
      </c>
      <c r="J3511" s="27" t="s">
        <v>87</v>
      </c>
      <c r="K3511" s="29">
        <v>15</v>
      </c>
      <c r="L3511" s="29">
        <v>15</v>
      </c>
      <c r="M3511" s="29">
        <v>15</v>
      </c>
      <c r="N3511" s="29">
        <v>15</v>
      </c>
      <c r="O3511" s="29">
        <v>15</v>
      </c>
      <c r="P3511" s="40">
        <v>17</v>
      </c>
      <c r="Q3511" s="1" t="s">
        <v>35</v>
      </c>
      <c r="R3511" s="2">
        <v>2161</v>
      </c>
      <c r="S3511" s="2">
        <v>1267</v>
      </c>
      <c r="T3511" s="2">
        <v>0</v>
      </c>
      <c r="U3511" s="2">
        <v>0</v>
      </c>
      <c r="V3511" s="2">
        <v>0</v>
      </c>
      <c r="W3511" s="2">
        <v>893</v>
      </c>
      <c r="X3511" s="43">
        <f>SUM(R3511:W3523)</f>
        <v>33446</v>
      </c>
      <c r="Y3511" s="10">
        <v>46204</v>
      </c>
      <c r="Z3511" s="11">
        <v>0.21919235148020305</v>
      </c>
      <c r="AA3511" s="11">
        <v>0.18278252950868873</v>
      </c>
      <c r="AB3511" s="11">
        <v>0.14730848520871084</v>
      </c>
      <c r="AC3511" s="11">
        <v>0.12879037718868644</v>
      </c>
      <c r="AD3511" s="11">
        <v>0.11451881259976519</v>
      </c>
      <c r="AE3511" s="11">
        <v>0.13153841003497066</v>
      </c>
      <c r="AF3511" s="11">
        <v>0.3</v>
      </c>
      <c r="AG3511" s="11">
        <v>0.23899999999999999</v>
      </c>
    </row>
    <row r="3512" spans="2:33">
      <c r="B3512" s="18"/>
      <c r="C3512" s="14"/>
      <c r="D3512" s="14"/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35"/>
      <c r="Q3512" s="36" t="s">
        <v>36</v>
      </c>
      <c r="R3512" s="13">
        <v>1642</v>
      </c>
      <c r="S3512" s="13">
        <v>928</v>
      </c>
      <c r="T3512" s="13">
        <v>0</v>
      </c>
      <c r="U3512" s="13">
        <v>0</v>
      </c>
      <c r="V3512" s="13">
        <v>0</v>
      </c>
      <c r="W3512" s="37">
        <v>695</v>
      </c>
      <c r="X3512" s="18"/>
      <c r="Y3512" s="14"/>
      <c r="Z3512" s="14"/>
      <c r="AA3512" s="14"/>
      <c r="AB3512" s="14"/>
      <c r="AC3512" s="14"/>
      <c r="AD3512" s="14"/>
      <c r="AE3512" s="14"/>
      <c r="AF3512" s="14"/>
      <c r="AG3512" s="35"/>
    </row>
    <row r="3513" spans="2:33">
      <c r="B3513" s="19"/>
      <c r="P3513" s="16"/>
      <c r="Q3513" s="36" t="s">
        <v>437</v>
      </c>
      <c r="R3513" s="13">
        <v>0</v>
      </c>
      <c r="S3513" s="13">
        <v>104</v>
      </c>
      <c r="T3513" s="13">
        <v>56</v>
      </c>
      <c r="U3513" s="13">
        <v>0</v>
      </c>
      <c r="V3513" s="13">
        <v>0</v>
      </c>
      <c r="W3513" s="37">
        <v>77</v>
      </c>
      <c r="X3513" s="19"/>
      <c r="AG3513" s="16"/>
    </row>
    <row r="3514" spans="2:33">
      <c r="B3514" s="19"/>
      <c r="P3514" s="16"/>
      <c r="Q3514" s="36" t="s">
        <v>167</v>
      </c>
      <c r="R3514" s="13">
        <v>0</v>
      </c>
      <c r="S3514" s="13">
        <v>1717</v>
      </c>
      <c r="T3514" s="13">
        <v>941</v>
      </c>
      <c r="U3514" s="13">
        <v>0</v>
      </c>
      <c r="V3514" s="13">
        <v>0</v>
      </c>
      <c r="W3514" s="37">
        <v>692</v>
      </c>
      <c r="X3514" s="19"/>
      <c r="AG3514" s="16"/>
    </row>
    <row r="3515" spans="2:33">
      <c r="B3515" s="19"/>
      <c r="P3515" s="16"/>
      <c r="Q3515" s="36" t="s">
        <v>38</v>
      </c>
      <c r="R3515" s="13">
        <v>0</v>
      </c>
      <c r="S3515" s="13">
        <v>0</v>
      </c>
      <c r="T3515" s="13">
        <v>0</v>
      </c>
      <c r="U3515" s="13">
        <v>969</v>
      </c>
      <c r="V3515" s="13">
        <v>563</v>
      </c>
      <c r="W3515" s="37">
        <v>414</v>
      </c>
      <c r="X3515" s="19"/>
      <c r="AG3515" s="16"/>
    </row>
    <row r="3516" spans="2:33">
      <c r="B3516" s="19"/>
      <c r="P3516" s="16"/>
      <c r="Q3516" s="36" t="s">
        <v>39</v>
      </c>
      <c r="R3516" s="13">
        <v>0</v>
      </c>
      <c r="S3516" s="13">
        <v>0</v>
      </c>
      <c r="T3516" s="13">
        <v>0</v>
      </c>
      <c r="U3516" s="13">
        <v>754</v>
      </c>
      <c r="V3516" s="13">
        <v>432</v>
      </c>
      <c r="W3516" s="37">
        <v>462</v>
      </c>
      <c r="X3516" s="19"/>
      <c r="AG3516" s="16"/>
    </row>
    <row r="3517" spans="2:33">
      <c r="B3517" s="19"/>
      <c r="P3517" s="16"/>
      <c r="Q3517" s="36" t="s">
        <v>40</v>
      </c>
      <c r="R3517" s="13">
        <v>0</v>
      </c>
      <c r="S3517" s="13">
        <v>0</v>
      </c>
      <c r="T3517" s="13">
        <v>975</v>
      </c>
      <c r="U3517" s="13">
        <v>579</v>
      </c>
      <c r="V3517" s="13">
        <v>0</v>
      </c>
      <c r="W3517" s="37">
        <v>503</v>
      </c>
      <c r="X3517" s="19"/>
      <c r="AG3517" s="16"/>
    </row>
    <row r="3518" spans="2:33">
      <c r="B3518" s="19"/>
      <c r="P3518" s="16"/>
      <c r="Q3518" s="36" t="s">
        <v>41</v>
      </c>
      <c r="R3518" s="13">
        <v>1623</v>
      </c>
      <c r="S3518" s="13">
        <v>947</v>
      </c>
      <c r="T3518" s="13">
        <v>0</v>
      </c>
      <c r="U3518" s="13">
        <v>0</v>
      </c>
      <c r="V3518" s="13">
        <v>0</v>
      </c>
      <c r="W3518" s="37">
        <v>618</v>
      </c>
      <c r="X3518" s="19"/>
      <c r="AG3518" s="16"/>
    </row>
    <row r="3519" spans="2:33">
      <c r="B3519" s="19"/>
      <c r="P3519" s="16"/>
      <c r="Q3519" s="36" t="s">
        <v>42</v>
      </c>
      <c r="R3519" s="13">
        <v>0</v>
      </c>
      <c r="S3519" s="13">
        <v>0</v>
      </c>
      <c r="T3519" s="13">
        <v>1528</v>
      </c>
      <c r="U3519" s="13">
        <v>876</v>
      </c>
      <c r="V3519" s="13">
        <v>0</v>
      </c>
      <c r="W3519" s="37">
        <v>853</v>
      </c>
      <c r="X3519" s="19"/>
      <c r="AG3519" s="16"/>
    </row>
    <row r="3520" spans="2:33">
      <c r="B3520" s="19"/>
      <c r="P3520" s="16"/>
      <c r="Q3520" s="36" t="s">
        <v>43</v>
      </c>
      <c r="R3520" s="13">
        <v>0</v>
      </c>
      <c r="S3520" s="13">
        <v>0</v>
      </c>
      <c r="T3520" s="13">
        <v>1051</v>
      </c>
      <c r="U3520" s="13">
        <v>611</v>
      </c>
      <c r="V3520" s="13">
        <v>0</v>
      </c>
      <c r="W3520" s="37">
        <v>603</v>
      </c>
      <c r="X3520" s="19"/>
      <c r="AG3520" s="16"/>
    </row>
    <row r="3521" spans="2:33">
      <c r="B3521" s="19"/>
      <c r="P3521" s="16"/>
      <c r="Q3521" s="36" t="s">
        <v>44</v>
      </c>
      <c r="R3521" s="13">
        <v>0</v>
      </c>
      <c r="S3521" s="13">
        <v>0</v>
      </c>
      <c r="T3521" s="13">
        <v>0</v>
      </c>
      <c r="U3521" s="13">
        <v>770</v>
      </c>
      <c r="V3521" s="13">
        <v>450</v>
      </c>
      <c r="W3521" s="37">
        <v>345</v>
      </c>
      <c r="X3521" s="19"/>
      <c r="AG3521" s="16"/>
    </row>
    <row r="3522" spans="2:33">
      <c r="B3522" s="19"/>
      <c r="P3522" s="16"/>
      <c r="Q3522" s="36" t="s">
        <v>45</v>
      </c>
      <c r="R3522" s="13">
        <v>0</v>
      </c>
      <c r="S3522" s="13">
        <v>1184</v>
      </c>
      <c r="T3522" s="13">
        <v>694</v>
      </c>
      <c r="U3522" s="13">
        <v>0</v>
      </c>
      <c r="V3522" s="13">
        <v>0</v>
      </c>
      <c r="W3522" s="37">
        <v>636</v>
      </c>
      <c r="X3522" s="19"/>
      <c r="AG3522" s="16"/>
    </row>
    <row r="3523" spans="2:33" ht="15" thickBot="1">
      <c r="B3523" s="20"/>
      <c r="C3523" s="15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7"/>
      <c r="Q3523" s="36" t="s">
        <v>46</v>
      </c>
      <c r="R3523" s="13">
        <v>1767</v>
      </c>
      <c r="S3523" s="13">
        <v>1008</v>
      </c>
      <c r="T3523" s="13">
        <v>0</v>
      </c>
      <c r="U3523" s="13">
        <v>0</v>
      </c>
      <c r="V3523" s="13">
        <v>0</v>
      </c>
      <c r="W3523" s="37">
        <v>1058</v>
      </c>
      <c r="X3523" s="20"/>
      <c r="Y3523" s="15"/>
      <c r="Z3523" s="15"/>
      <c r="AA3523" s="15"/>
      <c r="AB3523" s="15"/>
      <c r="AC3523" s="15"/>
      <c r="AD3523" s="15"/>
      <c r="AE3523" s="15"/>
      <c r="AF3523" s="15"/>
      <c r="AG3523" s="17"/>
    </row>
    <row r="3525" spans="2:33" ht="15" thickBot="1">
      <c r="B3525" s="25" t="s">
        <v>1602</v>
      </c>
      <c r="C3525" s="26" t="s">
        <v>1603</v>
      </c>
      <c r="D3525" s="26" t="s">
        <v>1655</v>
      </c>
      <c r="E3525" s="26" t="s">
        <v>1656</v>
      </c>
      <c r="F3525" s="26" t="s">
        <v>1657</v>
      </c>
      <c r="G3525" s="26" t="s">
        <v>1658</v>
      </c>
      <c r="H3525" s="27" t="s">
        <v>662</v>
      </c>
      <c r="I3525" s="26" t="s">
        <v>1659</v>
      </c>
      <c r="J3525" s="27" t="s">
        <v>87</v>
      </c>
      <c r="K3525" s="29">
        <v>20</v>
      </c>
      <c r="L3525" s="29">
        <v>20</v>
      </c>
      <c r="M3525" s="29">
        <v>20</v>
      </c>
      <c r="N3525" s="29">
        <v>20</v>
      </c>
      <c r="O3525" s="29">
        <v>20</v>
      </c>
      <c r="P3525" s="40">
        <v>41.390998840332003</v>
      </c>
      <c r="Q3525" s="1" t="s">
        <v>1660</v>
      </c>
      <c r="R3525" s="2">
        <v>1071</v>
      </c>
      <c r="S3525" s="2">
        <v>636</v>
      </c>
      <c r="T3525" s="2">
        <v>0</v>
      </c>
      <c r="U3525" s="2">
        <v>0</v>
      </c>
      <c r="V3525" s="2">
        <v>0</v>
      </c>
      <c r="W3525" s="2">
        <v>486</v>
      </c>
      <c r="X3525" s="43">
        <f>SUM(R3525:W3536)</f>
        <v>25409</v>
      </c>
      <c r="Y3525" s="10">
        <v>46204</v>
      </c>
      <c r="Z3525" s="11">
        <v>0.21919235148020305</v>
      </c>
      <c r="AA3525" s="11">
        <v>0.18278252950868873</v>
      </c>
      <c r="AB3525" s="11">
        <v>0.14730848520871084</v>
      </c>
      <c r="AC3525" s="11">
        <v>0.12879037718868644</v>
      </c>
      <c r="AD3525" s="11">
        <v>0.11451881259976519</v>
      </c>
      <c r="AE3525" s="11">
        <v>0.13153841003497066</v>
      </c>
      <c r="AF3525" s="11">
        <v>0.3</v>
      </c>
      <c r="AG3525" s="11">
        <v>0.23899999999999999</v>
      </c>
    </row>
    <row r="3526" spans="2:33">
      <c r="B3526" s="18"/>
      <c r="C3526" s="14"/>
      <c r="D3526" s="14"/>
      <c r="E3526" s="14"/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35"/>
      <c r="Q3526" s="36" t="s">
        <v>1661</v>
      </c>
      <c r="R3526" s="13">
        <v>544</v>
      </c>
      <c r="S3526" s="13">
        <v>487</v>
      </c>
      <c r="T3526" s="13">
        <v>110</v>
      </c>
      <c r="U3526" s="13">
        <v>0</v>
      </c>
      <c r="V3526" s="13">
        <v>0</v>
      </c>
      <c r="W3526" s="37">
        <v>473</v>
      </c>
      <c r="X3526" s="18"/>
      <c r="Y3526" s="14"/>
      <c r="Z3526" s="14"/>
      <c r="AA3526" s="14"/>
      <c r="AB3526" s="14"/>
      <c r="AC3526" s="14"/>
      <c r="AD3526" s="14"/>
      <c r="AE3526" s="14"/>
      <c r="AF3526" s="14"/>
      <c r="AG3526" s="35"/>
    </row>
    <row r="3527" spans="2:33">
      <c r="B3527" s="19"/>
      <c r="P3527" s="16"/>
      <c r="Q3527" s="36" t="s">
        <v>1662</v>
      </c>
      <c r="R3527" s="13">
        <v>0</v>
      </c>
      <c r="S3527" s="13">
        <v>714</v>
      </c>
      <c r="T3527" s="13">
        <v>443</v>
      </c>
      <c r="U3527" s="13">
        <v>227</v>
      </c>
      <c r="V3527" s="13">
        <v>127</v>
      </c>
      <c r="W3527" s="37">
        <v>648</v>
      </c>
      <c r="X3527" s="19"/>
      <c r="AG3527" s="16"/>
    </row>
    <row r="3528" spans="2:33">
      <c r="B3528" s="19"/>
      <c r="P3528" s="16"/>
      <c r="Q3528" s="36" t="s">
        <v>1370</v>
      </c>
      <c r="R3528" s="13">
        <v>0</v>
      </c>
      <c r="S3528" s="13">
        <v>0</v>
      </c>
      <c r="T3528" s="13">
        <v>0</v>
      </c>
      <c r="U3528" s="13">
        <v>871</v>
      </c>
      <c r="V3528" s="13">
        <v>478</v>
      </c>
      <c r="W3528" s="37">
        <v>488</v>
      </c>
      <c r="X3528" s="19"/>
      <c r="AG3528" s="16"/>
    </row>
    <row r="3529" spans="2:33">
      <c r="B3529" s="19"/>
      <c r="P3529" s="16"/>
      <c r="Q3529" s="36" t="s">
        <v>1663</v>
      </c>
      <c r="R3529" s="13">
        <v>0</v>
      </c>
      <c r="S3529" s="13">
        <v>0</v>
      </c>
      <c r="T3529" s="13">
        <v>209</v>
      </c>
      <c r="U3529" s="13">
        <v>844</v>
      </c>
      <c r="V3529" s="13">
        <v>409</v>
      </c>
      <c r="W3529" s="37">
        <v>541</v>
      </c>
      <c r="X3529" s="19"/>
      <c r="AG3529" s="16"/>
    </row>
    <row r="3530" spans="2:33">
      <c r="B3530" s="19"/>
      <c r="P3530" s="16"/>
      <c r="Q3530" s="36" t="s">
        <v>1664</v>
      </c>
      <c r="R3530" s="13">
        <v>266</v>
      </c>
      <c r="S3530" s="13">
        <v>153</v>
      </c>
      <c r="T3530" s="13">
        <v>909</v>
      </c>
      <c r="U3530" s="13">
        <v>566</v>
      </c>
      <c r="V3530" s="13">
        <v>0</v>
      </c>
      <c r="W3530" s="37">
        <v>565</v>
      </c>
      <c r="X3530" s="19"/>
      <c r="AG3530" s="16"/>
    </row>
    <row r="3531" spans="2:33">
      <c r="B3531" s="19"/>
      <c r="P3531" s="16"/>
      <c r="Q3531" s="36" t="s">
        <v>1374</v>
      </c>
      <c r="R3531" s="13">
        <v>868</v>
      </c>
      <c r="S3531" s="13">
        <v>491</v>
      </c>
      <c r="T3531" s="13">
        <v>334</v>
      </c>
      <c r="U3531" s="13">
        <v>213</v>
      </c>
      <c r="V3531" s="13">
        <v>0</v>
      </c>
      <c r="W3531" s="37">
        <v>601</v>
      </c>
      <c r="X3531" s="19"/>
      <c r="AG3531" s="16"/>
    </row>
    <row r="3532" spans="2:33">
      <c r="B3532" s="19"/>
      <c r="P3532" s="16"/>
      <c r="Q3532" s="36" t="s">
        <v>1375</v>
      </c>
      <c r="R3532" s="13">
        <v>0</v>
      </c>
      <c r="S3532" s="13">
        <v>0</v>
      </c>
      <c r="T3532" s="13">
        <v>1120</v>
      </c>
      <c r="U3532" s="13">
        <v>644</v>
      </c>
      <c r="V3532" s="13">
        <v>0</v>
      </c>
      <c r="W3532" s="37">
        <v>693</v>
      </c>
      <c r="X3532" s="19"/>
      <c r="AG3532" s="16"/>
    </row>
    <row r="3533" spans="2:33">
      <c r="B3533" s="19"/>
      <c r="P3533" s="16"/>
      <c r="Q3533" s="36" t="s">
        <v>1376</v>
      </c>
      <c r="R3533" s="13">
        <v>0</v>
      </c>
      <c r="S3533" s="13">
        <v>0</v>
      </c>
      <c r="T3533" s="13">
        <v>676</v>
      </c>
      <c r="U3533" s="13">
        <v>626</v>
      </c>
      <c r="V3533" s="13">
        <v>124</v>
      </c>
      <c r="W3533" s="37">
        <v>513</v>
      </c>
      <c r="X3533" s="19"/>
      <c r="AG3533" s="16"/>
    </row>
    <row r="3534" spans="2:33">
      <c r="B3534" s="19"/>
      <c r="P3534" s="16"/>
      <c r="Q3534" s="36" t="s">
        <v>1665</v>
      </c>
      <c r="R3534" s="13">
        <v>0</v>
      </c>
      <c r="S3534" s="13">
        <v>219</v>
      </c>
      <c r="T3534" s="13">
        <v>117</v>
      </c>
      <c r="U3534" s="13">
        <v>775</v>
      </c>
      <c r="V3534" s="13">
        <v>428</v>
      </c>
      <c r="W3534" s="37">
        <v>473</v>
      </c>
      <c r="X3534" s="19"/>
      <c r="AG3534" s="16"/>
    </row>
    <row r="3535" spans="2:33">
      <c r="B3535" s="19"/>
      <c r="P3535" s="16"/>
      <c r="Q3535" s="36" t="s">
        <v>1666</v>
      </c>
      <c r="R3535" s="13">
        <v>244</v>
      </c>
      <c r="S3535" s="13">
        <v>816</v>
      </c>
      <c r="T3535" s="13">
        <v>362</v>
      </c>
      <c r="U3535" s="13">
        <v>0</v>
      </c>
      <c r="V3535" s="13">
        <v>0</v>
      </c>
      <c r="W3535" s="37">
        <v>622</v>
      </c>
      <c r="X3535" s="19"/>
      <c r="AG3535" s="16"/>
    </row>
    <row r="3536" spans="2:33" ht="15" thickBot="1">
      <c r="B3536" s="20"/>
      <c r="C3536" s="15"/>
      <c r="D3536" s="15"/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7"/>
      <c r="Q3536" s="36" t="s">
        <v>1667</v>
      </c>
      <c r="R3536" s="13">
        <v>892</v>
      </c>
      <c r="S3536" s="13">
        <v>497</v>
      </c>
      <c r="T3536" s="13">
        <v>0</v>
      </c>
      <c r="U3536" s="13">
        <v>0</v>
      </c>
      <c r="V3536" s="13">
        <v>0</v>
      </c>
      <c r="W3536" s="37">
        <v>796</v>
      </c>
      <c r="X3536" s="20"/>
      <c r="Y3536" s="15"/>
      <c r="Z3536" s="15"/>
      <c r="AA3536" s="15"/>
      <c r="AB3536" s="15"/>
      <c r="AC3536" s="15"/>
      <c r="AD3536" s="15"/>
      <c r="AE3536" s="15"/>
      <c r="AF3536" s="15"/>
      <c r="AG3536" s="17"/>
    </row>
    <row r="3538" spans="2:33" ht="15" thickBot="1">
      <c r="B3538" s="25" t="s">
        <v>1602</v>
      </c>
      <c r="C3538" s="26" t="s">
        <v>1603</v>
      </c>
      <c r="D3538" s="26" t="s">
        <v>1668</v>
      </c>
      <c r="E3538" s="26" t="s">
        <v>1669</v>
      </c>
      <c r="F3538" s="26" t="s">
        <v>1670</v>
      </c>
      <c r="G3538" s="26" t="s">
        <v>1671</v>
      </c>
      <c r="H3538" s="27" t="s">
        <v>1671</v>
      </c>
      <c r="I3538" s="26" t="s">
        <v>1672</v>
      </c>
      <c r="J3538" s="27" t="s">
        <v>87</v>
      </c>
      <c r="K3538" s="29">
        <v>15</v>
      </c>
      <c r="L3538" s="29">
        <v>15</v>
      </c>
      <c r="M3538" s="29">
        <v>15</v>
      </c>
      <c r="N3538" s="29">
        <v>15</v>
      </c>
      <c r="O3538" s="29">
        <v>15</v>
      </c>
      <c r="P3538" s="40">
        <v>20</v>
      </c>
      <c r="Q3538" s="1" t="s">
        <v>35</v>
      </c>
      <c r="R3538" s="2">
        <v>1400</v>
      </c>
      <c r="S3538" s="2">
        <v>780</v>
      </c>
      <c r="T3538" s="2">
        <v>0</v>
      </c>
      <c r="U3538" s="2">
        <v>0</v>
      </c>
      <c r="V3538" s="2">
        <v>0</v>
      </c>
      <c r="W3538" s="2">
        <v>814</v>
      </c>
      <c r="X3538" s="43">
        <f>SUM(R3538:W3549)</f>
        <v>27640</v>
      </c>
      <c r="Y3538" s="10">
        <v>46204</v>
      </c>
      <c r="Z3538" s="11">
        <v>0.21919235148020305</v>
      </c>
      <c r="AA3538" s="11">
        <v>0.18278252950868873</v>
      </c>
      <c r="AB3538" s="11">
        <v>0.14730848520871084</v>
      </c>
      <c r="AC3538" s="11">
        <v>0.12879037718868644</v>
      </c>
      <c r="AD3538" s="11">
        <v>0.11451881259976519</v>
      </c>
      <c r="AE3538" s="11">
        <v>0.13153841003497066</v>
      </c>
      <c r="AF3538" s="11">
        <v>0.3</v>
      </c>
      <c r="AG3538" s="11">
        <v>0.23899999999999999</v>
      </c>
    </row>
    <row r="3539" spans="2:33">
      <c r="B3539" s="18"/>
      <c r="C3539" s="14"/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35"/>
      <c r="Q3539" s="36" t="s">
        <v>36</v>
      </c>
      <c r="R3539" s="13">
        <v>1148</v>
      </c>
      <c r="S3539" s="13">
        <v>601</v>
      </c>
      <c r="T3539" s="13">
        <v>0</v>
      </c>
      <c r="U3539" s="13">
        <v>0</v>
      </c>
      <c r="V3539" s="13">
        <v>0</v>
      </c>
      <c r="W3539" s="37">
        <v>678</v>
      </c>
      <c r="X3539" s="18"/>
      <c r="Y3539" s="14"/>
      <c r="Z3539" s="14"/>
      <c r="AA3539" s="14"/>
      <c r="AB3539" s="14"/>
      <c r="AC3539" s="14"/>
      <c r="AD3539" s="14"/>
      <c r="AE3539" s="14"/>
      <c r="AF3539" s="14"/>
      <c r="AG3539" s="35"/>
    </row>
    <row r="3540" spans="2:33">
      <c r="B3540" s="19"/>
      <c r="P3540" s="16"/>
      <c r="Q3540" s="36" t="s">
        <v>37</v>
      </c>
      <c r="R3540" s="13">
        <v>0</v>
      </c>
      <c r="S3540" s="13">
        <v>1410</v>
      </c>
      <c r="T3540" s="13">
        <v>742</v>
      </c>
      <c r="U3540" s="13">
        <v>0</v>
      </c>
      <c r="V3540" s="13">
        <v>0</v>
      </c>
      <c r="W3540" s="37">
        <v>693</v>
      </c>
      <c r="X3540" s="19"/>
      <c r="AG3540" s="16"/>
    </row>
    <row r="3541" spans="2:33">
      <c r="B3541" s="19"/>
      <c r="P3541" s="16"/>
      <c r="Q3541" s="36" t="s">
        <v>38</v>
      </c>
      <c r="R3541" s="13">
        <v>0</v>
      </c>
      <c r="S3541" s="13">
        <v>0</v>
      </c>
      <c r="T3541" s="13">
        <v>0</v>
      </c>
      <c r="U3541" s="13">
        <v>806</v>
      </c>
      <c r="V3541" s="13">
        <v>435</v>
      </c>
      <c r="W3541" s="37">
        <v>465</v>
      </c>
      <c r="X3541" s="19"/>
      <c r="AG3541" s="16"/>
    </row>
    <row r="3542" spans="2:33">
      <c r="B3542" s="19"/>
      <c r="P3542" s="16"/>
      <c r="Q3542" s="36" t="s">
        <v>39</v>
      </c>
      <c r="R3542" s="13">
        <v>0</v>
      </c>
      <c r="S3542" s="13">
        <v>0</v>
      </c>
      <c r="T3542" s="13">
        <v>0</v>
      </c>
      <c r="U3542" s="13">
        <v>836</v>
      </c>
      <c r="V3542" s="13">
        <v>448</v>
      </c>
      <c r="W3542" s="37">
        <v>497</v>
      </c>
      <c r="X3542" s="19"/>
      <c r="AG3542" s="16"/>
    </row>
    <row r="3543" spans="2:33">
      <c r="B3543" s="19"/>
      <c r="P3543" s="16"/>
      <c r="Q3543" s="36" t="s">
        <v>40</v>
      </c>
      <c r="R3543" s="13">
        <v>0</v>
      </c>
      <c r="S3543" s="13">
        <v>0</v>
      </c>
      <c r="T3543" s="13">
        <v>1141</v>
      </c>
      <c r="U3543" s="13">
        <v>587</v>
      </c>
      <c r="V3543" s="13">
        <v>0</v>
      </c>
      <c r="W3543" s="37">
        <v>660</v>
      </c>
      <c r="X3543" s="19"/>
      <c r="AG3543" s="16"/>
    </row>
    <row r="3544" spans="2:33">
      <c r="B3544" s="19"/>
      <c r="P3544" s="16"/>
      <c r="Q3544" s="36" t="s">
        <v>41</v>
      </c>
      <c r="R3544" s="13">
        <v>1496</v>
      </c>
      <c r="S3544" s="13">
        <v>790</v>
      </c>
      <c r="T3544" s="13">
        <v>0</v>
      </c>
      <c r="U3544" s="13">
        <v>0</v>
      </c>
      <c r="V3544" s="13">
        <v>0</v>
      </c>
      <c r="W3544" s="37">
        <v>575</v>
      </c>
      <c r="X3544" s="19"/>
      <c r="AG3544" s="16"/>
    </row>
    <row r="3545" spans="2:33">
      <c r="B3545" s="19"/>
      <c r="P3545" s="16"/>
      <c r="Q3545" s="36" t="s">
        <v>42</v>
      </c>
      <c r="R3545" s="13">
        <v>0</v>
      </c>
      <c r="S3545" s="13">
        <v>0</v>
      </c>
      <c r="T3545" s="13">
        <v>1167</v>
      </c>
      <c r="U3545" s="13">
        <v>589</v>
      </c>
      <c r="V3545" s="13">
        <v>0</v>
      </c>
      <c r="W3545" s="37">
        <v>676</v>
      </c>
      <c r="X3545" s="19"/>
      <c r="AG3545" s="16"/>
    </row>
    <row r="3546" spans="2:33">
      <c r="B3546" s="19"/>
      <c r="P3546" s="16"/>
      <c r="Q3546" s="36" t="s">
        <v>43</v>
      </c>
      <c r="R3546" s="13">
        <v>0</v>
      </c>
      <c r="S3546" s="13">
        <v>0</v>
      </c>
      <c r="T3546" s="13">
        <v>878</v>
      </c>
      <c r="U3546" s="13">
        <v>471</v>
      </c>
      <c r="V3546" s="13">
        <v>0</v>
      </c>
      <c r="W3546" s="37">
        <v>497</v>
      </c>
      <c r="X3546" s="19"/>
      <c r="AG3546" s="16"/>
    </row>
    <row r="3547" spans="2:33">
      <c r="B3547" s="19"/>
      <c r="P3547" s="16"/>
      <c r="Q3547" s="36" t="s">
        <v>44</v>
      </c>
      <c r="R3547" s="13">
        <v>0</v>
      </c>
      <c r="S3547" s="13">
        <v>0</v>
      </c>
      <c r="T3547" s="13">
        <v>0</v>
      </c>
      <c r="U3547" s="13">
        <v>830</v>
      </c>
      <c r="V3547" s="13">
        <v>457</v>
      </c>
      <c r="W3547" s="37">
        <v>417</v>
      </c>
      <c r="X3547" s="19"/>
      <c r="AG3547" s="16"/>
    </row>
    <row r="3548" spans="2:33">
      <c r="B3548" s="19"/>
      <c r="P3548" s="16"/>
      <c r="Q3548" s="36" t="s">
        <v>45</v>
      </c>
      <c r="R3548" s="13">
        <v>0</v>
      </c>
      <c r="S3548" s="13">
        <v>1053</v>
      </c>
      <c r="T3548" s="13">
        <v>525</v>
      </c>
      <c r="U3548" s="13">
        <v>0</v>
      </c>
      <c r="V3548" s="13">
        <v>0</v>
      </c>
      <c r="W3548" s="37">
        <v>669</v>
      </c>
      <c r="X3548" s="19"/>
      <c r="AG3548" s="16"/>
    </row>
    <row r="3549" spans="2:33" ht="15" thickBot="1">
      <c r="B3549" s="20"/>
      <c r="C3549" s="15"/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7"/>
      <c r="Q3549" s="36" t="s">
        <v>46</v>
      </c>
      <c r="R3549" s="13">
        <v>1155</v>
      </c>
      <c r="S3549" s="13">
        <v>564</v>
      </c>
      <c r="T3549" s="13">
        <v>0</v>
      </c>
      <c r="U3549" s="13">
        <v>0</v>
      </c>
      <c r="V3549" s="13">
        <v>0</v>
      </c>
      <c r="W3549" s="37">
        <v>690</v>
      </c>
      <c r="X3549" s="20"/>
      <c r="Y3549" s="15"/>
      <c r="Z3549" s="15"/>
      <c r="AA3549" s="15"/>
      <c r="AB3549" s="15"/>
      <c r="AC3549" s="15"/>
      <c r="AD3549" s="15"/>
      <c r="AE3549" s="15"/>
      <c r="AF3549" s="15"/>
      <c r="AG3549" s="17"/>
    </row>
    <row r="3551" spans="2:33" ht="15" thickBot="1">
      <c r="B3551" s="25" t="s">
        <v>1602</v>
      </c>
      <c r="C3551" s="26" t="s">
        <v>1603</v>
      </c>
      <c r="D3551" s="26" t="s">
        <v>1673</v>
      </c>
      <c r="E3551" s="26" t="s">
        <v>1674</v>
      </c>
      <c r="F3551" s="26" t="s">
        <v>1675</v>
      </c>
      <c r="G3551" s="26" t="s">
        <v>1676</v>
      </c>
      <c r="H3551" s="27" t="s">
        <v>892</v>
      </c>
      <c r="I3551" s="26" t="s">
        <v>1677</v>
      </c>
      <c r="J3551" s="27" t="s">
        <v>87</v>
      </c>
      <c r="K3551" s="29">
        <v>32</v>
      </c>
      <c r="L3551" s="29">
        <v>32</v>
      </c>
      <c r="M3551" s="29">
        <v>32</v>
      </c>
      <c r="N3551" s="29">
        <v>32</v>
      </c>
      <c r="O3551" s="29">
        <v>32</v>
      </c>
      <c r="P3551" s="40">
        <v>49</v>
      </c>
      <c r="Q3551" s="1" t="s">
        <v>35</v>
      </c>
      <c r="R3551" s="2">
        <v>2523</v>
      </c>
      <c r="S3551" s="2">
        <v>1243</v>
      </c>
      <c r="T3551" s="2">
        <v>0</v>
      </c>
      <c r="U3551" s="2">
        <v>0</v>
      </c>
      <c r="V3551" s="2">
        <v>0</v>
      </c>
      <c r="W3551" s="2">
        <v>948</v>
      </c>
      <c r="X3551" s="43">
        <f>SUM(R3551:W3564)</f>
        <v>45770</v>
      </c>
      <c r="Y3551" s="10">
        <v>46204</v>
      </c>
      <c r="Z3551" s="11">
        <v>0.21919235148020305</v>
      </c>
      <c r="AA3551" s="11">
        <v>0.18278252950868873</v>
      </c>
      <c r="AB3551" s="11">
        <v>0.14730848520871084</v>
      </c>
      <c r="AC3551" s="11">
        <v>0.12879037718868644</v>
      </c>
      <c r="AD3551" s="11">
        <v>0.11451881259976519</v>
      </c>
      <c r="AE3551" s="11">
        <v>0.13153841003497066</v>
      </c>
      <c r="AF3551" s="11">
        <v>0.3</v>
      </c>
      <c r="AG3551" s="11">
        <v>0.23899999999999999</v>
      </c>
    </row>
    <row r="3552" spans="2:33">
      <c r="B3552" s="18"/>
      <c r="C3552" s="14"/>
      <c r="D3552" s="14"/>
      <c r="E3552" s="14"/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35"/>
      <c r="Q3552" s="36" t="s">
        <v>36</v>
      </c>
      <c r="R3552" s="13">
        <v>2054</v>
      </c>
      <c r="S3552" s="13">
        <v>1072</v>
      </c>
      <c r="T3552" s="13">
        <v>0</v>
      </c>
      <c r="U3552" s="13">
        <v>0</v>
      </c>
      <c r="V3552" s="13">
        <v>0</v>
      </c>
      <c r="W3552" s="37">
        <v>848</v>
      </c>
      <c r="X3552" s="18"/>
      <c r="Y3552" s="14"/>
      <c r="Z3552" s="14"/>
      <c r="AA3552" s="14"/>
      <c r="AB3552" s="14"/>
      <c r="AC3552" s="14"/>
      <c r="AD3552" s="14"/>
      <c r="AE3552" s="14"/>
      <c r="AF3552" s="14"/>
      <c r="AG3552" s="35"/>
    </row>
    <row r="3553" spans="2:33">
      <c r="B3553" s="19"/>
      <c r="P3553" s="16"/>
      <c r="Q3553" s="36" t="s">
        <v>37</v>
      </c>
      <c r="R3553" s="13">
        <v>0</v>
      </c>
      <c r="S3553" s="13">
        <v>2174</v>
      </c>
      <c r="T3553" s="13">
        <v>1118</v>
      </c>
      <c r="U3553" s="13">
        <v>0</v>
      </c>
      <c r="V3553" s="13">
        <v>0</v>
      </c>
      <c r="W3553" s="37">
        <v>1217</v>
      </c>
      <c r="X3553" s="19"/>
      <c r="AG3553" s="16"/>
    </row>
    <row r="3554" spans="2:33">
      <c r="B3554" s="19"/>
      <c r="P3554" s="16"/>
      <c r="Q3554" s="36" t="s">
        <v>38</v>
      </c>
      <c r="R3554" s="13">
        <v>0</v>
      </c>
      <c r="S3554" s="13">
        <v>0</v>
      </c>
      <c r="T3554" s="13">
        <v>0</v>
      </c>
      <c r="U3554" s="13">
        <v>1394</v>
      </c>
      <c r="V3554" s="13">
        <v>738</v>
      </c>
      <c r="W3554" s="37">
        <v>696</v>
      </c>
      <c r="X3554" s="19"/>
      <c r="AG3554" s="16"/>
    </row>
    <row r="3555" spans="2:33">
      <c r="B3555" s="19"/>
      <c r="P3555" s="16"/>
      <c r="Q3555" s="36" t="s">
        <v>39</v>
      </c>
      <c r="R3555" s="13">
        <v>0</v>
      </c>
      <c r="S3555" s="13">
        <v>0</v>
      </c>
      <c r="T3555" s="13">
        <v>0</v>
      </c>
      <c r="U3555" s="13">
        <v>1560</v>
      </c>
      <c r="V3555" s="13">
        <v>865</v>
      </c>
      <c r="W3555" s="37">
        <v>829</v>
      </c>
      <c r="X3555" s="19"/>
      <c r="AG3555" s="16"/>
    </row>
    <row r="3556" spans="2:33">
      <c r="B3556" s="19"/>
      <c r="P3556" s="16"/>
      <c r="Q3556" s="36" t="s">
        <v>40</v>
      </c>
      <c r="R3556" s="13">
        <v>0</v>
      </c>
      <c r="S3556" s="13">
        <v>0</v>
      </c>
      <c r="T3556" s="13">
        <v>1951</v>
      </c>
      <c r="U3556" s="13">
        <v>1087</v>
      </c>
      <c r="V3556" s="13">
        <v>0</v>
      </c>
      <c r="W3556" s="37">
        <v>885</v>
      </c>
      <c r="X3556" s="19"/>
      <c r="AG3556" s="16"/>
    </row>
    <row r="3557" spans="2:33">
      <c r="B3557" s="19"/>
      <c r="P3557" s="16"/>
      <c r="Q3557" s="36" t="s">
        <v>41</v>
      </c>
      <c r="R3557" s="13">
        <v>2144</v>
      </c>
      <c r="S3557" s="13">
        <v>1191</v>
      </c>
      <c r="T3557" s="13">
        <v>0</v>
      </c>
      <c r="U3557" s="13">
        <v>0</v>
      </c>
      <c r="V3557" s="13">
        <v>0</v>
      </c>
      <c r="W3557" s="37">
        <v>848</v>
      </c>
      <c r="X3557" s="19"/>
      <c r="AG3557" s="16"/>
    </row>
    <row r="3558" spans="2:33">
      <c r="B3558" s="19"/>
      <c r="P3558" s="16"/>
      <c r="Q3558" s="36" t="s">
        <v>42</v>
      </c>
      <c r="R3558" s="13">
        <v>0</v>
      </c>
      <c r="S3558" s="13">
        <v>0</v>
      </c>
      <c r="T3558" s="13">
        <v>2018</v>
      </c>
      <c r="U3558" s="13">
        <v>1130</v>
      </c>
      <c r="V3558" s="13">
        <v>0</v>
      </c>
      <c r="W3558" s="37">
        <v>1110</v>
      </c>
      <c r="X3558" s="19"/>
      <c r="AG3558" s="16"/>
    </row>
    <row r="3559" spans="2:33">
      <c r="B3559" s="19"/>
      <c r="P3559" s="16"/>
      <c r="Q3559" s="36" t="s">
        <v>1678</v>
      </c>
      <c r="R3559" s="13">
        <v>0</v>
      </c>
      <c r="S3559" s="13">
        <v>0</v>
      </c>
      <c r="T3559" s="13">
        <v>1456</v>
      </c>
      <c r="U3559" s="13">
        <v>787</v>
      </c>
      <c r="V3559" s="13">
        <v>0</v>
      </c>
      <c r="W3559" s="37">
        <v>625</v>
      </c>
      <c r="X3559" s="19"/>
      <c r="AG3559" s="16"/>
    </row>
    <row r="3560" spans="2:33">
      <c r="B3560" s="19"/>
      <c r="P3560" s="16"/>
      <c r="Q3560" s="36" t="s">
        <v>1679</v>
      </c>
      <c r="R3560" s="13">
        <v>0</v>
      </c>
      <c r="S3560" s="13">
        <v>0</v>
      </c>
      <c r="T3560" s="13">
        <v>373</v>
      </c>
      <c r="U3560" s="13">
        <v>210</v>
      </c>
      <c r="V3560" s="13">
        <v>0</v>
      </c>
      <c r="W3560" s="37">
        <v>166</v>
      </c>
      <c r="X3560" s="19"/>
      <c r="AG3560" s="16"/>
    </row>
    <row r="3561" spans="2:33">
      <c r="B3561" s="19"/>
      <c r="P3561" s="16"/>
      <c r="Q3561" s="36" t="s">
        <v>1680</v>
      </c>
      <c r="R3561" s="13">
        <v>0</v>
      </c>
      <c r="S3561" s="13">
        <v>0</v>
      </c>
      <c r="T3561" s="13">
        <v>0</v>
      </c>
      <c r="U3561" s="13">
        <v>573</v>
      </c>
      <c r="V3561" s="13">
        <v>321</v>
      </c>
      <c r="W3561" s="37">
        <v>217</v>
      </c>
      <c r="X3561" s="19"/>
      <c r="AG3561" s="16"/>
    </row>
    <row r="3562" spans="2:33">
      <c r="B3562" s="19"/>
      <c r="P3562" s="16"/>
      <c r="Q3562" s="36" t="s">
        <v>1681</v>
      </c>
      <c r="R3562" s="13">
        <v>0</v>
      </c>
      <c r="S3562" s="13">
        <v>0</v>
      </c>
      <c r="T3562" s="13">
        <v>0</v>
      </c>
      <c r="U3562" s="13">
        <v>1075</v>
      </c>
      <c r="V3562" s="13">
        <v>602</v>
      </c>
      <c r="W3562" s="37">
        <v>514</v>
      </c>
      <c r="X3562" s="19"/>
      <c r="AG3562" s="16"/>
    </row>
    <row r="3563" spans="2:33">
      <c r="B3563" s="19"/>
      <c r="P3563" s="16"/>
      <c r="Q3563" s="36" t="s">
        <v>45</v>
      </c>
      <c r="R3563" s="13">
        <v>0</v>
      </c>
      <c r="S3563" s="13">
        <v>1618</v>
      </c>
      <c r="T3563" s="13">
        <v>881</v>
      </c>
      <c r="U3563" s="13">
        <v>0</v>
      </c>
      <c r="V3563" s="13">
        <v>0</v>
      </c>
      <c r="W3563" s="37">
        <v>828</v>
      </c>
      <c r="X3563" s="19"/>
      <c r="AG3563" s="16"/>
    </row>
    <row r="3564" spans="2:33" ht="15" thickBot="1">
      <c r="B3564" s="20"/>
      <c r="C3564" s="15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7"/>
      <c r="Q3564" s="36" t="s">
        <v>46</v>
      </c>
      <c r="R3564" s="13">
        <v>2104</v>
      </c>
      <c r="S3564" s="13">
        <v>1095</v>
      </c>
      <c r="T3564" s="13">
        <v>0</v>
      </c>
      <c r="U3564" s="13">
        <v>0</v>
      </c>
      <c r="V3564" s="13">
        <v>0</v>
      </c>
      <c r="W3564" s="37">
        <v>682</v>
      </c>
      <c r="X3564" s="20"/>
      <c r="Y3564" s="15"/>
      <c r="Z3564" s="15"/>
      <c r="AA3564" s="15"/>
      <c r="AB3564" s="15"/>
      <c r="AC3564" s="15"/>
      <c r="AD3564" s="15"/>
      <c r="AE3564" s="15"/>
      <c r="AF3564" s="15"/>
      <c r="AG3564" s="17"/>
    </row>
    <row r="3566" spans="2:33" ht="15" thickBot="1">
      <c r="B3566" s="25" t="s">
        <v>1602</v>
      </c>
      <c r="C3566" s="26" t="s">
        <v>1603</v>
      </c>
      <c r="D3566" s="26" t="s">
        <v>1682</v>
      </c>
      <c r="E3566" s="26" t="s">
        <v>1683</v>
      </c>
      <c r="F3566" s="26" t="s">
        <v>1684</v>
      </c>
      <c r="G3566" s="26" t="s">
        <v>1685</v>
      </c>
      <c r="H3566" s="27" t="s">
        <v>47</v>
      </c>
      <c r="I3566" s="26" t="s">
        <v>1686</v>
      </c>
      <c r="J3566" s="27" t="s">
        <v>87</v>
      </c>
      <c r="K3566" s="29">
        <v>15</v>
      </c>
      <c r="L3566" s="29">
        <v>15</v>
      </c>
      <c r="M3566" s="29">
        <v>15</v>
      </c>
      <c r="N3566" s="29">
        <v>15</v>
      </c>
      <c r="O3566" s="29">
        <v>15</v>
      </c>
      <c r="P3566" s="40">
        <v>69</v>
      </c>
      <c r="Q3566" s="1" t="s">
        <v>35</v>
      </c>
      <c r="R3566" s="2">
        <v>748</v>
      </c>
      <c r="S3566" s="2">
        <v>183</v>
      </c>
      <c r="T3566" s="2">
        <v>0</v>
      </c>
      <c r="U3566" s="2">
        <v>0</v>
      </c>
      <c r="V3566" s="2">
        <v>0</v>
      </c>
      <c r="W3566" s="2">
        <v>309</v>
      </c>
      <c r="X3566" s="43">
        <f>SUM(R3566:W3578)</f>
        <v>12130</v>
      </c>
      <c r="Y3566" s="10">
        <v>46204</v>
      </c>
      <c r="Z3566" s="11">
        <v>0.21919235148020305</v>
      </c>
      <c r="AA3566" s="11">
        <v>0.18278252950868873</v>
      </c>
      <c r="AB3566" s="11">
        <v>0.14730848520871084</v>
      </c>
      <c r="AC3566" s="11">
        <v>0.12879037718868644</v>
      </c>
      <c r="AD3566" s="11">
        <v>0.11451881259976519</v>
      </c>
      <c r="AE3566" s="11">
        <v>0.13153841003497066</v>
      </c>
      <c r="AF3566" s="11">
        <v>0.3</v>
      </c>
      <c r="AG3566" s="11">
        <v>0.23899999999999999</v>
      </c>
    </row>
    <row r="3567" spans="2:33">
      <c r="B3567" s="18"/>
      <c r="C3567" s="14"/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35"/>
      <c r="Q3567" s="36" t="s">
        <v>36</v>
      </c>
      <c r="R3567" s="13">
        <v>590</v>
      </c>
      <c r="S3567" s="13">
        <v>186</v>
      </c>
      <c r="T3567" s="13">
        <v>0</v>
      </c>
      <c r="U3567" s="13">
        <v>0</v>
      </c>
      <c r="V3567" s="13">
        <v>0</v>
      </c>
      <c r="W3567" s="37">
        <v>227</v>
      </c>
      <c r="X3567" s="18"/>
      <c r="Y3567" s="14"/>
      <c r="Z3567" s="14"/>
      <c r="AA3567" s="14"/>
      <c r="AB3567" s="14"/>
      <c r="AC3567" s="14"/>
      <c r="AD3567" s="14"/>
      <c r="AE3567" s="14"/>
      <c r="AF3567" s="14"/>
      <c r="AG3567" s="35"/>
    </row>
    <row r="3568" spans="2:33">
      <c r="B3568" s="19"/>
      <c r="P3568" s="16"/>
      <c r="Q3568" s="36" t="s">
        <v>37</v>
      </c>
      <c r="R3568" s="13">
        <v>0</v>
      </c>
      <c r="S3568" s="13">
        <v>429</v>
      </c>
      <c r="T3568" s="13">
        <v>154</v>
      </c>
      <c r="U3568" s="13">
        <v>0</v>
      </c>
      <c r="V3568" s="13">
        <v>0</v>
      </c>
      <c r="W3568" s="37">
        <v>247</v>
      </c>
      <c r="X3568" s="19"/>
      <c r="AG3568" s="16"/>
    </row>
    <row r="3569" spans="2:33">
      <c r="B3569" s="19"/>
      <c r="P3569" s="16"/>
      <c r="Q3569" s="36" t="s">
        <v>38</v>
      </c>
      <c r="R3569" s="13">
        <v>0</v>
      </c>
      <c r="S3569" s="13">
        <v>0</v>
      </c>
      <c r="T3569" s="13">
        <v>0</v>
      </c>
      <c r="U3569" s="13">
        <v>420</v>
      </c>
      <c r="V3569" s="13">
        <v>140</v>
      </c>
      <c r="W3569" s="37">
        <v>224</v>
      </c>
      <c r="X3569" s="19"/>
      <c r="AG3569" s="16"/>
    </row>
    <row r="3570" spans="2:33">
      <c r="B3570" s="19"/>
      <c r="P3570" s="16"/>
      <c r="Q3570" s="36" t="s">
        <v>39</v>
      </c>
      <c r="R3570" s="13">
        <v>0</v>
      </c>
      <c r="S3570" s="13">
        <v>0</v>
      </c>
      <c r="T3570" s="13">
        <v>0</v>
      </c>
      <c r="U3570" s="13">
        <v>444</v>
      </c>
      <c r="V3570" s="13">
        <v>147</v>
      </c>
      <c r="W3570" s="37">
        <v>249</v>
      </c>
      <c r="X3570" s="19"/>
      <c r="AG3570" s="16"/>
    </row>
    <row r="3571" spans="2:33">
      <c r="B3571" s="19"/>
      <c r="P3571" s="16"/>
      <c r="Q3571" s="36" t="s">
        <v>40</v>
      </c>
      <c r="R3571" s="13">
        <v>0</v>
      </c>
      <c r="S3571" s="13">
        <v>0</v>
      </c>
      <c r="T3571" s="13">
        <v>617</v>
      </c>
      <c r="U3571" s="13">
        <v>200</v>
      </c>
      <c r="V3571" s="13">
        <v>0</v>
      </c>
      <c r="W3571" s="37">
        <v>266</v>
      </c>
      <c r="X3571" s="19"/>
      <c r="AG3571" s="16"/>
    </row>
    <row r="3572" spans="2:33">
      <c r="B3572" s="19"/>
      <c r="P3572" s="16"/>
      <c r="Q3572" s="36" t="s">
        <v>41</v>
      </c>
      <c r="R3572" s="13">
        <v>816</v>
      </c>
      <c r="S3572" s="13">
        <v>175</v>
      </c>
      <c r="T3572" s="13">
        <v>0</v>
      </c>
      <c r="U3572" s="13">
        <v>0</v>
      </c>
      <c r="V3572" s="13">
        <v>0</v>
      </c>
      <c r="W3572" s="37">
        <v>314</v>
      </c>
      <c r="X3572" s="19"/>
      <c r="AG3572" s="16"/>
    </row>
    <row r="3573" spans="2:33">
      <c r="B3573" s="19"/>
      <c r="P3573" s="16"/>
      <c r="Q3573" s="36" t="s">
        <v>42</v>
      </c>
      <c r="R3573" s="13">
        <v>0</v>
      </c>
      <c r="S3573" s="13">
        <v>0</v>
      </c>
      <c r="T3573" s="13">
        <v>701</v>
      </c>
      <c r="U3573" s="13">
        <v>157</v>
      </c>
      <c r="V3573" s="13">
        <v>0</v>
      </c>
      <c r="W3573" s="37">
        <v>331</v>
      </c>
      <c r="X3573" s="19"/>
      <c r="AG3573" s="16"/>
    </row>
    <row r="3574" spans="2:33">
      <c r="B3574" s="19"/>
      <c r="P3574" s="16"/>
      <c r="Q3574" s="36" t="s">
        <v>1687</v>
      </c>
      <c r="R3574" s="13">
        <v>0</v>
      </c>
      <c r="S3574" s="13">
        <v>0</v>
      </c>
      <c r="T3574" s="13">
        <v>559</v>
      </c>
      <c r="U3574" s="13">
        <v>149</v>
      </c>
      <c r="V3574" s="13">
        <v>0</v>
      </c>
      <c r="W3574" s="37">
        <v>218</v>
      </c>
      <c r="X3574" s="19"/>
      <c r="AG3574" s="16"/>
    </row>
    <row r="3575" spans="2:33">
      <c r="B3575" s="19"/>
      <c r="P3575" s="16"/>
      <c r="Q3575" s="36" t="s">
        <v>1688</v>
      </c>
      <c r="R3575" s="13">
        <v>0</v>
      </c>
      <c r="S3575" s="13">
        <v>0</v>
      </c>
      <c r="T3575" s="13">
        <v>62</v>
      </c>
      <c r="U3575" s="13">
        <v>23</v>
      </c>
      <c r="V3575" s="13">
        <v>0</v>
      </c>
      <c r="W3575" s="37">
        <v>56</v>
      </c>
      <c r="X3575" s="19"/>
      <c r="AG3575" s="16"/>
    </row>
    <row r="3576" spans="2:33">
      <c r="B3576" s="19"/>
      <c r="P3576" s="16"/>
      <c r="Q3576" s="36" t="s">
        <v>44</v>
      </c>
      <c r="R3576" s="13">
        <v>0</v>
      </c>
      <c r="S3576" s="13">
        <v>0</v>
      </c>
      <c r="T3576" s="13">
        <v>0</v>
      </c>
      <c r="U3576" s="13">
        <v>411</v>
      </c>
      <c r="V3576" s="13">
        <v>163</v>
      </c>
      <c r="W3576" s="37">
        <v>224</v>
      </c>
      <c r="X3576" s="19"/>
      <c r="AG3576" s="16"/>
    </row>
    <row r="3577" spans="2:33">
      <c r="B3577" s="19"/>
      <c r="P3577" s="16"/>
      <c r="Q3577" s="36" t="s">
        <v>45</v>
      </c>
      <c r="R3577" s="13">
        <v>0</v>
      </c>
      <c r="S3577" s="13">
        <v>403</v>
      </c>
      <c r="T3577" s="13">
        <v>138</v>
      </c>
      <c r="U3577" s="13">
        <v>0</v>
      </c>
      <c r="V3577" s="13">
        <v>0</v>
      </c>
      <c r="W3577" s="37">
        <v>252</v>
      </c>
      <c r="X3577" s="19"/>
      <c r="AG3577" s="16"/>
    </row>
    <row r="3578" spans="2:33" ht="15" thickBot="1">
      <c r="B3578" s="20"/>
      <c r="C3578" s="15"/>
      <c r="D3578" s="15"/>
      <c r="E3578" s="15"/>
      <c r="F3578" s="15"/>
      <c r="G3578" s="15"/>
      <c r="H3578" s="15"/>
      <c r="I3578" s="15"/>
      <c r="J3578" s="15"/>
      <c r="K3578" s="15"/>
      <c r="L3578" s="15"/>
      <c r="M3578" s="15"/>
      <c r="N3578" s="15"/>
      <c r="O3578" s="15"/>
      <c r="P3578" s="17"/>
      <c r="Q3578" s="36" t="s">
        <v>46</v>
      </c>
      <c r="R3578" s="13">
        <v>675</v>
      </c>
      <c r="S3578" s="13">
        <v>170</v>
      </c>
      <c r="T3578" s="13">
        <v>0</v>
      </c>
      <c r="U3578" s="13">
        <v>0</v>
      </c>
      <c r="V3578" s="13">
        <v>0</v>
      </c>
      <c r="W3578" s="37">
        <v>353</v>
      </c>
      <c r="X3578" s="20"/>
      <c r="Y3578" s="15"/>
      <c r="Z3578" s="15"/>
      <c r="AA3578" s="15"/>
      <c r="AB3578" s="15"/>
      <c r="AC3578" s="15"/>
      <c r="AD3578" s="15"/>
      <c r="AE3578" s="15"/>
      <c r="AF3578" s="15"/>
      <c r="AG3578" s="17"/>
    </row>
    <row r="3580" spans="2:33" ht="15" thickBot="1">
      <c r="B3580" s="25" t="s">
        <v>1602</v>
      </c>
      <c r="C3580" s="26" t="s">
        <v>1603</v>
      </c>
      <c r="D3580" s="26" t="s">
        <v>1689</v>
      </c>
      <c r="E3580" s="26" t="s">
        <v>1690</v>
      </c>
      <c r="F3580" s="26" t="s">
        <v>1691</v>
      </c>
      <c r="G3580" s="26" t="s">
        <v>451</v>
      </c>
      <c r="H3580" s="27" t="s">
        <v>253</v>
      </c>
      <c r="I3580" s="26" t="s">
        <v>1692</v>
      </c>
      <c r="J3580" s="27" t="s">
        <v>87</v>
      </c>
      <c r="K3580" s="29">
        <v>28</v>
      </c>
      <c r="L3580" s="29">
        <v>28</v>
      </c>
      <c r="M3580" s="29">
        <v>28</v>
      </c>
      <c r="N3580" s="29">
        <v>28</v>
      </c>
      <c r="O3580" s="29">
        <v>28</v>
      </c>
      <c r="P3580" s="40">
        <v>39</v>
      </c>
      <c r="Q3580" s="1" t="s">
        <v>35</v>
      </c>
      <c r="R3580" s="2">
        <v>997</v>
      </c>
      <c r="S3580" s="2">
        <v>648</v>
      </c>
      <c r="T3580" s="2">
        <v>0</v>
      </c>
      <c r="U3580" s="2">
        <v>0</v>
      </c>
      <c r="V3580" s="2">
        <v>0</v>
      </c>
      <c r="W3580" s="2">
        <v>1024</v>
      </c>
      <c r="X3580" s="43">
        <f>SUM(R3580:W3593)</f>
        <v>57387</v>
      </c>
      <c r="Y3580" s="10">
        <v>46204</v>
      </c>
      <c r="Z3580" s="11">
        <v>0.21919235148020305</v>
      </c>
      <c r="AA3580" s="11">
        <v>0.18278252950868873</v>
      </c>
      <c r="AB3580" s="11">
        <v>0.14730848520871084</v>
      </c>
      <c r="AC3580" s="11">
        <v>0.12879037718868644</v>
      </c>
      <c r="AD3580" s="11">
        <v>0.11451881259976519</v>
      </c>
      <c r="AE3580" s="11">
        <v>0.13153841003497066</v>
      </c>
      <c r="AF3580" s="11">
        <v>0.3</v>
      </c>
      <c r="AG3580" s="11">
        <v>0.23899999999999999</v>
      </c>
    </row>
    <row r="3581" spans="2:33">
      <c r="B3581" s="18"/>
      <c r="C3581" s="14"/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35"/>
      <c r="Q3581" s="36" t="s">
        <v>1693</v>
      </c>
      <c r="R3581" s="13">
        <v>241</v>
      </c>
      <c r="S3581" s="13">
        <v>124</v>
      </c>
      <c r="T3581" s="13">
        <v>0</v>
      </c>
      <c r="U3581" s="13">
        <v>0</v>
      </c>
      <c r="V3581" s="13">
        <v>0</v>
      </c>
      <c r="W3581" s="37">
        <v>261</v>
      </c>
      <c r="X3581" s="18"/>
      <c r="Y3581" s="14"/>
      <c r="Z3581" s="14"/>
      <c r="AA3581" s="14"/>
      <c r="AB3581" s="14"/>
      <c r="AC3581" s="14"/>
      <c r="AD3581" s="14"/>
      <c r="AE3581" s="14"/>
      <c r="AF3581" s="14"/>
      <c r="AG3581" s="35"/>
    </row>
    <row r="3582" spans="2:33">
      <c r="B3582" s="19"/>
      <c r="P3582" s="16"/>
      <c r="Q3582" s="36" t="s">
        <v>1694</v>
      </c>
      <c r="R3582" s="13">
        <v>849</v>
      </c>
      <c r="S3582" s="13">
        <v>545</v>
      </c>
      <c r="T3582" s="13">
        <v>0</v>
      </c>
      <c r="U3582" s="13">
        <v>0</v>
      </c>
      <c r="V3582" s="13">
        <v>0</v>
      </c>
      <c r="W3582" s="37">
        <v>716</v>
      </c>
      <c r="X3582" s="19"/>
      <c r="AG3582" s="16"/>
    </row>
    <row r="3583" spans="2:33">
      <c r="B3583" s="19"/>
      <c r="P3583" s="16"/>
      <c r="Q3583" s="36" t="s">
        <v>37</v>
      </c>
      <c r="R3583" s="13">
        <v>0</v>
      </c>
      <c r="S3583" s="13">
        <v>1070</v>
      </c>
      <c r="T3583" s="13">
        <v>652</v>
      </c>
      <c r="U3583" s="13">
        <v>0</v>
      </c>
      <c r="V3583" s="13">
        <v>0</v>
      </c>
      <c r="W3583" s="37">
        <v>1069</v>
      </c>
      <c r="X3583" s="19"/>
      <c r="AG3583" s="16"/>
    </row>
    <row r="3584" spans="2:33">
      <c r="B3584" s="19"/>
      <c r="P3584" s="16"/>
      <c r="Q3584" s="36" t="s">
        <v>38</v>
      </c>
      <c r="R3584" s="13">
        <v>0</v>
      </c>
      <c r="S3584" s="13">
        <v>0</v>
      </c>
      <c r="T3584" s="13">
        <v>0</v>
      </c>
      <c r="U3584" s="13">
        <v>1026</v>
      </c>
      <c r="V3584" s="13">
        <v>687</v>
      </c>
      <c r="W3584" s="37">
        <v>977</v>
      </c>
      <c r="X3584" s="19"/>
      <c r="AG3584" s="16"/>
    </row>
    <row r="3585" spans="2:33">
      <c r="B3585" s="19"/>
      <c r="P3585" s="16"/>
      <c r="Q3585" s="36" t="s">
        <v>39</v>
      </c>
      <c r="R3585" s="13">
        <v>0</v>
      </c>
      <c r="S3585" s="13">
        <v>0</v>
      </c>
      <c r="T3585" s="13">
        <v>0</v>
      </c>
      <c r="U3585" s="13">
        <v>1391</v>
      </c>
      <c r="V3585" s="13">
        <v>962</v>
      </c>
      <c r="W3585" s="37">
        <v>1229</v>
      </c>
      <c r="X3585" s="19"/>
      <c r="AG3585" s="16"/>
    </row>
    <row r="3586" spans="2:33">
      <c r="B3586" s="19"/>
      <c r="P3586" s="16"/>
      <c r="Q3586" s="36" t="s">
        <v>40</v>
      </c>
      <c r="R3586" s="13">
        <v>0</v>
      </c>
      <c r="S3586" s="13">
        <v>0</v>
      </c>
      <c r="T3586" s="13">
        <v>3766</v>
      </c>
      <c r="U3586" s="13">
        <v>2479</v>
      </c>
      <c r="V3586" s="13">
        <v>0</v>
      </c>
      <c r="W3586" s="37">
        <v>2160</v>
      </c>
      <c r="X3586" s="19"/>
      <c r="AG3586" s="16"/>
    </row>
    <row r="3587" spans="2:33">
      <c r="B3587" s="19"/>
      <c r="P3587" s="16"/>
      <c r="Q3587" s="36" t="s">
        <v>41</v>
      </c>
      <c r="R3587" s="13">
        <v>3498</v>
      </c>
      <c r="S3587" s="13">
        <v>2171</v>
      </c>
      <c r="T3587" s="13">
        <v>0</v>
      </c>
      <c r="U3587" s="13">
        <v>0</v>
      </c>
      <c r="V3587" s="13">
        <v>0</v>
      </c>
      <c r="W3587" s="37">
        <v>1982</v>
      </c>
      <c r="X3587" s="19"/>
      <c r="AG3587" s="16"/>
    </row>
    <row r="3588" spans="2:33">
      <c r="B3588" s="19"/>
      <c r="P3588" s="16"/>
      <c r="Q3588" s="36" t="s">
        <v>42</v>
      </c>
      <c r="R3588" s="13">
        <v>0</v>
      </c>
      <c r="S3588" s="13">
        <v>0</v>
      </c>
      <c r="T3588" s="13">
        <v>3407</v>
      </c>
      <c r="U3588" s="13">
        <v>2087</v>
      </c>
      <c r="V3588" s="13">
        <v>0</v>
      </c>
      <c r="W3588" s="37">
        <v>2491</v>
      </c>
      <c r="X3588" s="19"/>
      <c r="AG3588" s="16"/>
    </row>
    <row r="3589" spans="2:33">
      <c r="B3589" s="19"/>
      <c r="P3589" s="16"/>
      <c r="Q3589" s="36" t="s">
        <v>1678</v>
      </c>
      <c r="R3589" s="13">
        <v>0</v>
      </c>
      <c r="S3589" s="13">
        <v>0</v>
      </c>
      <c r="T3589" s="13">
        <v>3212</v>
      </c>
      <c r="U3589" s="13">
        <v>1955</v>
      </c>
      <c r="V3589" s="13">
        <v>0</v>
      </c>
      <c r="W3589" s="37">
        <v>1564</v>
      </c>
      <c r="X3589" s="19"/>
      <c r="AG3589" s="16"/>
    </row>
    <row r="3590" spans="2:33">
      <c r="B3590" s="19"/>
      <c r="P3590" s="16"/>
      <c r="Q3590" s="36" t="s">
        <v>1679</v>
      </c>
      <c r="R3590" s="13">
        <v>0</v>
      </c>
      <c r="S3590" s="13">
        <v>0</v>
      </c>
      <c r="T3590" s="13">
        <v>620</v>
      </c>
      <c r="U3590" s="13">
        <v>430</v>
      </c>
      <c r="V3590" s="13">
        <v>0</v>
      </c>
      <c r="W3590" s="37">
        <v>344</v>
      </c>
      <c r="X3590" s="19"/>
      <c r="AG3590" s="16"/>
    </row>
    <row r="3591" spans="2:33">
      <c r="B3591" s="19"/>
      <c r="P3591" s="16"/>
      <c r="Q3591" s="36" t="s">
        <v>44</v>
      </c>
      <c r="R3591" s="13">
        <v>0</v>
      </c>
      <c r="S3591" s="13">
        <v>0</v>
      </c>
      <c r="T3591" s="13">
        <v>0</v>
      </c>
      <c r="U3591" s="13">
        <v>2522</v>
      </c>
      <c r="V3591" s="13">
        <v>1633</v>
      </c>
      <c r="W3591" s="37">
        <v>1552</v>
      </c>
      <c r="X3591" s="19"/>
      <c r="AG3591" s="16"/>
    </row>
    <row r="3592" spans="2:33">
      <c r="B3592" s="19"/>
      <c r="P3592" s="16"/>
      <c r="Q3592" s="36" t="s">
        <v>45</v>
      </c>
      <c r="R3592" s="13">
        <v>0</v>
      </c>
      <c r="S3592" s="13">
        <v>1026</v>
      </c>
      <c r="T3592" s="13">
        <v>637</v>
      </c>
      <c r="U3592" s="13">
        <v>0</v>
      </c>
      <c r="V3592" s="13">
        <v>0</v>
      </c>
      <c r="W3592" s="37">
        <v>963</v>
      </c>
      <c r="X3592" s="19"/>
      <c r="AG3592" s="16"/>
    </row>
    <row r="3593" spans="2:33" ht="15" thickBot="1">
      <c r="B3593" s="20"/>
      <c r="C3593" s="15"/>
      <c r="D3593" s="15"/>
      <c r="E3593" s="15"/>
      <c r="F3593" s="15"/>
      <c r="G3593" s="15"/>
      <c r="H3593" s="15"/>
      <c r="I3593" s="15"/>
      <c r="J3593" s="15"/>
      <c r="K3593" s="15"/>
      <c r="L3593" s="15"/>
      <c r="M3593" s="15"/>
      <c r="N3593" s="15"/>
      <c r="O3593" s="15"/>
      <c r="P3593" s="17"/>
      <c r="Q3593" s="36" t="s">
        <v>46</v>
      </c>
      <c r="R3593" s="13">
        <v>899</v>
      </c>
      <c r="S3593" s="13">
        <v>563</v>
      </c>
      <c r="T3593" s="13">
        <v>0</v>
      </c>
      <c r="U3593" s="13">
        <v>0</v>
      </c>
      <c r="V3593" s="13">
        <v>0</v>
      </c>
      <c r="W3593" s="37">
        <v>958</v>
      </c>
      <c r="X3593" s="20"/>
      <c r="Y3593" s="15"/>
      <c r="Z3593" s="15"/>
      <c r="AA3593" s="15"/>
      <c r="AB3593" s="15"/>
      <c r="AC3593" s="15"/>
      <c r="AD3593" s="15"/>
      <c r="AE3593" s="15"/>
      <c r="AF3593" s="15"/>
      <c r="AG3593" s="17"/>
    </row>
    <row r="3595" spans="2:33" ht="15" thickBot="1">
      <c r="B3595" s="25" t="s">
        <v>1602</v>
      </c>
      <c r="C3595" s="26" t="s">
        <v>1603</v>
      </c>
      <c r="D3595" s="26" t="s">
        <v>1695</v>
      </c>
      <c r="E3595" s="26" t="s">
        <v>1696</v>
      </c>
      <c r="F3595" s="26" t="s">
        <v>1697</v>
      </c>
      <c r="G3595" s="26" t="s">
        <v>1676</v>
      </c>
      <c r="H3595" s="27" t="s">
        <v>892</v>
      </c>
      <c r="I3595" s="26" t="s">
        <v>1698</v>
      </c>
      <c r="J3595" s="27" t="s">
        <v>87</v>
      </c>
      <c r="K3595" s="29">
        <v>25</v>
      </c>
      <c r="L3595" s="29">
        <v>25</v>
      </c>
      <c r="M3595" s="29">
        <v>25</v>
      </c>
      <c r="N3595" s="29">
        <v>25</v>
      </c>
      <c r="O3595" s="29">
        <v>25</v>
      </c>
      <c r="P3595" s="40">
        <v>79</v>
      </c>
      <c r="Q3595" s="1" t="s">
        <v>35</v>
      </c>
      <c r="R3595" s="2">
        <v>1636</v>
      </c>
      <c r="S3595" s="2">
        <v>790</v>
      </c>
      <c r="T3595" s="2">
        <v>0</v>
      </c>
      <c r="U3595" s="2">
        <v>0</v>
      </c>
      <c r="V3595" s="2">
        <v>0</v>
      </c>
      <c r="W3595" s="2">
        <v>750</v>
      </c>
      <c r="X3595" s="43">
        <f>SUM(R3595:W3607)</f>
        <v>29300</v>
      </c>
      <c r="Y3595" s="10">
        <v>46204</v>
      </c>
      <c r="Z3595" s="11">
        <v>0.21919235148020305</v>
      </c>
      <c r="AA3595" s="11">
        <v>0.18278252950868873</v>
      </c>
      <c r="AB3595" s="11">
        <v>0.14730848520871084</v>
      </c>
      <c r="AC3595" s="11">
        <v>0.12879037718868644</v>
      </c>
      <c r="AD3595" s="11">
        <v>0.11451881259976519</v>
      </c>
      <c r="AE3595" s="11">
        <v>0.13153841003497066</v>
      </c>
      <c r="AF3595" s="11">
        <v>0.3</v>
      </c>
      <c r="AG3595" s="11">
        <v>0.23899999999999999</v>
      </c>
    </row>
    <row r="3596" spans="2:33">
      <c r="B3596" s="18"/>
      <c r="C3596" s="14"/>
      <c r="D3596" s="14"/>
      <c r="E3596" s="14"/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35"/>
      <c r="Q3596" s="36" t="s">
        <v>36</v>
      </c>
      <c r="R3596" s="13">
        <v>1286</v>
      </c>
      <c r="S3596" s="13">
        <v>568</v>
      </c>
      <c r="T3596" s="13">
        <v>0</v>
      </c>
      <c r="U3596" s="13">
        <v>0</v>
      </c>
      <c r="V3596" s="13">
        <v>0</v>
      </c>
      <c r="W3596" s="37">
        <v>632</v>
      </c>
      <c r="X3596" s="18"/>
      <c r="Y3596" s="14"/>
      <c r="Z3596" s="14"/>
      <c r="AA3596" s="14"/>
      <c r="AB3596" s="14"/>
      <c r="AC3596" s="14"/>
      <c r="AD3596" s="14"/>
      <c r="AE3596" s="14"/>
      <c r="AF3596" s="14"/>
      <c r="AG3596" s="35"/>
    </row>
    <row r="3597" spans="2:33">
      <c r="B3597" s="19"/>
      <c r="P3597" s="16"/>
      <c r="Q3597" s="36" t="s">
        <v>37</v>
      </c>
      <c r="R3597" s="13">
        <v>0</v>
      </c>
      <c r="S3597" s="13">
        <v>1466</v>
      </c>
      <c r="T3597" s="13">
        <v>691</v>
      </c>
      <c r="U3597" s="13">
        <v>0</v>
      </c>
      <c r="V3597" s="13">
        <v>0</v>
      </c>
      <c r="W3597" s="37">
        <v>813</v>
      </c>
      <c r="X3597" s="19"/>
      <c r="AG3597" s="16"/>
    </row>
    <row r="3598" spans="2:33">
      <c r="B3598" s="19"/>
      <c r="P3598" s="16"/>
      <c r="Q3598" s="36" t="s">
        <v>38</v>
      </c>
      <c r="R3598" s="13">
        <v>0</v>
      </c>
      <c r="S3598" s="13">
        <v>0</v>
      </c>
      <c r="T3598" s="13">
        <v>0</v>
      </c>
      <c r="U3598" s="13">
        <v>707</v>
      </c>
      <c r="V3598" s="13">
        <v>409</v>
      </c>
      <c r="W3598" s="37">
        <v>529</v>
      </c>
      <c r="X3598" s="19"/>
      <c r="AG3598" s="16"/>
    </row>
    <row r="3599" spans="2:33">
      <c r="B3599" s="19"/>
      <c r="P3599" s="16"/>
      <c r="Q3599" s="36" t="s">
        <v>39</v>
      </c>
      <c r="R3599" s="13">
        <v>0</v>
      </c>
      <c r="S3599" s="13">
        <v>0</v>
      </c>
      <c r="T3599" s="13">
        <v>0</v>
      </c>
      <c r="U3599" s="13">
        <v>763</v>
      </c>
      <c r="V3599" s="13">
        <v>459</v>
      </c>
      <c r="W3599" s="37">
        <v>565</v>
      </c>
      <c r="X3599" s="19"/>
      <c r="AG3599" s="16"/>
    </row>
    <row r="3600" spans="2:33">
      <c r="B3600" s="19"/>
      <c r="P3600" s="16"/>
      <c r="Q3600" s="36" t="s">
        <v>40</v>
      </c>
      <c r="R3600" s="13">
        <v>0</v>
      </c>
      <c r="S3600" s="13">
        <v>0</v>
      </c>
      <c r="T3600" s="13">
        <v>999</v>
      </c>
      <c r="U3600" s="13">
        <v>600</v>
      </c>
      <c r="V3600" s="13">
        <v>0</v>
      </c>
      <c r="W3600" s="37">
        <v>581</v>
      </c>
      <c r="X3600" s="19"/>
      <c r="AG3600" s="16"/>
    </row>
    <row r="3601" spans="2:33">
      <c r="B3601" s="19"/>
      <c r="P3601" s="16"/>
      <c r="Q3601" s="36" t="s">
        <v>41</v>
      </c>
      <c r="R3601" s="13">
        <v>1087</v>
      </c>
      <c r="S3601" s="13">
        <v>664</v>
      </c>
      <c r="T3601" s="13">
        <v>0</v>
      </c>
      <c r="U3601" s="13">
        <v>0</v>
      </c>
      <c r="V3601" s="13">
        <v>0</v>
      </c>
      <c r="W3601" s="37">
        <v>546</v>
      </c>
      <c r="X3601" s="19"/>
      <c r="AG3601" s="16"/>
    </row>
    <row r="3602" spans="2:33">
      <c r="B3602" s="19"/>
      <c r="P3602" s="16"/>
      <c r="Q3602" s="36" t="s">
        <v>42</v>
      </c>
      <c r="R3602" s="13">
        <v>0</v>
      </c>
      <c r="S3602" s="13">
        <v>0</v>
      </c>
      <c r="T3602" s="13">
        <v>955</v>
      </c>
      <c r="U3602" s="13">
        <v>597</v>
      </c>
      <c r="V3602" s="13">
        <v>0</v>
      </c>
      <c r="W3602" s="37">
        <v>667</v>
      </c>
      <c r="X3602" s="19"/>
      <c r="AG3602" s="16"/>
    </row>
    <row r="3603" spans="2:33">
      <c r="B3603" s="19"/>
      <c r="P3603" s="16"/>
      <c r="Q3603" s="36" t="s">
        <v>1678</v>
      </c>
      <c r="R3603" s="13">
        <v>0</v>
      </c>
      <c r="S3603" s="13">
        <v>0</v>
      </c>
      <c r="T3603" s="13">
        <v>663</v>
      </c>
      <c r="U3603" s="13">
        <v>391</v>
      </c>
      <c r="V3603" s="13">
        <v>0</v>
      </c>
      <c r="W3603" s="37">
        <v>402</v>
      </c>
      <c r="X3603" s="19"/>
      <c r="AG3603" s="16"/>
    </row>
    <row r="3604" spans="2:33">
      <c r="B3604" s="19"/>
      <c r="P3604" s="16"/>
      <c r="Q3604" s="36" t="s">
        <v>1679</v>
      </c>
      <c r="R3604" s="13">
        <v>0</v>
      </c>
      <c r="S3604" s="13">
        <v>0</v>
      </c>
      <c r="T3604" s="13">
        <v>195</v>
      </c>
      <c r="U3604" s="13">
        <v>115</v>
      </c>
      <c r="V3604" s="13">
        <v>0</v>
      </c>
      <c r="W3604" s="37">
        <v>127</v>
      </c>
      <c r="X3604" s="19"/>
      <c r="AG3604" s="16"/>
    </row>
    <row r="3605" spans="2:33">
      <c r="B3605" s="19"/>
      <c r="P3605" s="16"/>
      <c r="Q3605" s="36" t="s">
        <v>44</v>
      </c>
      <c r="R3605" s="13">
        <v>0</v>
      </c>
      <c r="S3605" s="13">
        <v>0</v>
      </c>
      <c r="T3605" s="13">
        <v>0</v>
      </c>
      <c r="U3605" s="13">
        <v>938</v>
      </c>
      <c r="V3605" s="13">
        <v>501</v>
      </c>
      <c r="W3605" s="37">
        <v>408</v>
      </c>
      <c r="X3605" s="19"/>
      <c r="AG3605" s="16"/>
    </row>
    <row r="3606" spans="2:33">
      <c r="B3606" s="19"/>
      <c r="P3606" s="16"/>
      <c r="Q3606" s="36" t="s">
        <v>45</v>
      </c>
      <c r="R3606" s="13">
        <v>0</v>
      </c>
      <c r="S3606" s="13">
        <v>1403</v>
      </c>
      <c r="T3606" s="13">
        <v>718</v>
      </c>
      <c r="U3606" s="13">
        <v>0</v>
      </c>
      <c r="V3606" s="13">
        <v>0</v>
      </c>
      <c r="W3606" s="37">
        <v>682</v>
      </c>
      <c r="X3606" s="19"/>
      <c r="AG3606" s="16"/>
    </row>
    <row r="3607" spans="2:33" ht="15" thickBot="1">
      <c r="B3607" s="20"/>
      <c r="C3607" s="15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7"/>
      <c r="Q3607" s="36" t="s">
        <v>46</v>
      </c>
      <c r="R3607" s="13">
        <v>1933</v>
      </c>
      <c r="S3607" s="13">
        <v>1059</v>
      </c>
      <c r="T3607" s="13">
        <v>0</v>
      </c>
      <c r="U3607" s="13">
        <v>0</v>
      </c>
      <c r="V3607" s="13">
        <v>0</v>
      </c>
      <c r="W3607" s="37">
        <v>1005</v>
      </c>
      <c r="X3607" s="20"/>
      <c r="Y3607" s="15"/>
      <c r="Z3607" s="15"/>
      <c r="AA3607" s="15"/>
      <c r="AB3607" s="15"/>
      <c r="AC3607" s="15"/>
      <c r="AD3607" s="15"/>
      <c r="AE3607" s="15"/>
      <c r="AF3607" s="15"/>
      <c r="AG3607" s="17"/>
    </row>
    <row r="3609" spans="2:33" ht="15" thickBot="1">
      <c r="B3609" s="25" t="s">
        <v>1602</v>
      </c>
      <c r="C3609" s="26" t="s">
        <v>1603</v>
      </c>
      <c r="D3609" s="26" t="s">
        <v>1699</v>
      </c>
      <c r="E3609" s="26" t="s">
        <v>1700</v>
      </c>
      <c r="F3609" s="26" t="s">
        <v>702</v>
      </c>
      <c r="G3609" s="26" t="s">
        <v>703</v>
      </c>
      <c r="H3609" s="27" t="s">
        <v>704</v>
      </c>
      <c r="I3609" s="26" t="s">
        <v>1701</v>
      </c>
      <c r="J3609" s="27" t="s">
        <v>87</v>
      </c>
      <c r="K3609" s="29">
        <v>39</v>
      </c>
      <c r="L3609" s="29">
        <v>39</v>
      </c>
      <c r="M3609" s="29">
        <v>39</v>
      </c>
      <c r="N3609" s="29">
        <v>39</v>
      </c>
      <c r="O3609" s="29">
        <v>39</v>
      </c>
      <c r="P3609" s="40">
        <v>62</v>
      </c>
      <c r="Q3609" s="1" t="s">
        <v>35</v>
      </c>
      <c r="R3609" s="2">
        <v>3</v>
      </c>
      <c r="S3609" s="2">
        <v>3</v>
      </c>
      <c r="T3609" s="2">
        <v>0</v>
      </c>
      <c r="U3609" s="2">
        <v>0</v>
      </c>
      <c r="V3609" s="2">
        <v>0</v>
      </c>
      <c r="W3609" s="2">
        <v>8</v>
      </c>
      <c r="X3609" s="43">
        <f>SUM(R3609:W3620)</f>
        <v>90132</v>
      </c>
      <c r="Y3609" s="10">
        <v>46204</v>
      </c>
      <c r="Z3609" s="11">
        <v>0.21919235148020305</v>
      </c>
      <c r="AA3609" s="11">
        <v>0.18278252950868873</v>
      </c>
      <c r="AB3609" s="11">
        <v>0.14730848520871084</v>
      </c>
      <c r="AC3609" s="11">
        <v>0.12879037718868644</v>
      </c>
      <c r="AD3609" s="11">
        <v>0.11451881259976519</v>
      </c>
      <c r="AE3609" s="11">
        <v>0.13153841003497066</v>
      </c>
      <c r="AF3609" s="11">
        <v>0.3</v>
      </c>
      <c r="AG3609" s="11">
        <v>0.23899999999999999</v>
      </c>
    </row>
    <row r="3610" spans="2:33">
      <c r="B3610" s="18"/>
      <c r="C3610" s="14"/>
      <c r="D3610" s="14"/>
      <c r="E3610" s="14"/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35"/>
      <c r="Q3610" s="36" t="s">
        <v>36</v>
      </c>
      <c r="R3610" s="13">
        <v>4</v>
      </c>
      <c r="S3610" s="13">
        <v>3</v>
      </c>
      <c r="T3610" s="13">
        <v>0</v>
      </c>
      <c r="U3610" s="13">
        <v>0</v>
      </c>
      <c r="V3610" s="13">
        <v>0</v>
      </c>
      <c r="W3610" s="37">
        <v>7</v>
      </c>
      <c r="X3610" s="18"/>
      <c r="Y3610" s="14"/>
      <c r="Z3610" s="14"/>
      <c r="AA3610" s="14"/>
      <c r="AB3610" s="14"/>
      <c r="AC3610" s="14"/>
      <c r="AD3610" s="14"/>
      <c r="AE3610" s="14"/>
      <c r="AF3610" s="14"/>
      <c r="AG3610" s="35"/>
    </row>
    <row r="3611" spans="2:33">
      <c r="B3611" s="19"/>
      <c r="P3611" s="16"/>
      <c r="Q3611" s="36" t="s">
        <v>37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37">
        <v>0</v>
      </c>
      <c r="X3611" s="19"/>
      <c r="AG3611" s="16"/>
    </row>
    <row r="3612" spans="2:33">
      <c r="B3612" s="19"/>
      <c r="P3612" s="16"/>
      <c r="Q3612" s="36" t="s">
        <v>38</v>
      </c>
      <c r="R3612" s="13">
        <v>0</v>
      </c>
      <c r="S3612" s="13">
        <v>165</v>
      </c>
      <c r="T3612" s="13">
        <v>123</v>
      </c>
      <c r="U3612" s="13">
        <v>1320</v>
      </c>
      <c r="V3612" s="13">
        <v>943</v>
      </c>
      <c r="W3612" s="37">
        <v>1052</v>
      </c>
      <c r="X3612" s="19"/>
      <c r="AG3612" s="16"/>
    </row>
    <row r="3613" spans="2:33">
      <c r="B3613" s="19"/>
      <c r="P3613" s="16"/>
      <c r="Q3613" s="36" t="s">
        <v>39</v>
      </c>
      <c r="R3613" s="13">
        <v>0</v>
      </c>
      <c r="S3613" s="13">
        <v>0</v>
      </c>
      <c r="T3613" s="13">
        <v>0</v>
      </c>
      <c r="U3613" s="13">
        <v>4269</v>
      </c>
      <c r="V3613" s="13">
        <v>2714</v>
      </c>
      <c r="W3613" s="37">
        <v>2196</v>
      </c>
      <c r="X3613" s="19"/>
      <c r="AG3613" s="16"/>
    </row>
    <row r="3614" spans="2:33">
      <c r="B3614" s="19"/>
      <c r="P3614" s="16"/>
      <c r="Q3614" s="36" t="s">
        <v>40</v>
      </c>
      <c r="R3614" s="13">
        <v>0</v>
      </c>
      <c r="S3614" s="13">
        <v>0</v>
      </c>
      <c r="T3614" s="13">
        <v>5937</v>
      </c>
      <c r="U3614" s="13">
        <v>3762</v>
      </c>
      <c r="V3614" s="13">
        <v>0</v>
      </c>
      <c r="W3614" s="37">
        <v>2738</v>
      </c>
      <c r="X3614" s="19"/>
      <c r="AG3614" s="16"/>
    </row>
    <row r="3615" spans="2:33">
      <c r="B3615" s="19"/>
      <c r="P3615" s="16"/>
      <c r="Q3615" s="36" t="s">
        <v>41</v>
      </c>
      <c r="R3615" s="13">
        <v>5815</v>
      </c>
      <c r="S3615" s="13">
        <v>3672</v>
      </c>
      <c r="T3615" s="13">
        <v>0</v>
      </c>
      <c r="U3615" s="13">
        <v>0</v>
      </c>
      <c r="V3615" s="13">
        <v>0</v>
      </c>
      <c r="W3615" s="37">
        <v>2520</v>
      </c>
      <c r="X3615" s="19"/>
      <c r="AG3615" s="16"/>
    </row>
    <row r="3616" spans="2:33">
      <c r="B3616" s="19"/>
      <c r="P3616" s="16"/>
      <c r="Q3616" s="36" t="s">
        <v>42</v>
      </c>
      <c r="R3616" s="13">
        <v>0</v>
      </c>
      <c r="S3616" s="13">
        <v>0</v>
      </c>
      <c r="T3616" s="13">
        <v>5406</v>
      </c>
      <c r="U3616" s="13">
        <v>3434</v>
      </c>
      <c r="V3616" s="13">
        <v>0</v>
      </c>
      <c r="W3616" s="37">
        <v>3467</v>
      </c>
      <c r="X3616" s="19"/>
      <c r="AG3616" s="16"/>
    </row>
    <row r="3617" spans="2:33">
      <c r="B3617" s="19"/>
      <c r="P3617" s="16"/>
      <c r="Q3617" s="36" t="s">
        <v>43</v>
      </c>
      <c r="R3617" s="13">
        <v>0</v>
      </c>
      <c r="S3617" s="13">
        <v>0</v>
      </c>
      <c r="T3617" s="13">
        <v>5746</v>
      </c>
      <c r="U3617" s="13">
        <v>3661</v>
      </c>
      <c r="V3617" s="13">
        <v>0</v>
      </c>
      <c r="W3617" s="37">
        <v>2746</v>
      </c>
      <c r="X3617" s="19"/>
      <c r="AG3617" s="16"/>
    </row>
    <row r="3618" spans="2:33">
      <c r="B3618" s="19"/>
      <c r="P3618" s="16"/>
      <c r="Q3618" s="36" t="s">
        <v>44</v>
      </c>
      <c r="R3618" s="13">
        <v>0</v>
      </c>
      <c r="S3618" s="13">
        <v>0</v>
      </c>
      <c r="T3618" s="13">
        <v>0</v>
      </c>
      <c r="U3618" s="13">
        <v>5204</v>
      </c>
      <c r="V3618" s="13">
        <v>3518</v>
      </c>
      <c r="W3618" s="37">
        <v>2597</v>
      </c>
      <c r="X3618" s="19"/>
      <c r="AG3618" s="16"/>
    </row>
    <row r="3619" spans="2:33">
      <c r="B3619" s="19"/>
      <c r="P3619" s="16"/>
      <c r="Q3619" s="36" t="s">
        <v>45</v>
      </c>
      <c r="R3619" s="13">
        <v>0</v>
      </c>
      <c r="S3619" s="13">
        <v>3876</v>
      </c>
      <c r="T3619" s="13">
        <v>2668</v>
      </c>
      <c r="U3619" s="13">
        <v>0</v>
      </c>
      <c r="V3619" s="13">
        <v>0</v>
      </c>
      <c r="W3619" s="37">
        <v>2670</v>
      </c>
      <c r="X3619" s="19"/>
      <c r="AG3619" s="16"/>
    </row>
    <row r="3620" spans="2:33" ht="15" thickBot="1">
      <c r="B3620" s="20"/>
      <c r="C3620" s="15"/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7"/>
      <c r="Q3620" s="36" t="s">
        <v>46</v>
      </c>
      <c r="R3620" s="13">
        <v>3601</v>
      </c>
      <c r="S3620" s="13">
        <v>2398</v>
      </c>
      <c r="T3620" s="13">
        <v>0</v>
      </c>
      <c r="U3620" s="13">
        <v>0</v>
      </c>
      <c r="V3620" s="13">
        <v>0</v>
      </c>
      <c r="W3620" s="37">
        <v>1886</v>
      </c>
      <c r="X3620" s="20"/>
      <c r="Y3620" s="15"/>
      <c r="Z3620" s="15"/>
      <c r="AA3620" s="15"/>
      <c r="AB3620" s="15"/>
      <c r="AC3620" s="15"/>
      <c r="AD3620" s="15"/>
      <c r="AE3620" s="15"/>
      <c r="AF3620" s="15"/>
      <c r="AG3620" s="17"/>
    </row>
    <row r="3622" spans="2:33" ht="15" thickBot="1">
      <c r="B3622" s="25" t="s">
        <v>1602</v>
      </c>
      <c r="C3622" s="26" t="s">
        <v>1603</v>
      </c>
      <c r="D3622" s="26" t="s">
        <v>1702</v>
      </c>
      <c r="E3622" s="26" t="s">
        <v>1703</v>
      </c>
      <c r="F3622" s="26" t="s">
        <v>433</v>
      </c>
      <c r="G3622" s="26" t="s">
        <v>434</v>
      </c>
      <c r="H3622" s="27" t="s">
        <v>435</v>
      </c>
      <c r="I3622" s="26" t="s">
        <v>1704</v>
      </c>
      <c r="J3622" s="27" t="s">
        <v>34</v>
      </c>
      <c r="K3622" s="29">
        <v>40</v>
      </c>
      <c r="L3622" s="29">
        <v>40</v>
      </c>
      <c r="M3622" s="29">
        <v>40</v>
      </c>
      <c r="N3622" s="29">
        <v>40</v>
      </c>
      <c r="O3622" s="29">
        <v>40</v>
      </c>
      <c r="P3622" s="40">
        <v>70</v>
      </c>
      <c r="Q3622" s="1" t="s">
        <v>35</v>
      </c>
      <c r="R3622" s="2">
        <v>3442</v>
      </c>
      <c r="S3622" s="2">
        <v>1925</v>
      </c>
      <c r="T3622" s="2">
        <v>0</v>
      </c>
      <c r="U3622" s="2">
        <v>0</v>
      </c>
      <c r="V3622" s="2">
        <v>0</v>
      </c>
      <c r="W3622" s="2">
        <v>1541</v>
      </c>
      <c r="X3622" s="43">
        <f>SUM(R3622:W3633)</f>
        <v>77995</v>
      </c>
      <c r="Y3622" s="10">
        <v>46204</v>
      </c>
      <c r="Z3622" s="11">
        <v>0.1896651496601798</v>
      </c>
      <c r="AA3622" s="11">
        <v>0.15857693149523983</v>
      </c>
      <c r="AB3622" s="11">
        <v>0.13134427528372689</v>
      </c>
      <c r="AC3622" s="11">
        <v>0.11734302060917184</v>
      </c>
      <c r="AD3622" s="11">
        <v>0.10642886145562462</v>
      </c>
      <c r="AE3622" s="11">
        <v>0.12209959568021629</v>
      </c>
      <c r="AF3622" s="11">
        <v>0.3</v>
      </c>
      <c r="AG3622" s="11">
        <v>0.23899999999999999</v>
      </c>
    </row>
    <row r="3623" spans="2:33">
      <c r="B3623" s="18"/>
      <c r="C3623" s="14"/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35"/>
      <c r="Q3623" s="36" t="s">
        <v>36</v>
      </c>
      <c r="R3623" s="13">
        <v>3256</v>
      </c>
      <c r="S3623" s="13">
        <v>1889</v>
      </c>
      <c r="T3623" s="13">
        <v>0</v>
      </c>
      <c r="U3623" s="13">
        <v>0</v>
      </c>
      <c r="V3623" s="13">
        <v>0</v>
      </c>
      <c r="W3623" s="37">
        <v>1433</v>
      </c>
      <c r="X3623" s="18"/>
      <c r="Y3623" s="14"/>
      <c r="Z3623" s="14"/>
      <c r="AA3623" s="14"/>
      <c r="AB3623" s="14"/>
      <c r="AC3623" s="14"/>
      <c r="AD3623" s="14"/>
      <c r="AE3623" s="14"/>
      <c r="AF3623" s="14"/>
      <c r="AG3623" s="35"/>
    </row>
    <row r="3624" spans="2:33">
      <c r="B3624" s="19"/>
      <c r="P3624" s="16"/>
      <c r="Q3624" s="36" t="s">
        <v>37</v>
      </c>
      <c r="R3624" s="13">
        <v>0</v>
      </c>
      <c r="S3624" s="13">
        <v>3373</v>
      </c>
      <c r="T3624" s="13">
        <v>1920</v>
      </c>
      <c r="U3624" s="13">
        <v>0</v>
      </c>
      <c r="V3624" s="13">
        <v>0</v>
      </c>
      <c r="W3624" s="37">
        <v>1522</v>
      </c>
      <c r="X3624" s="19"/>
      <c r="AG3624" s="16"/>
    </row>
    <row r="3625" spans="2:33">
      <c r="B3625" s="19"/>
      <c r="P3625" s="16"/>
      <c r="Q3625" s="36" t="s">
        <v>38</v>
      </c>
      <c r="R3625" s="13">
        <v>0</v>
      </c>
      <c r="S3625" s="13">
        <v>0</v>
      </c>
      <c r="T3625" s="13">
        <v>0</v>
      </c>
      <c r="U3625" s="13">
        <v>2552</v>
      </c>
      <c r="V3625" s="13">
        <v>1496</v>
      </c>
      <c r="W3625" s="37">
        <v>1365</v>
      </c>
      <c r="X3625" s="19"/>
      <c r="AG3625" s="16"/>
    </row>
    <row r="3626" spans="2:33">
      <c r="B3626" s="19"/>
      <c r="P3626" s="16"/>
      <c r="Q3626" s="36" t="s">
        <v>39</v>
      </c>
      <c r="R3626" s="13">
        <v>0</v>
      </c>
      <c r="S3626" s="13">
        <v>0</v>
      </c>
      <c r="T3626" s="13">
        <v>0</v>
      </c>
      <c r="U3626" s="13">
        <v>2267</v>
      </c>
      <c r="V3626" s="13">
        <v>1402</v>
      </c>
      <c r="W3626" s="37">
        <v>1474</v>
      </c>
      <c r="X3626" s="19"/>
      <c r="AG3626" s="16"/>
    </row>
    <row r="3627" spans="2:33">
      <c r="B3627" s="19"/>
      <c r="P3627" s="16"/>
      <c r="Q3627" s="36" t="s">
        <v>40</v>
      </c>
      <c r="R3627" s="13">
        <v>0</v>
      </c>
      <c r="S3627" s="13">
        <v>0</v>
      </c>
      <c r="T3627" s="13">
        <v>2653</v>
      </c>
      <c r="U3627" s="13">
        <v>1654</v>
      </c>
      <c r="V3627" s="13">
        <v>0</v>
      </c>
      <c r="W3627" s="37">
        <v>1762</v>
      </c>
      <c r="X3627" s="19"/>
      <c r="AG3627" s="16"/>
    </row>
    <row r="3628" spans="2:33">
      <c r="B3628" s="19"/>
      <c r="P3628" s="16"/>
      <c r="Q3628" s="36" t="s">
        <v>41</v>
      </c>
      <c r="R3628" s="13">
        <v>3025</v>
      </c>
      <c r="S3628" s="13">
        <v>1492</v>
      </c>
      <c r="T3628" s="13">
        <v>0</v>
      </c>
      <c r="U3628" s="13">
        <v>0</v>
      </c>
      <c r="V3628" s="13">
        <v>0</v>
      </c>
      <c r="W3628" s="37">
        <v>2112</v>
      </c>
      <c r="X3628" s="19"/>
      <c r="AG3628" s="16"/>
    </row>
    <row r="3629" spans="2:33">
      <c r="B3629" s="19"/>
      <c r="P3629" s="16"/>
      <c r="Q3629" s="36" t="s">
        <v>42</v>
      </c>
      <c r="R3629" s="13">
        <v>0</v>
      </c>
      <c r="S3629" s="13">
        <v>0</v>
      </c>
      <c r="T3629" s="13">
        <v>2736</v>
      </c>
      <c r="U3629" s="13">
        <v>1353</v>
      </c>
      <c r="V3629" s="13">
        <v>0</v>
      </c>
      <c r="W3629" s="37">
        <v>2550</v>
      </c>
      <c r="X3629" s="19"/>
      <c r="AG3629" s="16"/>
    </row>
    <row r="3630" spans="2:33">
      <c r="B3630" s="19"/>
      <c r="P3630" s="16"/>
      <c r="Q3630" s="36" t="s">
        <v>43</v>
      </c>
      <c r="R3630" s="13">
        <v>0</v>
      </c>
      <c r="S3630" s="13">
        <v>0</v>
      </c>
      <c r="T3630" s="13">
        <v>2827</v>
      </c>
      <c r="U3630" s="13">
        <v>1722</v>
      </c>
      <c r="V3630" s="13">
        <v>0</v>
      </c>
      <c r="W3630" s="37">
        <v>1643</v>
      </c>
      <c r="X3630" s="19"/>
      <c r="AG3630" s="16"/>
    </row>
    <row r="3631" spans="2:33">
      <c r="B3631" s="19"/>
      <c r="P3631" s="16"/>
      <c r="Q3631" s="36" t="s">
        <v>44</v>
      </c>
      <c r="R3631" s="13">
        <v>0</v>
      </c>
      <c r="S3631" s="13">
        <v>0</v>
      </c>
      <c r="T3631" s="13">
        <v>0</v>
      </c>
      <c r="U3631" s="13">
        <v>2957</v>
      </c>
      <c r="V3631" s="13">
        <v>1809</v>
      </c>
      <c r="W3631" s="37">
        <v>1427</v>
      </c>
      <c r="X3631" s="19"/>
      <c r="AG3631" s="16"/>
    </row>
    <row r="3632" spans="2:33">
      <c r="B3632" s="19"/>
      <c r="P3632" s="16"/>
      <c r="Q3632" s="36" t="s">
        <v>45</v>
      </c>
      <c r="R3632" s="13">
        <v>0</v>
      </c>
      <c r="S3632" s="13">
        <v>3351</v>
      </c>
      <c r="T3632" s="13">
        <v>2038</v>
      </c>
      <c r="U3632" s="13">
        <v>0</v>
      </c>
      <c r="V3632" s="13">
        <v>0</v>
      </c>
      <c r="W3632" s="37">
        <v>1901</v>
      </c>
      <c r="X3632" s="19"/>
      <c r="AG3632" s="16"/>
    </row>
    <row r="3633" spans="2:33" ht="15" thickBot="1">
      <c r="B3633" s="20"/>
      <c r="C3633" s="15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7"/>
      <c r="Q3633" s="36" t="s">
        <v>46</v>
      </c>
      <c r="R3633" s="13">
        <v>3963</v>
      </c>
      <c r="S3633" s="13">
        <v>2190</v>
      </c>
      <c r="T3633" s="13">
        <v>0</v>
      </c>
      <c r="U3633" s="13">
        <v>0</v>
      </c>
      <c r="V3633" s="13">
        <v>0</v>
      </c>
      <c r="W3633" s="37">
        <v>1973</v>
      </c>
      <c r="X3633" s="20"/>
      <c r="Y3633" s="15"/>
      <c r="Z3633" s="15"/>
      <c r="AA3633" s="15"/>
      <c r="AB3633" s="15"/>
      <c r="AC3633" s="15"/>
      <c r="AD3633" s="15"/>
      <c r="AE3633" s="15"/>
      <c r="AF3633" s="15"/>
      <c r="AG3633" s="17"/>
    </row>
    <row r="3635" spans="2:33" ht="15" thickBot="1">
      <c r="B3635" s="25" t="s">
        <v>1602</v>
      </c>
      <c r="C3635" s="26" t="s">
        <v>1603</v>
      </c>
      <c r="D3635" s="26" t="s">
        <v>1705</v>
      </c>
      <c r="E3635" s="26" t="s">
        <v>1706</v>
      </c>
      <c r="F3635" s="26" t="s">
        <v>1707</v>
      </c>
      <c r="G3635" s="26" t="s">
        <v>1708</v>
      </c>
      <c r="H3635" s="27" t="s">
        <v>704</v>
      </c>
      <c r="I3635" s="26" t="s">
        <v>1709</v>
      </c>
      <c r="J3635" s="27" t="s">
        <v>87</v>
      </c>
      <c r="K3635" s="29">
        <v>20</v>
      </c>
      <c r="L3635" s="29">
        <v>20</v>
      </c>
      <c r="M3635" s="29">
        <v>20</v>
      </c>
      <c r="N3635" s="29">
        <v>20</v>
      </c>
      <c r="O3635" s="29">
        <v>20</v>
      </c>
      <c r="P3635" s="40">
        <v>20</v>
      </c>
      <c r="Q3635" s="1" t="s">
        <v>1710</v>
      </c>
      <c r="R3635" s="2">
        <v>55</v>
      </c>
      <c r="S3635" s="2">
        <v>36</v>
      </c>
      <c r="T3635" s="2">
        <v>0</v>
      </c>
      <c r="U3635" s="2">
        <v>0</v>
      </c>
      <c r="V3635" s="2">
        <v>0</v>
      </c>
      <c r="W3635" s="2">
        <v>7</v>
      </c>
      <c r="X3635" s="43">
        <f>SUM(R3635:W3645)</f>
        <v>73441</v>
      </c>
      <c r="Y3635" s="10">
        <v>46204</v>
      </c>
      <c r="Z3635" s="11">
        <v>0.21919235148020305</v>
      </c>
      <c r="AA3635" s="11">
        <v>0.18278252950868873</v>
      </c>
      <c r="AB3635" s="11">
        <v>0.14730848520871084</v>
      </c>
      <c r="AC3635" s="11">
        <v>0.12879037718868644</v>
      </c>
      <c r="AD3635" s="11">
        <v>0.11451881259976519</v>
      </c>
      <c r="AE3635" s="11">
        <v>0.13153841003497066</v>
      </c>
      <c r="AF3635" s="11">
        <v>0.3</v>
      </c>
      <c r="AG3635" s="11">
        <v>0.23899999999999999</v>
      </c>
    </row>
    <row r="3636" spans="2:33">
      <c r="B3636" s="18"/>
      <c r="C3636" s="14"/>
      <c r="D3636" s="14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35"/>
      <c r="Q3636" s="36" t="s">
        <v>37</v>
      </c>
      <c r="R3636" s="13">
        <v>0</v>
      </c>
      <c r="S3636" s="13">
        <v>349</v>
      </c>
      <c r="T3636" s="13">
        <v>227</v>
      </c>
      <c r="U3636" s="13">
        <v>0</v>
      </c>
      <c r="V3636" s="13">
        <v>0</v>
      </c>
      <c r="W3636" s="37">
        <v>329</v>
      </c>
      <c r="X3636" s="18"/>
      <c r="Y3636" s="14"/>
      <c r="Z3636" s="14"/>
      <c r="AA3636" s="14"/>
      <c r="AB3636" s="14"/>
      <c r="AC3636" s="14"/>
      <c r="AD3636" s="14"/>
      <c r="AE3636" s="14"/>
      <c r="AF3636" s="14"/>
      <c r="AG3636" s="35"/>
    </row>
    <row r="3637" spans="2:33">
      <c r="B3637" s="19"/>
      <c r="P3637" s="16"/>
      <c r="Q3637" s="36" t="s">
        <v>38</v>
      </c>
      <c r="R3637" s="13">
        <v>0</v>
      </c>
      <c r="S3637" s="13">
        <v>0</v>
      </c>
      <c r="T3637" s="13">
        <v>0</v>
      </c>
      <c r="U3637" s="13">
        <v>2214</v>
      </c>
      <c r="V3637" s="13">
        <v>1512</v>
      </c>
      <c r="W3637" s="37">
        <v>1036</v>
      </c>
      <c r="X3637" s="19"/>
      <c r="AG3637" s="16"/>
    </row>
    <row r="3638" spans="2:33">
      <c r="B3638" s="19"/>
      <c r="P3638" s="16"/>
      <c r="Q3638" s="36" t="s">
        <v>39</v>
      </c>
      <c r="R3638" s="13">
        <v>0</v>
      </c>
      <c r="S3638" s="13">
        <v>0</v>
      </c>
      <c r="T3638" s="13">
        <v>0</v>
      </c>
      <c r="U3638" s="13">
        <v>3675</v>
      </c>
      <c r="V3638" s="13">
        <v>2262</v>
      </c>
      <c r="W3638" s="37">
        <v>2088</v>
      </c>
      <c r="X3638" s="19"/>
      <c r="AG3638" s="16"/>
    </row>
    <row r="3639" spans="2:33">
      <c r="B3639" s="19"/>
      <c r="P3639" s="16"/>
      <c r="Q3639" s="36" t="s">
        <v>40</v>
      </c>
      <c r="R3639" s="13">
        <v>0</v>
      </c>
      <c r="S3639" s="13">
        <v>0</v>
      </c>
      <c r="T3639" s="13">
        <v>4610</v>
      </c>
      <c r="U3639" s="13">
        <v>3107</v>
      </c>
      <c r="V3639" s="13">
        <v>0</v>
      </c>
      <c r="W3639" s="37">
        <v>2138</v>
      </c>
      <c r="X3639" s="19"/>
      <c r="AG3639" s="16"/>
    </row>
    <row r="3640" spans="2:33">
      <c r="B3640" s="19"/>
      <c r="P3640" s="16"/>
      <c r="Q3640" s="36" t="s">
        <v>41</v>
      </c>
      <c r="R3640" s="13">
        <v>4584</v>
      </c>
      <c r="S3640" s="13">
        <v>3116</v>
      </c>
      <c r="T3640" s="13">
        <v>0</v>
      </c>
      <c r="U3640" s="13">
        <v>0</v>
      </c>
      <c r="V3640" s="13">
        <v>0</v>
      </c>
      <c r="W3640" s="37">
        <v>2126</v>
      </c>
      <c r="X3640" s="19"/>
      <c r="AG3640" s="16"/>
    </row>
    <row r="3641" spans="2:33">
      <c r="B3641" s="19"/>
      <c r="P3641" s="16"/>
      <c r="Q3641" s="36" t="s">
        <v>42</v>
      </c>
      <c r="R3641" s="13">
        <v>0</v>
      </c>
      <c r="S3641" s="13">
        <v>0</v>
      </c>
      <c r="T3641" s="13">
        <v>4398</v>
      </c>
      <c r="U3641" s="13">
        <v>2976</v>
      </c>
      <c r="V3641" s="13">
        <v>0</v>
      </c>
      <c r="W3641" s="37">
        <v>2604</v>
      </c>
      <c r="X3641" s="19"/>
      <c r="AG3641" s="16"/>
    </row>
    <row r="3642" spans="2:33">
      <c r="B3642" s="19"/>
      <c r="P3642" s="16"/>
      <c r="Q3642" s="36" t="s">
        <v>43</v>
      </c>
      <c r="R3642" s="13">
        <v>0</v>
      </c>
      <c r="S3642" s="13">
        <v>0</v>
      </c>
      <c r="T3642" s="13">
        <v>4105</v>
      </c>
      <c r="U3642" s="13">
        <v>2780</v>
      </c>
      <c r="V3642" s="13">
        <v>0</v>
      </c>
      <c r="W3642" s="37">
        <v>2040</v>
      </c>
      <c r="X3642" s="19"/>
      <c r="AG3642" s="16"/>
    </row>
    <row r="3643" spans="2:33">
      <c r="B3643" s="19"/>
      <c r="P3643" s="16"/>
      <c r="Q3643" s="36" t="s">
        <v>44</v>
      </c>
      <c r="R3643" s="13">
        <v>0</v>
      </c>
      <c r="S3643" s="13">
        <v>0</v>
      </c>
      <c r="T3643" s="13">
        <v>0</v>
      </c>
      <c r="U3643" s="13">
        <v>3776</v>
      </c>
      <c r="V3643" s="13">
        <v>2374</v>
      </c>
      <c r="W3643" s="37">
        <v>1777</v>
      </c>
      <c r="X3643" s="19"/>
      <c r="AG3643" s="16"/>
    </row>
    <row r="3644" spans="2:33">
      <c r="B3644" s="19"/>
      <c r="P3644" s="16"/>
      <c r="Q3644" s="36" t="s">
        <v>45</v>
      </c>
      <c r="R3644" s="13">
        <v>0</v>
      </c>
      <c r="S3644" s="13">
        <v>3150</v>
      </c>
      <c r="T3644" s="13">
        <v>1952</v>
      </c>
      <c r="U3644" s="13">
        <v>0</v>
      </c>
      <c r="V3644" s="13">
        <v>0</v>
      </c>
      <c r="W3644" s="37">
        <v>1628</v>
      </c>
      <c r="X3644" s="19"/>
      <c r="AG3644" s="16"/>
    </row>
    <row r="3645" spans="2:33" ht="15" thickBot="1">
      <c r="B3645" s="20"/>
      <c r="C3645" s="15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7"/>
      <c r="Q3645" s="36" t="s">
        <v>46</v>
      </c>
      <c r="R3645" s="13">
        <v>3077</v>
      </c>
      <c r="S3645" s="13">
        <v>1970</v>
      </c>
      <c r="T3645" s="13">
        <v>0</v>
      </c>
      <c r="U3645" s="13">
        <v>0</v>
      </c>
      <c r="V3645" s="13">
        <v>0</v>
      </c>
      <c r="W3645" s="37">
        <v>1363</v>
      </c>
      <c r="X3645" s="20"/>
      <c r="Y3645" s="15"/>
      <c r="Z3645" s="15"/>
      <c r="AA3645" s="15"/>
      <c r="AB3645" s="15"/>
      <c r="AC3645" s="15"/>
      <c r="AD3645" s="15"/>
      <c r="AE3645" s="15"/>
      <c r="AF3645" s="15"/>
      <c r="AG3645" s="17"/>
    </row>
    <row r="3647" spans="2:33" ht="15" thickBot="1">
      <c r="B3647" s="25" t="s">
        <v>1602</v>
      </c>
      <c r="C3647" s="26" t="s">
        <v>1603</v>
      </c>
      <c r="D3647" s="26" t="s">
        <v>1711</v>
      </c>
      <c r="E3647" s="26" t="s">
        <v>1712</v>
      </c>
      <c r="F3647" s="26" t="s">
        <v>179</v>
      </c>
      <c r="G3647" s="26" t="s">
        <v>180</v>
      </c>
      <c r="H3647" s="27" t="s">
        <v>33</v>
      </c>
      <c r="I3647" s="26" t="s">
        <v>1713</v>
      </c>
      <c r="J3647" s="27" t="s">
        <v>87</v>
      </c>
      <c r="K3647" s="29">
        <v>55.419998168945298</v>
      </c>
      <c r="L3647" s="29">
        <v>55.419998168945298</v>
      </c>
      <c r="M3647" s="29">
        <v>55.419998168945298</v>
      </c>
      <c r="N3647" s="29">
        <v>55.419998168945298</v>
      </c>
      <c r="O3647" s="29">
        <v>55.419998168945298</v>
      </c>
      <c r="P3647" s="40">
        <v>55.419998168945298</v>
      </c>
      <c r="Q3647" s="1" t="s">
        <v>1714</v>
      </c>
      <c r="R3647" s="2">
        <v>0</v>
      </c>
      <c r="S3647" s="2">
        <v>1225</v>
      </c>
      <c r="T3647" s="2">
        <v>856</v>
      </c>
      <c r="U3647" s="2">
        <v>0</v>
      </c>
      <c r="V3647" s="2">
        <v>0</v>
      </c>
      <c r="W3647" s="2">
        <v>1157</v>
      </c>
      <c r="X3647" s="43">
        <f>SUM(R3647:W3655)</f>
        <v>84437</v>
      </c>
      <c r="Y3647" s="10">
        <v>46204</v>
      </c>
      <c r="Z3647" s="11">
        <v>0.21919235148020305</v>
      </c>
      <c r="AA3647" s="11">
        <v>0.18278252950868873</v>
      </c>
      <c r="AB3647" s="11">
        <v>0.14730848520871084</v>
      </c>
      <c r="AC3647" s="11">
        <v>0.12879037718868644</v>
      </c>
      <c r="AD3647" s="11">
        <v>0.11451881259976519</v>
      </c>
      <c r="AE3647" s="11">
        <v>0.13153841003497066</v>
      </c>
      <c r="AF3647" s="11">
        <v>0.3</v>
      </c>
      <c r="AG3647" s="11">
        <v>0.23899999999999999</v>
      </c>
    </row>
    <row r="3648" spans="2:33">
      <c r="B3648" s="18"/>
      <c r="C3648" s="14"/>
      <c r="D3648" s="14"/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35"/>
      <c r="Q3648" s="36" t="s">
        <v>1715</v>
      </c>
      <c r="R3648" s="13">
        <v>0</v>
      </c>
      <c r="S3648" s="13">
        <v>0</v>
      </c>
      <c r="T3648" s="13">
        <v>0</v>
      </c>
      <c r="U3648" s="13">
        <v>278</v>
      </c>
      <c r="V3648" s="13">
        <v>209</v>
      </c>
      <c r="W3648" s="37">
        <v>89</v>
      </c>
      <c r="X3648" s="18"/>
      <c r="Y3648" s="14"/>
      <c r="Z3648" s="14"/>
      <c r="AA3648" s="14"/>
      <c r="AB3648" s="14"/>
      <c r="AC3648" s="14"/>
      <c r="AD3648" s="14"/>
      <c r="AE3648" s="14"/>
      <c r="AF3648" s="14"/>
      <c r="AG3648" s="35"/>
    </row>
    <row r="3649" spans="2:33">
      <c r="B3649" s="19"/>
      <c r="P3649" s="16"/>
      <c r="Q3649" s="36" t="s">
        <v>40</v>
      </c>
      <c r="R3649" s="13">
        <v>0</v>
      </c>
      <c r="S3649" s="13">
        <v>0</v>
      </c>
      <c r="T3649" s="13">
        <v>4072</v>
      </c>
      <c r="U3649" s="13">
        <v>3065</v>
      </c>
      <c r="V3649" s="13">
        <v>0</v>
      </c>
      <c r="W3649" s="37">
        <v>2451</v>
      </c>
      <c r="X3649" s="19"/>
      <c r="AG3649" s="16"/>
    </row>
    <row r="3650" spans="2:33">
      <c r="B3650" s="19"/>
      <c r="P3650" s="16"/>
      <c r="Q3650" s="36" t="s">
        <v>41</v>
      </c>
      <c r="R3650" s="13">
        <v>5453</v>
      </c>
      <c r="S3650" s="13">
        <v>3417</v>
      </c>
      <c r="T3650" s="13">
        <v>0</v>
      </c>
      <c r="U3650" s="13">
        <v>0</v>
      </c>
      <c r="V3650" s="13">
        <v>0</v>
      </c>
      <c r="W3650" s="37">
        <v>3831</v>
      </c>
      <c r="X3650" s="19"/>
      <c r="AG3650" s="16"/>
    </row>
    <row r="3651" spans="2:33">
      <c r="B3651" s="19"/>
      <c r="P3651" s="16"/>
      <c r="Q3651" s="36" t="s">
        <v>42</v>
      </c>
      <c r="R3651" s="13">
        <v>0</v>
      </c>
      <c r="S3651" s="13">
        <v>0</v>
      </c>
      <c r="T3651" s="13">
        <v>5215</v>
      </c>
      <c r="U3651" s="13">
        <v>3211</v>
      </c>
      <c r="V3651" s="13">
        <v>0</v>
      </c>
      <c r="W3651" s="37">
        <v>5529</v>
      </c>
      <c r="X3651" s="19"/>
      <c r="AG3651" s="16"/>
    </row>
    <row r="3652" spans="2:33">
      <c r="B3652" s="19"/>
      <c r="P3652" s="16"/>
      <c r="Q3652" s="36" t="s">
        <v>43</v>
      </c>
      <c r="R3652" s="13">
        <v>0</v>
      </c>
      <c r="S3652" s="13">
        <v>0</v>
      </c>
      <c r="T3652" s="13">
        <v>5232</v>
      </c>
      <c r="U3652" s="13">
        <v>3279</v>
      </c>
      <c r="V3652" s="13">
        <v>0</v>
      </c>
      <c r="W3652" s="37">
        <v>3852</v>
      </c>
      <c r="X3652" s="19"/>
      <c r="AG3652" s="16"/>
    </row>
    <row r="3653" spans="2:33">
      <c r="B3653" s="19"/>
      <c r="P3653" s="16"/>
      <c r="Q3653" s="36" t="s">
        <v>44</v>
      </c>
      <c r="R3653" s="13">
        <v>0</v>
      </c>
      <c r="S3653" s="13">
        <v>0</v>
      </c>
      <c r="T3653" s="13">
        <v>0</v>
      </c>
      <c r="U3653" s="13">
        <v>5051</v>
      </c>
      <c r="V3653" s="13">
        <v>3199</v>
      </c>
      <c r="W3653" s="37">
        <v>3711</v>
      </c>
      <c r="X3653" s="19"/>
      <c r="AG3653" s="16"/>
    </row>
    <row r="3654" spans="2:33">
      <c r="B3654" s="19"/>
      <c r="P3654" s="16"/>
      <c r="Q3654" s="36" t="s">
        <v>45</v>
      </c>
      <c r="R3654" s="13">
        <v>0</v>
      </c>
      <c r="S3654" s="13">
        <v>3910</v>
      </c>
      <c r="T3654" s="13">
        <v>2458</v>
      </c>
      <c r="U3654" s="13">
        <v>0</v>
      </c>
      <c r="V3654" s="13">
        <v>0</v>
      </c>
      <c r="W3654" s="37">
        <v>3948</v>
      </c>
      <c r="X3654" s="19"/>
      <c r="AG3654" s="16"/>
    </row>
    <row r="3655" spans="2:33" ht="15" thickBot="1">
      <c r="B3655" s="20"/>
      <c r="C3655" s="15"/>
      <c r="D3655" s="15"/>
      <c r="E3655" s="15"/>
      <c r="F3655" s="15"/>
      <c r="G3655" s="15"/>
      <c r="H3655" s="15"/>
      <c r="I3655" s="15"/>
      <c r="J3655" s="15"/>
      <c r="K3655" s="15"/>
      <c r="L3655" s="15"/>
      <c r="M3655" s="15"/>
      <c r="N3655" s="15"/>
      <c r="O3655" s="15"/>
      <c r="P3655" s="17"/>
      <c r="Q3655" s="36" t="s">
        <v>46</v>
      </c>
      <c r="R3655" s="13">
        <v>3910</v>
      </c>
      <c r="S3655" s="13">
        <v>2508</v>
      </c>
      <c r="T3655" s="13">
        <v>0</v>
      </c>
      <c r="U3655" s="13">
        <v>0</v>
      </c>
      <c r="V3655" s="13">
        <v>0</v>
      </c>
      <c r="W3655" s="37">
        <v>3321</v>
      </c>
      <c r="X3655" s="20"/>
      <c r="Y3655" s="15"/>
      <c r="Z3655" s="15"/>
      <c r="AA3655" s="15"/>
      <c r="AB3655" s="15"/>
      <c r="AC3655" s="15"/>
      <c r="AD3655" s="15"/>
      <c r="AE3655" s="15"/>
      <c r="AF3655" s="15"/>
      <c r="AG3655" s="17"/>
    </row>
    <row r="3657" spans="2:33" ht="15" thickBot="1">
      <c r="B3657" s="25" t="s">
        <v>1716</v>
      </c>
      <c r="C3657" s="26" t="s">
        <v>1717</v>
      </c>
      <c r="D3657" s="26" t="s">
        <v>1718</v>
      </c>
      <c r="E3657" s="26" t="s">
        <v>1719</v>
      </c>
      <c r="F3657" s="26" t="s">
        <v>1720</v>
      </c>
      <c r="G3657" s="26" t="s">
        <v>1721</v>
      </c>
      <c r="H3657" s="27" t="s">
        <v>72</v>
      </c>
      <c r="I3657" s="26" t="s">
        <v>1722</v>
      </c>
      <c r="J3657" s="27" t="s">
        <v>34</v>
      </c>
      <c r="K3657" s="29">
        <v>9.8999996185302699</v>
      </c>
      <c r="L3657" s="29">
        <v>9.8999996185302699</v>
      </c>
      <c r="M3657" s="29">
        <v>9.8999996185302699</v>
      </c>
      <c r="N3657" s="29">
        <v>9.8999996185302699</v>
      </c>
      <c r="O3657" s="29">
        <v>9.8999996185302699</v>
      </c>
      <c r="P3657" s="40">
        <v>9.8999996185302699</v>
      </c>
      <c r="Q3657" s="1" t="s">
        <v>35</v>
      </c>
      <c r="R3657" s="2">
        <v>155</v>
      </c>
      <c r="S3657" s="2">
        <v>114</v>
      </c>
      <c r="T3657" s="2">
        <v>0</v>
      </c>
      <c r="U3657" s="2">
        <v>0</v>
      </c>
      <c r="V3657" s="2">
        <v>0</v>
      </c>
      <c r="W3657" s="2">
        <v>207</v>
      </c>
      <c r="X3657" s="43">
        <f>SUM(R3657:W3669)</f>
        <v>2430</v>
      </c>
      <c r="Y3657" s="10">
        <v>46202</v>
      </c>
      <c r="Z3657" s="11">
        <v>0.1905382461068803</v>
      </c>
      <c r="AA3657" s="11">
        <v>0.15945002794194035</v>
      </c>
      <c r="AB3657" s="11">
        <v>0.13221737173042739</v>
      </c>
      <c r="AC3657" s="11">
        <v>0.11821611705587234</v>
      </c>
      <c r="AD3657" s="11">
        <v>0.10730195790232512</v>
      </c>
      <c r="AE3657" s="11">
        <v>0.12297269212691679</v>
      </c>
      <c r="AF3657" s="11">
        <v>1.1100000000000001</v>
      </c>
      <c r="AG3657" s="11">
        <v>0.23899999999999999</v>
      </c>
    </row>
    <row r="3658" spans="2:33">
      <c r="B3658" s="18"/>
      <c r="C3658" s="14"/>
      <c r="D3658" s="14"/>
      <c r="E3658" s="14"/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35"/>
      <c r="Q3658" s="36" t="s">
        <v>36</v>
      </c>
      <c r="R3658" s="13">
        <v>169</v>
      </c>
      <c r="S3658" s="13">
        <v>154</v>
      </c>
      <c r="T3658" s="13">
        <v>0</v>
      </c>
      <c r="U3658" s="13">
        <v>0</v>
      </c>
      <c r="V3658" s="13">
        <v>0</v>
      </c>
      <c r="W3658" s="37">
        <v>197</v>
      </c>
      <c r="X3658" s="18"/>
      <c r="Y3658" s="14"/>
      <c r="Z3658" s="14"/>
      <c r="AA3658" s="14"/>
      <c r="AB3658" s="14"/>
      <c r="AC3658" s="14"/>
      <c r="AD3658" s="14"/>
      <c r="AE3658" s="14"/>
      <c r="AF3658" s="14"/>
      <c r="AG3658" s="35"/>
    </row>
    <row r="3659" spans="2:33">
      <c r="B3659" s="19"/>
      <c r="P3659" s="16"/>
      <c r="Q3659" s="36" t="s">
        <v>37</v>
      </c>
      <c r="R3659" s="13">
        <v>0</v>
      </c>
      <c r="S3659" s="13">
        <v>46</v>
      </c>
      <c r="T3659" s="13">
        <v>46</v>
      </c>
      <c r="U3659" s="13">
        <v>0</v>
      </c>
      <c r="V3659" s="13">
        <v>0</v>
      </c>
      <c r="W3659" s="37">
        <v>163</v>
      </c>
      <c r="X3659" s="19"/>
      <c r="AG3659" s="16"/>
    </row>
    <row r="3660" spans="2:33">
      <c r="B3660" s="19"/>
      <c r="P3660" s="16"/>
      <c r="Q3660" s="36" t="s">
        <v>38</v>
      </c>
      <c r="R3660" s="13">
        <v>0</v>
      </c>
      <c r="S3660" s="13">
        <v>0</v>
      </c>
      <c r="T3660" s="13">
        <v>0</v>
      </c>
      <c r="U3660" s="13">
        <v>29</v>
      </c>
      <c r="V3660" s="13">
        <v>33</v>
      </c>
      <c r="W3660" s="37">
        <v>133</v>
      </c>
      <c r="X3660" s="19"/>
      <c r="AG3660" s="16"/>
    </row>
    <row r="3661" spans="2:33">
      <c r="B3661" s="19"/>
      <c r="P3661" s="16"/>
      <c r="Q3661" s="36" t="s">
        <v>39</v>
      </c>
      <c r="R3661" s="13">
        <v>0</v>
      </c>
      <c r="S3661" s="13">
        <v>0</v>
      </c>
      <c r="T3661" s="13">
        <v>0</v>
      </c>
      <c r="U3661" s="13">
        <v>28</v>
      </c>
      <c r="V3661" s="13">
        <v>35</v>
      </c>
      <c r="W3661" s="37">
        <v>143</v>
      </c>
      <c r="X3661" s="19"/>
      <c r="AG3661" s="16"/>
    </row>
    <row r="3662" spans="2:33">
      <c r="B3662" s="19"/>
      <c r="P3662" s="16"/>
      <c r="Q3662" s="36" t="s">
        <v>40</v>
      </c>
      <c r="R3662" s="13">
        <v>0</v>
      </c>
      <c r="S3662" s="13">
        <v>0</v>
      </c>
      <c r="T3662" s="13">
        <v>24</v>
      </c>
      <c r="U3662" s="13">
        <v>32</v>
      </c>
      <c r="V3662" s="13">
        <v>0</v>
      </c>
      <c r="W3662" s="37">
        <v>116</v>
      </c>
      <c r="X3662" s="19"/>
      <c r="AG3662" s="16"/>
    </row>
    <row r="3663" spans="2:33">
      <c r="B3663" s="19"/>
      <c r="P3663" s="16"/>
      <c r="Q3663" s="36" t="s">
        <v>41</v>
      </c>
      <c r="R3663" s="13">
        <v>44</v>
      </c>
      <c r="S3663" s="13">
        <v>45</v>
      </c>
      <c r="T3663" s="13">
        <v>0</v>
      </c>
      <c r="U3663" s="13">
        <v>0</v>
      </c>
      <c r="V3663" s="13">
        <v>0</v>
      </c>
      <c r="W3663" s="37">
        <v>124</v>
      </c>
      <c r="X3663" s="19"/>
      <c r="AG3663" s="16"/>
    </row>
    <row r="3664" spans="2:33">
      <c r="B3664" s="19"/>
      <c r="P3664" s="16"/>
      <c r="Q3664" s="36" t="s">
        <v>808</v>
      </c>
      <c r="R3664" s="13">
        <v>0</v>
      </c>
      <c r="S3664" s="13">
        <v>0</v>
      </c>
      <c r="T3664" s="13">
        <v>0</v>
      </c>
      <c r="U3664" s="13">
        <v>0</v>
      </c>
      <c r="V3664" s="13">
        <v>0</v>
      </c>
      <c r="W3664" s="37">
        <v>0</v>
      </c>
      <c r="X3664" s="19"/>
      <c r="AG3664" s="16"/>
    </row>
    <row r="3665" spans="2:33">
      <c r="B3665" s="19"/>
      <c r="P3665" s="16"/>
      <c r="Q3665" s="36" t="s">
        <v>1723</v>
      </c>
      <c r="R3665" s="13">
        <v>0</v>
      </c>
      <c r="S3665" s="13">
        <v>0</v>
      </c>
      <c r="T3665" s="13">
        <v>31</v>
      </c>
      <c r="U3665" s="13">
        <v>30</v>
      </c>
      <c r="V3665" s="13">
        <v>0</v>
      </c>
      <c r="W3665" s="37">
        <v>135</v>
      </c>
      <c r="X3665" s="19"/>
      <c r="AG3665" s="16"/>
    </row>
    <row r="3666" spans="2:33">
      <c r="B3666" s="19"/>
      <c r="P3666" s="16"/>
      <c r="Q3666" s="36" t="s">
        <v>43</v>
      </c>
      <c r="R3666" s="13">
        <v>0</v>
      </c>
      <c r="S3666" s="13">
        <v>0</v>
      </c>
      <c r="T3666" s="13">
        <v>33</v>
      </c>
      <c r="U3666" s="13">
        <v>33</v>
      </c>
      <c r="V3666" s="13">
        <v>0</v>
      </c>
      <c r="W3666" s="37">
        <v>131</v>
      </c>
      <c r="X3666" s="19"/>
      <c r="AG3666" s="16"/>
    </row>
    <row r="3667" spans="2:33">
      <c r="B3667" s="19"/>
      <c r="P3667" s="16"/>
      <c r="Q3667" s="36" t="s">
        <v>44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37">
        <v>0</v>
      </c>
      <c r="X3667" s="19"/>
      <c r="AG3667" s="16"/>
    </row>
    <row r="3668" spans="2:33">
      <c r="B3668" s="19"/>
      <c r="P3668" s="16"/>
      <c r="Q3668" s="36" t="s">
        <v>45</v>
      </c>
      <c r="R3668" s="13">
        <v>0</v>
      </c>
      <c r="S3668" s="13">
        <v>0</v>
      </c>
      <c r="T3668" s="13">
        <v>0</v>
      </c>
      <c r="U3668" s="13">
        <v>0</v>
      </c>
      <c r="V3668" s="13">
        <v>0</v>
      </c>
      <c r="W3668" s="37">
        <v>0</v>
      </c>
      <c r="X3668" s="19"/>
      <c r="AG3668" s="16"/>
    </row>
    <row r="3669" spans="2:33" ht="15" thickBot="1">
      <c r="B3669" s="20"/>
      <c r="C3669" s="15"/>
      <c r="D3669" s="15"/>
      <c r="E3669" s="15"/>
      <c r="F3669" s="15"/>
      <c r="G3669" s="15"/>
      <c r="H3669" s="15"/>
      <c r="I3669" s="15"/>
      <c r="J3669" s="15"/>
      <c r="K3669" s="15"/>
      <c r="L3669" s="15"/>
      <c r="M3669" s="15"/>
      <c r="N3669" s="15"/>
      <c r="O3669" s="15"/>
      <c r="P3669" s="17"/>
      <c r="Q3669" s="36" t="s">
        <v>46</v>
      </c>
      <c r="R3669" s="13">
        <v>0</v>
      </c>
      <c r="S3669" s="13">
        <v>0</v>
      </c>
      <c r="T3669" s="13">
        <v>0</v>
      </c>
      <c r="U3669" s="13">
        <v>0</v>
      </c>
      <c r="V3669" s="13">
        <v>0</v>
      </c>
      <c r="W3669" s="37">
        <v>0</v>
      </c>
      <c r="X3669" s="20"/>
      <c r="Y3669" s="15"/>
      <c r="Z3669" s="15"/>
      <c r="AA3669" s="15"/>
      <c r="AB3669" s="15"/>
      <c r="AC3669" s="15"/>
      <c r="AD3669" s="15"/>
      <c r="AE3669" s="15"/>
      <c r="AF3669" s="15"/>
      <c r="AG3669" s="17"/>
    </row>
    <row r="3671" spans="2:33" ht="15" thickBot="1">
      <c r="B3671" s="25" t="s">
        <v>1724</v>
      </c>
      <c r="C3671" s="26" t="s">
        <v>1725</v>
      </c>
      <c r="D3671" s="26" t="s">
        <v>1726</v>
      </c>
      <c r="E3671" s="26" t="s">
        <v>1727</v>
      </c>
      <c r="F3671" s="26" t="s">
        <v>1728</v>
      </c>
      <c r="G3671" s="26" t="s">
        <v>1729</v>
      </c>
      <c r="H3671" s="27" t="s">
        <v>75</v>
      </c>
      <c r="I3671" s="26" t="s">
        <v>1730</v>
      </c>
      <c r="J3671" s="27" t="s">
        <v>34</v>
      </c>
      <c r="K3671" s="29">
        <v>9.8999996185302699</v>
      </c>
      <c r="L3671" s="29">
        <v>9.8999996185302699</v>
      </c>
      <c r="M3671" s="29">
        <v>9.8999996185302699</v>
      </c>
      <c r="N3671" s="29">
        <v>9.8999996185302699</v>
      </c>
      <c r="O3671" s="29">
        <v>9.8999996185302699</v>
      </c>
      <c r="P3671" s="40">
        <v>9.8999996185302699</v>
      </c>
      <c r="Q3671" s="1" t="s">
        <v>35</v>
      </c>
      <c r="R3671" s="2">
        <v>87</v>
      </c>
      <c r="S3671" s="2">
        <v>81</v>
      </c>
      <c r="T3671" s="2">
        <v>0</v>
      </c>
      <c r="U3671" s="2">
        <v>0</v>
      </c>
      <c r="V3671" s="2">
        <v>0</v>
      </c>
      <c r="W3671" s="2">
        <v>175</v>
      </c>
      <c r="X3671" s="43">
        <f>SUM(R3671:W3682)</f>
        <v>6611</v>
      </c>
      <c r="Y3671" s="10">
        <v>46204</v>
      </c>
      <c r="Z3671" s="11">
        <v>0.1905382461068803</v>
      </c>
      <c r="AA3671" s="11">
        <v>0.15945002794194035</v>
      </c>
      <c r="AB3671" s="11">
        <v>0.13221737173042739</v>
      </c>
      <c r="AC3671" s="11">
        <v>0.11821611705587234</v>
      </c>
      <c r="AD3671" s="11">
        <v>0.10730195790232512</v>
      </c>
      <c r="AE3671" s="11">
        <v>0.12297269212691679</v>
      </c>
      <c r="AF3671" s="11">
        <v>1.1100000000000001</v>
      </c>
      <c r="AG3671" s="11">
        <v>0.23899999999999999</v>
      </c>
    </row>
    <row r="3672" spans="2:33">
      <c r="B3672" s="18"/>
      <c r="C3672" s="14"/>
      <c r="D3672" s="14"/>
      <c r="E3672" s="14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35"/>
      <c r="Q3672" s="36" t="s">
        <v>36</v>
      </c>
      <c r="R3672" s="13">
        <v>74</v>
      </c>
      <c r="S3672" s="13">
        <v>67</v>
      </c>
      <c r="T3672" s="13">
        <v>0</v>
      </c>
      <c r="U3672" s="13">
        <v>0</v>
      </c>
      <c r="V3672" s="13">
        <v>0</v>
      </c>
      <c r="W3672" s="37">
        <v>331</v>
      </c>
      <c r="X3672" s="18"/>
      <c r="Y3672" s="14"/>
      <c r="Z3672" s="14"/>
      <c r="AA3672" s="14"/>
      <c r="AB3672" s="14"/>
      <c r="AC3672" s="14"/>
      <c r="AD3672" s="14"/>
      <c r="AE3672" s="14"/>
      <c r="AF3672" s="14"/>
      <c r="AG3672" s="35"/>
    </row>
    <row r="3673" spans="2:33">
      <c r="B3673" s="19"/>
      <c r="P3673" s="16"/>
      <c r="Q3673" s="36" t="s">
        <v>37</v>
      </c>
      <c r="R3673" s="13">
        <v>0</v>
      </c>
      <c r="S3673" s="13">
        <v>75</v>
      </c>
      <c r="T3673" s="13">
        <v>78</v>
      </c>
      <c r="U3673" s="13">
        <v>0</v>
      </c>
      <c r="V3673" s="13">
        <v>0</v>
      </c>
      <c r="W3673" s="37">
        <v>163</v>
      </c>
      <c r="X3673" s="19"/>
      <c r="AG3673" s="16"/>
    </row>
    <row r="3674" spans="2:33">
      <c r="B3674" s="19"/>
      <c r="P3674" s="16"/>
      <c r="Q3674" s="36" t="s">
        <v>38</v>
      </c>
      <c r="R3674" s="13">
        <v>0</v>
      </c>
      <c r="S3674" s="13">
        <v>0</v>
      </c>
      <c r="T3674" s="13">
        <v>0</v>
      </c>
      <c r="U3674" s="13">
        <v>176</v>
      </c>
      <c r="V3674" s="13">
        <v>152</v>
      </c>
      <c r="W3674" s="37">
        <v>257</v>
      </c>
      <c r="X3674" s="19"/>
      <c r="AG3674" s="16"/>
    </row>
    <row r="3675" spans="2:33">
      <c r="B3675" s="19"/>
      <c r="P3675" s="16"/>
      <c r="Q3675" s="36" t="s">
        <v>39</v>
      </c>
      <c r="R3675" s="13">
        <v>0</v>
      </c>
      <c r="S3675" s="13">
        <v>0</v>
      </c>
      <c r="T3675" s="13">
        <v>0</v>
      </c>
      <c r="U3675" s="13">
        <v>103</v>
      </c>
      <c r="V3675" s="13">
        <v>81</v>
      </c>
      <c r="W3675" s="37">
        <v>198</v>
      </c>
      <c r="X3675" s="19"/>
      <c r="AG3675" s="16"/>
    </row>
    <row r="3676" spans="2:33">
      <c r="B3676" s="19"/>
      <c r="P3676" s="16"/>
      <c r="Q3676" s="36" t="s">
        <v>40</v>
      </c>
      <c r="R3676" s="13">
        <v>0</v>
      </c>
      <c r="S3676" s="13">
        <v>0</v>
      </c>
      <c r="T3676" s="13">
        <v>101</v>
      </c>
      <c r="U3676" s="13">
        <v>87</v>
      </c>
      <c r="V3676" s="13">
        <v>0</v>
      </c>
      <c r="W3676" s="37">
        <v>187</v>
      </c>
      <c r="X3676" s="19"/>
      <c r="AG3676" s="16"/>
    </row>
    <row r="3677" spans="2:33">
      <c r="B3677" s="19"/>
      <c r="P3677" s="16"/>
      <c r="Q3677" s="36" t="s">
        <v>41</v>
      </c>
      <c r="R3677" s="13">
        <v>112</v>
      </c>
      <c r="S3677" s="13">
        <v>98</v>
      </c>
      <c r="T3677" s="13">
        <v>0</v>
      </c>
      <c r="U3677" s="13">
        <v>0</v>
      </c>
      <c r="V3677" s="13">
        <v>0</v>
      </c>
      <c r="W3677" s="37">
        <v>195</v>
      </c>
      <c r="X3677" s="19"/>
      <c r="AG3677" s="16"/>
    </row>
    <row r="3678" spans="2:33">
      <c r="B3678" s="19"/>
      <c r="P3678" s="16"/>
      <c r="Q3678" s="36" t="s">
        <v>42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37">
        <v>0</v>
      </c>
      <c r="X3678" s="19"/>
      <c r="AG3678" s="16"/>
    </row>
    <row r="3679" spans="2:33">
      <c r="B3679" s="19"/>
      <c r="P3679" s="16"/>
      <c r="Q3679" s="36" t="s">
        <v>43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37">
        <v>0</v>
      </c>
      <c r="X3679" s="19"/>
      <c r="AG3679" s="16"/>
    </row>
    <row r="3680" spans="2:33">
      <c r="B3680" s="19"/>
      <c r="P3680" s="16"/>
      <c r="Q3680" s="36" t="s">
        <v>44</v>
      </c>
      <c r="R3680" s="13">
        <v>0</v>
      </c>
      <c r="S3680" s="13">
        <v>0</v>
      </c>
      <c r="T3680" s="13">
        <v>364</v>
      </c>
      <c r="U3680" s="13">
        <v>500</v>
      </c>
      <c r="V3680" s="13">
        <v>183</v>
      </c>
      <c r="W3680" s="37">
        <v>1084</v>
      </c>
      <c r="X3680" s="19"/>
      <c r="AG3680" s="16"/>
    </row>
    <row r="3681" spans="2:33">
      <c r="B3681" s="19"/>
      <c r="P3681" s="16"/>
      <c r="Q3681" s="36" t="s">
        <v>45</v>
      </c>
      <c r="R3681" s="13">
        <v>0</v>
      </c>
      <c r="S3681" s="13">
        <v>90</v>
      </c>
      <c r="T3681" s="13">
        <v>328</v>
      </c>
      <c r="U3681" s="13">
        <v>0</v>
      </c>
      <c r="V3681" s="13">
        <v>0</v>
      </c>
      <c r="W3681" s="37">
        <v>859</v>
      </c>
      <c r="X3681" s="19"/>
      <c r="AG3681" s="16"/>
    </row>
    <row r="3682" spans="2:33" ht="15" thickBot="1">
      <c r="B3682" s="20"/>
      <c r="C3682" s="15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7"/>
      <c r="Q3682" s="36" t="s">
        <v>46</v>
      </c>
      <c r="R3682" s="13">
        <v>82</v>
      </c>
      <c r="S3682" s="13">
        <v>71</v>
      </c>
      <c r="T3682" s="13">
        <v>0</v>
      </c>
      <c r="U3682" s="13">
        <v>0</v>
      </c>
      <c r="V3682" s="13">
        <v>0</v>
      </c>
      <c r="W3682" s="37">
        <v>172</v>
      </c>
      <c r="X3682" s="20"/>
      <c r="Y3682" s="15"/>
      <c r="Z3682" s="15"/>
      <c r="AA3682" s="15"/>
      <c r="AB3682" s="15"/>
      <c r="AC3682" s="15"/>
      <c r="AD3682" s="15"/>
      <c r="AE3682" s="15"/>
      <c r="AF3682" s="15"/>
      <c r="AG3682" s="17"/>
    </row>
    <row r="3684" spans="2:33" ht="15" thickBot="1">
      <c r="B3684" s="25" t="s">
        <v>1731</v>
      </c>
      <c r="C3684" s="26" t="s">
        <v>1732</v>
      </c>
      <c r="D3684" s="26" t="s">
        <v>1733</v>
      </c>
      <c r="E3684" s="26" t="s">
        <v>1734</v>
      </c>
      <c r="F3684" s="26" t="s">
        <v>1735</v>
      </c>
      <c r="G3684" s="26" t="s">
        <v>1736</v>
      </c>
      <c r="H3684" s="27" t="s">
        <v>1671</v>
      </c>
      <c r="I3684" s="26" t="s">
        <v>1737</v>
      </c>
      <c r="J3684" s="27" t="s">
        <v>56</v>
      </c>
      <c r="K3684" s="29">
        <v>3</v>
      </c>
      <c r="L3684" s="29">
        <v>3</v>
      </c>
      <c r="M3684" s="29">
        <v>3</v>
      </c>
      <c r="N3684" s="29">
        <v>0</v>
      </c>
      <c r="O3684" s="29">
        <v>0</v>
      </c>
      <c r="P3684" s="40">
        <v>0</v>
      </c>
      <c r="Q3684" s="1" t="s">
        <v>1738</v>
      </c>
      <c r="R3684" s="2">
        <v>220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43">
        <f>SUM(R3684:W3696)</f>
        <v>4606</v>
      </c>
      <c r="Y3684" s="10">
        <v>46204</v>
      </c>
      <c r="Z3684" s="11">
        <v>0.24024557835596999</v>
      </c>
      <c r="AA3684" s="11">
        <v>0.16373112856427666</v>
      </c>
      <c r="AB3684" s="11">
        <v>0.13600550648167117</v>
      </c>
      <c r="AC3684" s="11"/>
      <c r="AD3684" s="11"/>
      <c r="AE3684" s="11"/>
      <c r="AF3684" s="11">
        <v>1.1100000000000001</v>
      </c>
      <c r="AG3684" s="11">
        <v>0.23899999999999999</v>
      </c>
    </row>
    <row r="3685" spans="2:33">
      <c r="B3685" s="18"/>
      <c r="C3685" s="14"/>
      <c r="D3685" s="14"/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35"/>
      <c r="Q3685" s="36" t="s">
        <v>1739</v>
      </c>
      <c r="R3685" s="13">
        <v>208</v>
      </c>
      <c r="S3685" s="13">
        <v>0</v>
      </c>
      <c r="T3685" s="13">
        <v>0</v>
      </c>
      <c r="U3685" s="13">
        <v>0</v>
      </c>
      <c r="V3685" s="13">
        <v>0</v>
      </c>
      <c r="W3685" s="37">
        <v>0</v>
      </c>
      <c r="X3685" s="18"/>
      <c r="Y3685" s="14"/>
      <c r="Z3685" s="14"/>
      <c r="AA3685" s="14"/>
      <c r="AB3685" s="14"/>
      <c r="AC3685" s="14"/>
      <c r="AD3685" s="14"/>
      <c r="AE3685" s="14"/>
      <c r="AF3685" s="14"/>
      <c r="AG3685" s="35"/>
    </row>
    <row r="3686" spans="2:33">
      <c r="B3686" s="19"/>
      <c r="P3686" s="16"/>
      <c r="Q3686" s="36" t="s">
        <v>1129</v>
      </c>
      <c r="R3686" s="13">
        <v>240</v>
      </c>
      <c r="S3686" s="13">
        <v>0</v>
      </c>
      <c r="T3686" s="13">
        <v>0</v>
      </c>
      <c r="U3686" s="13">
        <v>0</v>
      </c>
      <c r="V3686" s="13">
        <v>0</v>
      </c>
      <c r="W3686" s="37">
        <v>0</v>
      </c>
      <c r="X3686" s="19"/>
      <c r="AG3686" s="16"/>
    </row>
    <row r="3687" spans="2:33">
      <c r="B3687" s="19"/>
      <c r="P3687" s="16"/>
      <c r="Q3687" s="36" t="s">
        <v>1740</v>
      </c>
      <c r="R3687" s="13">
        <v>9</v>
      </c>
      <c r="S3687" s="13">
        <v>0</v>
      </c>
      <c r="T3687" s="13">
        <v>0</v>
      </c>
      <c r="U3687" s="13">
        <v>0</v>
      </c>
      <c r="V3687" s="13">
        <v>0</v>
      </c>
      <c r="W3687" s="37">
        <v>0</v>
      </c>
      <c r="X3687" s="19"/>
      <c r="AG3687" s="16"/>
    </row>
    <row r="3688" spans="2:33">
      <c r="B3688" s="19"/>
      <c r="P3688" s="16"/>
      <c r="Q3688" s="36" t="s">
        <v>1741</v>
      </c>
      <c r="R3688" s="13">
        <v>69</v>
      </c>
      <c r="S3688" s="13">
        <v>86</v>
      </c>
      <c r="T3688" s="13">
        <v>167</v>
      </c>
      <c r="U3688" s="13">
        <v>0</v>
      </c>
      <c r="V3688" s="13">
        <v>0</v>
      </c>
      <c r="W3688" s="37">
        <v>0</v>
      </c>
      <c r="X3688" s="19"/>
      <c r="AG3688" s="16"/>
    </row>
    <row r="3689" spans="2:33">
      <c r="B3689" s="19"/>
      <c r="P3689" s="16"/>
      <c r="Q3689" s="36" t="s">
        <v>1131</v>
      </c>
      <c r="R3689" s="13">
        <v>81</v>
      </c>
      <c r="S3689" s="13">
        <v>85</v>
      </c>
      <c r="T3689" s="13">
        <v>206</v>
      </c>
      <c r="U3689" s="13">
        <v>0</v>
      </c>
      <c r="V3689" s="13">
        <v>0</v>
      </c>
      <c r="W3689" s="37">
        <v>0</v>
      </c>
      <c r="X3689" s="19"/>
      <c r="AG3689" s="16"/>
    </row>
    <row r="3690" spans="2:33">
      <c r="B3690" s="19"/>
      <c r="P3690" s="16"/>
      <c r="Q3690" s="36" t="s">
        <v>1373</v>
      </c>
      <c r="R3690" s="13">
        <v>98</v>
      </c>
      <c r="S3690" s="13">
        <v>96</v>
      </c>
      <c r="T3690" s="13">
        <v>206</v>
      </c>
      <c r="U3690" s="13">
        <v>0</v>
      </c>
      <c r="V3690" s="13">
        <v>0</v>
      </c>
      <c r="W3690" s="37">
        <v>0</v>
      </c>
      <c r="X3690" s="19"/>
      <c r="AG3690" s="16"/>
    </row>
    <row r="3691" spans="2:33">
      <c r="B3691" s="19"/>
      <c r="P3691" s="16"/>
      <c r="Q3691" s="36" t="s">
        <v>1742</v>
      </c>
      <c r="R3691" s="13">
        <v>205</v>
      </c>
      <c r="S3691" s="13">
        <v>197</v>
      </c>
      <c r="T3691" s="13">
        <v>388</v>
      </c>
      <c r="U3691" s="13">
        <v>0</v>
      </c>
      <c r="V3691" s="13">
        <v>0</v>
      </c>
      <c r="W3691" s="37">
        <v>0</v>
      </c>
      <c r="X3691" s="19"/>
      <c r="AG3691" s="16"/>
    </row>
    <row r="3692" spans="2:33">
      <c r="B3692" s="19"/>
      <c r="P3692" s="16"/>
      <c r="Q3692" s="36" t="s">
        <v>1743</v>
      </c>
      <c r="R3692" s="13">
        <v>108</v>
      </c>
      <c r="S3692" s="13">
        <v>110</v>
      </c>
      <c r="T3692" s="13">
        <v>282</v>
      </c>
      <c r="U3692" s="13">
        <v>0</v>
      </c>
      <c r="V3692" s="13">
        <v>0</v>
      </c>
      <c r="W3692" s="37">
        <v>0</v>
      </c>
      <c r="X3692" s="19"/>
      <c r="AG3692" s="16"/>
    </row>
    <row r="3693" spans="2:33">
      <c r="B3693" s="19"/>
      <c r="P3693" s="16"/>
      <c r="Q3693" s="36" t="s">
        <v>1376</v>
      </c>
      <c r="R3693" s="13">
        <v>137</v>
      </c>
      <c r="S3693" s="13">
        <v>143</v>
      </c>
      <c r="T3693" s="13">
        <v>263</v>
      </c>
      <c r="U3693" s="13">
        <v>0</v>
      </c>
      <c r="V3693" s="13">
        <v>0</v>
      </c>
      <c r="W3693" s="37">
        <v>0</v>
      </c>
      <c r="X3693" s="19"/>
      <c r="AG3693" s="16"/>
    </row>
    <row r="3694" spans="2:33">
      <c r="B3694" s="19"/>
      <c r="P3694" s="16"/>
      <c r="Q3694" s="36" t="s">
        <v>1744</v>
      </c>
      <c r="R3694" s="13">
        <v>82</v>
      </c>
      <c r="S3694" s="13">
        <v>89</v>
      </c>
      <c r="T3694" s="13">
        <v>175</v>
      </c>
      <c r="U3694" s="13">
        <v>0</v>
      </c>
      <c r="V3694" s="13">
        <v>0</v>
      </c>
      <c r="W3694" s="37">
        <v>0</v>
      </c>
      <c r="X3694" s="19"/>
      <c r="AG3694" s="16"/>
    </row>
    <row r="3695" spans="2:33">
      <c r="B3695" s="19"/>
      <c r="P3695" s="16"/>
      <c r="Q3695" s="36" t="s">
        <v>1745</v>
      </c>
      <c r="R3695" s="13">
        <v>79</v>
      </c>
      <c r="S3695" s="13">
        <v>79</v>
      </c>
      <c r="T3695" s="13">
        <v>146</v>
      </c>
      <c r="U3695" s="13">
        <v>0</v>
      </c>
      <c r="V3695" s="13">
        <v>0</v>
      </c>
      <c r="W3695" s="37">
        <v>0</v>
      </c>
      <c r="X3695" s="19"/>
      <c r="AG3695" s="16"/>
    </row>
    <row r="3696" spans="2:33" ht="15" thickBot="1">
      <c r="B3696" s="20"/>
      <c r="C3696" s="15"/>
      <c r="D3696" s="15"/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7"/>
      <c r="Q3696" s="36" t="s">
        <v>1137</v>
      </c>
      <c r="R3696" s="13">
        <v>81</v>
      </c>
      <c r="S3696" s="13">
        <v>81</v>
      </c>
      <c r="T3696" s="13">
        <v>190</v>
      </c>
      <c r="U3696" s="13">
        <v>0</v>
      </c>
      <c r="V3696" s="13">
        <v>0</v>
      </c>
      <c r="W3696" s="37">
        <v>0</v>
      </c>
      <c r="X3696" s="20"/>
      <c r="Y3696" s="15"/>
      <c r="Z3696" s="15"/>
      <c r="AA3696" s="15"/>
      <c r="AB3696" s="15"/>
      <c r="AC3696" s="15"/>
      <c r="AD3696" s="15"/>
      <c r="AE3696" s="15"/>
      <c r="AF3696" s="15"/>
      <c r="AG3696" s="17"/>
    </row>
    <row r="3698" spans="2:33" ht="15" thickBot="1">
      <c r="B3698" s="25" t="s">
        <v>1731</v>
      </c>
      <c r="C3698" s="26" t="s">
        <v>1732</v>
      </c>
      <c r="D3698" s="26" t="s">
        <v>1746</v>
      </c>
      <c r="E3698" s="26" t="s">
        <v>1747</v>
      </c>
      <c r="F3698" s="26" t="s">
        <v>1748</v>
      </c>
      <c r="G3698" s="26" t="s">
        <v>1749</v>
      </c>
      <c r="H3698" s="27" t="s">
        <v>469</v>
      </c>
      <c r="I3698" s="26" t="s">
        <v>1750</v>
      </c>
      <c r="J3698" s="27" t="s">
        <v>56</v>
      </c>
      <c r="K3698" s="29">
        <v>9.1999998092651403</v>
      </c>
      <c r="L3698" s="29">
        <v>9.1999998092651403</v>
      </c>
      <c r="M3698" s="29">
        <v>9.1999998092651403</v>
      </c>
      <c r="N3698" s="29">
        <v>0</v>
      </c>
      <c r="O3698" s="29">
        <v>0</v>
      </c>
      <c r="P3698" s="40">
        <v>0</v>
      </c>
      <c r="Q3698" s="1" t="s">
        <v>1751</v>
      </c>
      <c r="R3698" s="2">
        <v>14.029999732971191</v>
      </c>
      <c r="S3698" s="2">
        <v>13.060000419616699</v>
      </c>
      <c r="T3698" s="2">
        <v>35.310001373291016</v>
      </c>
      <c r="U3698" s="2">
        <v>0</v>
      </c>
      <c r="V3698" s="2">
        <v>0</v>
      </c>
      <c r="W3698" s="2">
        <v>0</v>
      </c>
      <c r="X3698" s="43">
        <f>SUM(R3698:W3709)</f>
        <v>1953.1199960708618</v>
      </c>
      <c r="Y3698" s="10">
        <v>46204</v>
      </c>
      <c r="Z3698" s="11">
        <v>0.24024557835596999</v>
      </c>
      <c r="AA3698" s="11">
        <v>0.16373112856427666</v>
      </c>
      <c r="AB3698" s="11">
        <v>0.13600550648167117</v>
      </c>
      <c r="AC3698" s="11"/>
      <c r="AD3698" s="11"/>
      <c r="AE3698" s="11"/>
      <c r="AF3698" s="11">
        <v>1.1100000000000001</v>
      </c>
      <c r="AG3698" s="11">
        <v>0.23899999999999999</v>
      </c>
    </row>
    <row r="3699" spans="2:33">
      <c r="B3699" s="18"/>
      <c r="C3699" s="14"/>
      <c r="D3699" s="14"/>
      <c r="E3699" s="14"/>
      <c r="F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35"/>
      <c r="Q3699" s="36" t="s">
        <v>1752</v>
      </c>
      <c r="R3699" s="13">
        <v>34.939998626708984</v>
      </c>
      <c r="S3699" s="13">
        <v>34.759998321533203</v>
      </c>
      <c r="T3699" s="13">
        <v>76.75</v>
      </c>
      <c r="U3699" s="13">
        <v>0</v>
      </c>
      <c r="V3699" s="13">
        <v>0</v>
      </c>
      <c r="W3699" s="37">
        <v>0</v>
      </c>
      <c r="X3699" s="18"/>
      <c r="Y3699" s="14"/>
      <c r="Z3699" s="14"/>
      <c r="AA3699" s="14"/>
      <c r="AB3699" s="14"/>
      <c r="AC3699" s="14"/>
      <c r="AD3699" s="14"/>
      <c r="AE3699" s="14"/>
      <c r="AF3699" s="14"/>
      <c r="AG3699" s="35"/>
    </row>
    <row r="3700" spans="2:33">
      <c r="B3700" s="19"/>
      <c r="P3700" s="16"/>
      <c r="Q3700" s="36" t="s">
        <v>275</v>
      </c>
      <c r="R3700" s="13">
        <v>15.229999542236328</v>
      </c>
      <c r="S3700" s="13">
        <v>14.359999656677246</v>
      </c>
      <c r="T3700" s="13">
        <v>72.970001220703125</v>
      </c>
      <c r="U3700" s="13">
        <v>0</v>
      </c>
      <c r="V3700" s="13">
        <v>0</v>
      </c>
      <c r="W3700" s="37">
        <v>0</v>
      </c>
      <c r="X3700" s="19"/>
      <c r="AG3700" s="16"/>
    </row>
    <row r="3701" spans="2:33">
      <c r="B3701" s="19"/>
      <c r="P3701" s="16"/>
      <c r="Q3701" s="36" t="s">
        <v>1753</v>
      </c>
      <c r="R3701" s="13">
        <v>21.379999160766602</v>
      </c>
      <c r="S3701" s="13">
        <v>21.049999237060547</v>
      </c>
      <c r="T3701" s="13">
        <v>44.279998779296875</v>
      </c>
      <c r="U3701" s="13">
        <v>0</v>
      </c>
      <c r="V3701" s="13">
        <v>0</v>
      </c>
      <c r="W3701" s="37">
        <v>0</v>
      </c>
      <c r="X3701" s="19"/>
      <c r="AG3701" s="16"/>
    </row>
    <row r="3702" spans="2:33">
      <c r="B3702" s="19"/>
      <c r="P3702" s="16"/>
      <c r="Q3702" s="36" t="s">
        <v>1754</v>
      </c>
      <c r="R3702" s="13">
        <v>23</v>
      </c>
      <c r="S3702" s="13">
        <v>26</v>
      </c>
      <c r="T3702" s="13">
        <v>55</v>
      </c>
      <c r="U3702" s="13">
        <v>0</v>
      </c>
      <c r="V3702" s="13">
        <v>0</v>
      </c>
      <c r="W3702" s="37">
        <v>0</v>
      </c>
      <c r="X3702" s="19"/>
      <c r="AG3702" s="16"/>
    </row>
    <row r="3703" spans="2:33">
      <c r="B3703" s="19"/>
      <c r="P3703" s="16"/>
      <c r="Q3703" s="36" t="s">
        <v>1755</v>
      </c>
      <c r="R3703" s="13">
        <v>52</v>
      </c>
      <c r="S3703" s="13">
        <v>38</v>
      </c>
      <c r="T3703" s="13">
        <v>62</v>
      </c>
      <c r="U3703" s="13">
        <v>0</v>
      </c>
      <c r="V3703" s="13">
        <v>0</v>
      </c>
      <c r="W3703" s="37">
        <v>0</v>
      </c>
      <c r="X3703" s="19"/>
      <c r="AG3703" s="16"/>
    </row>
    <row r="3704" spans="2:33">
      <c r="B3704" s="19"/>
      <c r="P3704" s="16"/>
      <c r="Q3704" s="36" t="s">
        <v>1575</v>
      </c>
      <c r="R3704" s="13">
        <v>64</v>
      </c>
      <c r="S3704" s="13">
        <v>43</v>
      </c>
      <c r="T3704" s="13">
        <v>108</v>
      </c>
      <c r="U3704" s="13">
        <v>0</v>
      </c>
      <c r="V3704" s="13">
        <v>0</v>
      </c>
      <c r="W3704" s="37">
        <v>0</v>
      </c>
      <c r="X3704" s="19"/>
      <c r="AG3704" s="16"/>
    </row>
    <row r="3705" spans="2:33">
      <c r="B3705" s="19"/>
      <c r="P3705" s="16"/>
      <c r="Q3705" s="36" t="s">
        <v>1756</v>
      </c>
      <c r="R3705" s="13">
        <v>104</v>
      </c>
      <c r="S3705" s="13">
        <v>75</v>
      </c>
      <c r="T3705" s="13">
        <v>235</v>
      </c>
      <c r="U3705" s="13">
        <v>0</v>
      </c>
      <c r="V3705" s="13">
        <v>0</v>
      </c>
      <c r="W3705" s="37">
        <v>0</v>
      </c>
      <c r="X3705" s="19"/>
      <c r="AG3705" s="16"/>
    </row>
    <row r="3706" spans="2:33">
      <c r="B3706" s="19"/>
      <c r="P3706" s="16"/>
      <c r="Q3706" s="36" t="s">
        <v>1757</v>
      </c>
      <c r="R3706" s="13">
        <v>54</v>
      </c>
      <c r="S3706" s="13">
        <v>41</v>
      </c>
      <c r="T3706" s="13">
        <v>70</v>
      </c>
      <c r="U3706" s="13">
        <v>0</v>
      </c>
      <c r="V3706" s="13">
        <v>0</v>
      </c>
      <c r="W3706" s="37">
        <v>0</v>
      </c>
      <c r="X3706" s="19"/>
      <c r="AG3706" s="16"/>
    </row>
    <row r="3707" spans="2:33">
      <c r="B3707" s="19"/>
      <c r="P3707" s="16"/>
      <c r="Q3707" s="36" t="s">
        <v>1758</v>
      </c>
      <c r="R3707" s="13">
        <v>40</v>
      </c>
      <c r="S3707" s="13">
        <v>42</v>
      </c>
      <c r="T3707" s="13">
        <v>72</v>
      </c>
      <c r="U3707" s="13">
        <v>0</v>
      </c>
      <c r="V3707" s="13">
        <v>0</v>
      </c>
      <c r="W3707" s="37">
        <v>0</v>
      </c>
      <c r="X3707" s="19"/>
      <c r="AG3707" s="16"/>
    </row>
    <row r="3708" spans="2:33">
      <c r="B3708" s="19"/>
      <c r="P3708" s="16"/>
      <c r="Q3708" s="36" t="s">
        <v>1759</v>
      </c>
      <c r="R3708" s="13">
        <v>34</v>
      </c>
      <c r="S3708" s="13">
        <v>35</v>
      </c>
      <c r="T3708" s="13">
        <v>75</v>
      </c>
      <c r="U3708" s="13">
        <v>0</v>
      </c>
      <c r="V3708" s="13">
        <v>0</v>
      </c>
      <c r="W3708" s="37">
        <v>0</v>
      </c>
      <c r="X3708" s="19"/>
      <c r="AG3708" s="16"/>
    </row>
    <row r="3709" spans="2:33" ht="15" thickBot="1">
      <c r="B3709" s="20"/>
      <c r="C3709" s="15"/>
      <c r="D3709" s="15"/>
      <c r="E3709" s="15"/>
      <c r="F3709" s="15"/>
      <c r="G3709" s="15"/>
      <c r="H3709" s="15"/>
      <c r="I3709" s="15"/>
      <c r="J3709" s="15"/>
      <c r="K3709" s="15"/>
      <c r="L3709" s="15"/>
      <c r="M3709" s="15"/>
      <c r="N3709" s="15"/>
      <c r="O3709" s="15"/>
      <c r="P3709" s="17"/>
      <c r="Q3709" s="36" t="s">
        <v>1760</v>
      </c>
      <c r="R3709" s="13">
        <v>40</v>
      </c>
      <c r="S3709" s="13">
        <v>35</v>
      </c>
      <c r="T3709" s="13">
        <v>132</v>
      </c>
      <c r="U3709" s="13">
        <v>0</v>
      </c>
      <c r="V3709" s="13">
        <v>0</v>
      </c>
      <c r="W3709" s="37">
        <v>0</v>
      </c>
      <c r="X3709" s="20"/>
      <c r="Y3709" s="15"/>
      <c r="Z3709" s="15"/>
      <c r="AA3709" s="15"/>
      <c r="AB3709" s="15"/>
      <c r="AC3709" s="15"/>
      <c r="AD3709" s="15"/>
      <c r="AE3709" s="15"/>
      <c r="AF3709" s="15"/>
      <c r="AG3709" s="17"/>
    </row>
    <row r="3711" spans="2:33" ht="15" thickBot="1">
      <c r="B3711" s="25" t="s">
        <v>1731</v>
      </c>
      <c r="C3711" s="26" t="s">
        <v>1732</v>
      </c>
      <c r="D3711" s="26" t="s">
        <v>1761</v>
      </c>
      <c r="E3711" s="26" t="s">
        <v>1762</v>
      </c>
      <c r="F3711" s="26" t="s">
        <v>1424</v>
      </c>
      <c r="G3711" s="26" t="s">
        <v>1425</v>
      </c>
      <c r="H3711" s="27" t="s">
        <v>33</v>
      </c>
      <c r="I3711" s="26" t="s">
        <v>1763</v>
      </c>
      <c r="J3711" s="27" t="s">
        <v>56</v>
      </c>
      <c r="K3711" s="29">
        <v>8</v>
      </c>
      <c r="L3711" s="29">
        <v>8</v>
      </c>
      <c r="M3711" s="29">
        <v>8</v>
      </c>
      <c r="N3711" s="29">
        <v>0</v>
      </c>
      <c r="O3711" s="29">
        <v>0</v>
      </c>
      <c r="P3711" s="40">
        <v>0</v>
      </c>
      <c r="Q3711" s="1" t="s">
        <v>1427</v>
      </c>
      <c r="R3711" s="2">
        <v>107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43">
        <f>SUM(R3711:W3723)</f>
        <v>10020</v>
      </c>
      <c r="Y3711" s="10">
        <v>46204</v>
      </c>
      <c r="Z3711" s="11">
        <v>0.24024557835596999</v>
      </c>
      <c r="AA3711" s="11">
        <v>0.16373112856427666</v>
      </c>
      <c r="AB3711" s="11">
        <v>0.13600550648167117</v>
      </c>
      <c r="AC3711" s="11"/>
      <c r="AD3711" s="11"/>
      <c r="AE3711" s="11"/>
      <c r="AF3711" s="11">
        <v>1.1100000000000001</v>
      </c>
      <c r="AG3711" s="11">
        <v>0.23899999999999999</v>
      </c>
    </row>
    <row r="3712" spans="2:33">
      <c r="B3712" s="18"/>
      <c r="C3712" s="14"/>
      <c r="D3712" s="14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35"/>
      <c r="Q3712" s="36" t="s">
        <v>1428</v>
      </c>
      <c r="R3712" s="13">
        <v>486</v>
      </c>
      <c r="S3712" s="13">
        <v>0</v>
      </c>
      <c r="T3712" s="13">
        <v>0</v>
      </c>
      <c r="U3712" s="13">
        <v>0</v>
      </c>
      <c r="V3712" s="13">
        <v>0</v>
      </c>
      <c r="W3712" s="37">
        <v>0</v>
      </c>
      <c r="X3712" s="18"/>
      <c r="Y3712" s="14"/>
      <c r="Z3712" s="14"/>
      <c r="AA3712" s="14"/>
      <c r="AB3712" s="14"/>
      <c r="AC3712" s="14"/>
      <c r="AD3712" s="14"/>
      <c r="AE3712" s="14"/>
      <c r="AF3712" s="14"/>
      <c r="AG3712" s="35"/>
    </row>
    <row r="3713" spans="2:33">
      <c r="B3713" s="19"/>
      <c r="P3713" s="16"/>
      <c r="Q3713" s="36" t="s">
        <v>76</v>
      </c>
      <c r="R3713" s="13">
        <v>666</v>
      </c>
      <c r="S3713" s="13">
        <v>0</v>
      </c>
      <c r="T3713" s="13">
        <v>0</v>
      </c>
      <c r="U3713" s="13">
        <v>0</v>
      </c>
      <c r="V3713" s="13">
        <v>0</v>
      </c>
      <c r="W3713" s="37">
        <v>0</v>
      </c>
      <c r="X3713" s="19"/>
      <c r="AG3713" s="16"/>
    </row>
    <row r="3714" spans="2:33">
      <c r="B3714" s="19"/>
      <c r="P3714" s="16"/>
      <c r="Q3714" s="36" t="s">
        <v>77</v>
      </c>
      <c r="R3714" s="13">
        <v>1059</v>
      </c>
      <c r="S3714" s="13">
        <v>0</v>
      </c>
      <c r="T3714" s="13">
        <v>0</v>
      </c>
      <c r="U3714" s="13">
        <v>0</v>
      </c>
      <c r="V3714" s="13">
        <v>0</v>
      </c>
      <c r="W3714" s="37">
        <v>0</v>
      </c>
      <c r="X3714" s="19"/>
      <c r="AG3714" s="16"/>
    </row>
    <row r="3715" spans="2:33">
      <c r="B3715" s="19"/>
      <c r="P3715" s="16"/>
      <c r="Q3715" s="36" t="s">
        <v>1429</v>
      </c>
      <c r="R3715" s="13">
        <v>275</v>
      </c>
      <c r="S3715" s="13">
        <v>0</v>
      </c>
      <c r="T3715" s="13">
        <v>0</v>
      </c>
      <c r="U3715" s="13">
        <v>0</v>
      </c>
      <c r="V3715" s="13">
        <v>0</v>
      </c>
      <c r="W3715" s="37">
        <v>0</v>
      </c>
      <c r="X3715" s="19"/>
      <c r="AG3715" s="16"/>
    </row>
    <row r="3716" spans="2:33">
      <c r="B3716" s="19"/>
      <c r="P3716" s="16"/>
      <c r="Q3716" s="36" t="s">
        <v>1430</v>
      </c>
      <c r="R3716" s="13">
        <v>909</v>
      </c>
      <c r="S3716" s="13">
        <v>0</v>
      </c>
      <c r="T3716" s="13">
        <v>0</v>
      </c>
      <c r="U3716" s="13">
        <v>0</v>
      </c>
      <c r="V3716" s="13">
        <v>0</v>
      </c>
      <c r="W3716" s="37">
        <v>0</v>
      </c>
      <c r="X3716" s="19"/>
      <c r="AG3716" s="16"/>
    </row>
    <row r="3717" spans="2:33">
      <c r="B3717" s="19"/>
      <c r="P3717" s="16"/>
      <c r="Q3717" s="36" t="s">
        <v>1431</v>
      </c>
      <c r="R3717" s="13">
        <v>1253</v>
      </c>
      <c r="S3717" s="13">
        <v>0</v>
      </c>
      <c r="T3717" s="13">
        <v>0</v>
      </c>
      <c r="U3717" s="13">
        <v>0</v>
      </c>
      <c r="V3717" s="13">
        <v>0</v>
      </c>
      <c r="W3717" s="37">
        <v>0</v>
      </c>
      <c r="X3717" s="19"/>
      <c r="AG3717" s="16"/>
    </row>
    <row r="3718" spans="2:33">
      <c r="B3718" s="19"/>
      <c r="P3718" s="16"/>
      <c r="Q3718" s="36" t="s">
        <v>1432</v>
      </c>
      <c r="R3718" s="13">
        <v>1682</v>
      </c>
      <c r="S3718" s="13">
        <v>0</v>
      </c>
      <c r="T3718" s="13">
        <v>0</v>
      </c>
      <c r="U3718" s="13">
        <v>0</v>
      </c>
      <c r="V3718" s="13">
        <v>0</v>
      </c>
      <c r="W3718" s="37">
        <v>0</v>
      </c>
      <c r="X3718" s="19"/>
      <c r="AG3718" s="16"/>
    </row>
    <row r="3719" spans="2:33">
      <c r="B3719" s="19"/>
      <c r="P3719" s="16"/>
      <c r="Q3719" s="36" t="s">
        <v>78</v>
      </c>
      <c r="R3719" s="13">
        <v>306</v>
      </c>
      <c r="S3719" s="13">
        <v>0</v>
      </c>
      <c r="T3719" s="13">
        <v>0</v>
      </c>
      <c r="U3719" s="13">
        <v>0</v>
      </c>
      <c r="V3719" s="13">
        <v>0</v>
      </c>
      <c r="W3719" s="37">
        <v>0</v>
      </c>
      <c r="X3719" s="19"/>
      <c r="AG3719" s="16"/>
    </row>
    <row r="3720" spans="2:33">
      <c r="B3720" s="19"/>
      <c r="P3720" s="16"/>
      <c r="Q3720" s="36" t="s">
        <v>1433</v>
      </c>
      <c r="R3720" s="13">
        <v>228</v>
      </c>
      <c r="S3720" s="13">
        <v>0</v>
      </c>
      <c r="T3720" s="13">
        <v>0</v>
      </c>
      <c r="U3720" s="13">
        <v>0</v>
      </c>
      <c r="V3720" s="13">
        <v>0</v>
      </c>
      <c r="W3720" s="37">
        <v>0</v>
      </c>
      <c r="X3720" s="19"/>
      <c r="AG3720" s="16"/>
    </row>
    <row r="3721" spans="2:33">
      <c r="B3721" s="19"/>
      <c r="P3721" s="16"/>
      <c r="Q3721" s="36" t="s">
        <v>1434</v>
      </c>
      <c r="R3721" s="13">
        <v>585</v>
      </c>
      <c r="S3721" s="13">
        <v>0</v>
      </c>
      <c r="T3721" s="13">
        <v>0</v>
      </c>
      <c r="U3721" s="13">
        <v>0</v>
      </c>
      <c r="V3721" s="13">
        <v>0</v>
      </c>
      <c r="W3721" s="37">
        <v>0</v>
      </c>
      <c r="X3721" s="19"/>
      <c r="AG3721" s="16"/>
    </row>
    <row r="3722" spans="2:33">
      <c r="B3722" s="19"/>
      <c r="P3722" s="16"/>
      <c r="Q3722" s="36" t="s">
        <v>79</v>
      </c>
      <c r="R3722" s="13">
        <v>939</v>
      </c>
      <c r="S3722" s="13">
        <v>0</v>
      </c>
      <c r="T3722" s="13">
        <v>0</v>
      </c>
      <c r="U3722" s="13">
        <v>0</v>
      </c>
      <c r="V3722" s="13">
        <v>0</v>
      </c>
      <c r="W3722" s="37">
        <v>0</v>
      </c>
      <c r="X3722" s="19"/>
      <c r="AG3722" s="16"/>
    </row>
    <row r="3723" spans="2:33" ht="15" thickBot="1">
      <c r="B3723" s="20"/>
      <c r="C3723" s="15"/>
      <c r="D3723" s="15"/>
      <c r="E3723" s="15"/>
      <c r="F3723" s="15"/>
      <c r="G3723" s="15"/>
      <c r="H3723" s="15"/>
      <c r="I3723" s="15"/>
      <c r="J3723" s="15"/>
      <c r="K3723" s="15"/>
      <c r="L3723" s="15"/>
      <c r="M3723" s="15"/>
      <c r="N3723" s="15"/>
      <c r="O3723" s="15"/>
      <c r="P3723" s="17"/>
      <c r="Q3723" s="36" t="s">
        <v>1435</v>
      </c>
      <c r="R3723" s="13">
        <v>1525</v>
      </c>
      <c r="S3723" s="13">
        <v>0</v>
      </c>
      <c r="T3723" s="13">
        <v>0</v>
      </c>
      <c r="U3723" s="13">
        <v>0</v>
      </c>
      <c r="V3723" s="13">
        <v>0</v>
      </c>
      <c r="W3723" s="37">
        <v>0</v>
      </c>
      <c r="X3723" s="20"/>
      <c r="Y3723" s="15"/>
      <c r="Z3723" s="15"/>
      <c r="AA3723" s="15"/>
      <c r="AB3723" s="15"/>
      <c r="AC3723" s="15"/>
      <c r="AD3723" s="15"/>
      <c r="AE3723" s="15"/>
      <c r="AF3723" s="15"/>
      <c r="AG3723" s="17"/>
    </row>
    <row r="3725" spans="2:33" ht="15" thickBot="1">
      <c r="B3725" s="25" t="s">
        <v>1764</v>
      </c>
      <c r="C3725" s="26" t="s">
        <v>1765</v>
      </c>
      <c r="D3725" s="26" t="s">
        <v>1766</v>
      </c>
      <c r="E3725" s="26" t="s">
        <v>1767</v>
      </c>
      <c r="F3725" s="26" t="s">
        <v>1768</v>
      </c>
      <c r="G3725" s="26" t="s">
        <v>236</v>
      </c>
      <c r="H3725" s="27" t="s">
        <v>33</v>
      </c>
      <c r="I3725" s="26" t="s">
        <v>1769</v>
      </c>
      <c r="J3725" s="27" t="s">
        <v>87</v>
      </c>
      <c r="K3725" s="29">
        <v>44</v>
      </c>
      <c r="L3725" s="29">
        <v>60</v>
      </c>
      <c r="M3725" s="29">
        <v>60</v>
      </c>
      <c r="N3725" s="29">
        <v>60</v>
      </c>
      <c r="O3725" s="29">
        <v>60</v>
      </c>
      <c r="P3725" s="40">
        <v>60</v>
      </c>
      <c r="Q3725" s="1" t="s">
        <v>35</v>
      </c>
      <c r="R3725" s="2">
        <v>2596</v>
      </c>
      <c r="S3725" s="2">
        <v>1708</v>
      </c>
      <c r="T3725" s="2">
        <v>0</v>
      </c>
      <c r="U3725" s="2">
        <v>0</v>
      </c>
      <c r="V3725" s="2">
        <v>0</v>
      </c>
      <c r="W3725" s="2">
        <v>525</v>
      </c>
      <c r="X3725" s="43">
        <f>SUM(R3725:W3737)</f>
        <v>60259</v>
      </c>
      <c r="Y3725" s="10">
        <v>46204</v>
      </c>
      <c r="Z3725" s="11">
        <v>0.22006544792690355</v>
      </c>
      <c r="AA3725" s="11">
        <v>0.18365562595538923</v>
      </c>
      <c r="AB3725" s="11">
        <v>0.14818158165541137</v>
      </c>
      <c r="AC3725" s="11">
        <v>0.12966347363538697</v>
      </c>
      <c r="AD3725" s="11">
        <v>0.11539190904646569</v>
      </c>
      <c r="AE3725" s="11">
        <v>0.13241150648167116</v>
      </c>
      <c r="AF3725" s="11">
        <v>1.1100000000000001</v>
      </c>
      <c r="AG3725" s="11">
        <v>0.23899999999999999</v>
      </c>
    </row>
    <row r="3726" spans="2:33">
      <c r="B3726" s="18"/>
      <c r="C3726" s="14"/>
      <c r="D3726" s="14"/>
      <c r="E3726" s="14"/>
      <c r="F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35"/>
      <c r="Q3726" s="36" t="s">
        <v>36</v>
      </c>
      <c r="R3726" s="13">
        <v>2699</v>
      </c>
      <c r="S3726" s="13">
        <v>2048</v>
      </c>
      <c r="T3726" s="13">
        <v>0</v>
      </c>
      <c r="U3726" s="13">
        <v>0</v>
      </c>
      <c r="V3726" s="13">
        <v>0</v>
      </c>
      <c r="W3726" s="37">
        <v>632</v>
      </c>
      <c r="X3726" s="18"/>
      <c r="Y3726" s="14"/>
      <c r="Z3726" s="14"/>
      <c r="AA3726" s="14"/>
      <c r="AB3726" s="14"/>
      <c r="AC3726" s="14"/>
      <c r="AD3726" s="14"/>
      <c r="AE3726" s="14"/>
      <c r="AF3726" s="14"/>
      <c r="AG3726" s="35"/>
    </row>
    <row r="3727" spans="2:33">
      <c r="B3727" s="19"/>
      <c r="P3727" s="16"/>
      <c r="Q3727" s="36" t="s">
        <v>37</v>
      </c>
      <c r="R3727" s="13">
        <v>0</v>
      </c>
      <c r="S3727" s="13">
        <v>3007</v>
      </c>
      <c r="T3727" s="13">
        <v>2068</v>
      </c>
      <c r="U3727" s="13">
        <v>0</v>
      </c>
      <c r="V3727" s="13">
        <v>0</v>
      </c>
      <c r="W3727" s="37">
        <v>627</v>
      </c>
      <c r="X3727" s="19"/>
      <c r="AG3727" s="16"/>
    </row>
    <row r="3728" spans="2:33">
      <c r="B3728" s="19"/>
      <c r="P3728" s="16"/>
      <c r="Q3728" s="36" t="s">
        <v>38</v>
      </c>
      <c r="R3728" s="13">
        <v>0</v>
      </c>
      <c r="S3728" s="13">
        <v>0</v>
      </c>
      <c r="T3728" s="13">
        <v>0</v>
      </c>
      <c r="U3728" s="13">
        <v>2287</v>
      </c>
      <c r="V3728" s="13">
        <v>1552</v>
      </c>
      <c r="W3728" s="37">
        <v>578</v>
      </c>
      <c r="X3728" s="19"/>
      <c r="AG3728" s="16"/>
    </row>
    <row r="3729" spans="2:33">
      <c r="B3729" s="19"/>
      <c r="P3729" s="16"/>
      <c r="Q3729" s="36" t="s">
        <v>39</v>
      </c>
      <c r="R3729" s="13">
        <v>0</v>
      </c>
      <c r="S3729" s="13">
        <v>0</v>
      </c>
      <c r="T3729" s="13">
        <v>0</v>
      </c>
      <c r="U3729" s="13">
        <v>2687</v>
      </c>
      <c r="V3729" s="13">
        <v>1907</v>
      </c>
      <c r="W3729" s="37">
        <v>966</v>
      </c>
      <c r="X3729" s="19"/>
      <c r="AG3729" s="16"/>
    </row>
    <row r="3730" spans="2:33">
      <c r="B3730" s="19"/>
      <c r="P3730" s="16"/>
      <c r="Q3730" s="36" t="s">
        <v>40</v>
      </c>
      <c r="R3730" s="13">
        <v>0</v>
      </c>
      <c r="S3730" s="13">
        <v>0</v>
      </c>
      <c r="T3730" s="13">
        <v>2996</v>
      </c>
      <c r="U3730" s="13">
        <v>2150</v>
      </c>
      <c r="V3730" s="13">
        <v>0</v>
      </c>
      <c r="W3730" s="37">
        <v>746</v>
      </c>
      <c r="X3730" s="19"/>
      <c r="AG3730" s="16"/>
    </row>
    <row r="3731" spans="2:33">
      <c r="B3731" s="19"/>
      <c r="P3731" s="16"/>
      <c r="Q3731" s="36" t="s">
        <v>41</v>
      </c>
      <c r="R3731" s="13">
        <v>3564</v>
      </c>
      <c r="S3731" s="13">
        <v>2569</v>
      </c>
      <c r="T3731" s="13">
        <v>0</v>
      </c>
      <c r="U3731" s="13">
        <v>0</v>
      </c>
      <c r="V3731" s="13">
        <v>0</v>
      </c>
      <c r="W3731" s="37">
        <v>546</v>
      </c>
      <c r="X3731" s="19"/>
      <c r="AG3731" s="16"/>
    </row>
    <row r="3732" spans="2:33">
      <c r="B3732" s="19"/>
      <c r="P3732" s="16"/>
      <c r="Q3732" s="36" t="s">
        <v>551</v>
      </c>
      <c r="R3732" s="13">
        <v>0</v>
      </c>
      <c r="S3732" s="13">
        <v>0</v>
      </c>
      <c r="T3732" s="13">
        <v>13</v>
      </c>
      <c r="U3732" s="13">
        <v>5</v>
      </c>
      <c r="V3732" s="13">
        <v>0</v>
      </c>
      <c r="W3732" s="37">
        <v>18</v>
      </c>
      <c r="X3732" s="19"/>
      <c r="AG3732" s="16"/>
    </row>
    <row r="3733" spans="2:33">
      <c r="B3733" s="19"/>
      <c r="P3733" s="16"/>
      <c r="Q3733" s="36" t="s">
        <v>552</v>
      </c>
      <c r="R3733" s="13">
        <v>0</v>
      </c>
      <c r="S3733" s="13">
        <v>0</v>
      </c>
      <c r="T3733" s="13">
        <v>120</v>
      </c>
      <c r="U3733" s="13">
        <v>47</v>
      </c>
      <c r="V3733" s="13">
        <v>0</v>
      </c>
      <c r="W3733" s="37">
        <v>106</v>
      </c>
      <c r="X3733" s="19"/>
      <c r="AG3733" s="16"/>
    </row>
    <row r="3734" spans="2:33">
      <c r="B3734" s="19"/>
      <c r="P3734" s="16"/>
      <c r="Q3734" s="36" t="s">
        <v>43</v>
      </c>
      <c r="R3734" s="13">
        <v>0</v>
      </c>
      <c r="S3734" s="13">
        <v>0</v>
      </c>
      <c r="T3734" s="13">
        <v>3163</v>
      </c>
      <c r="U3734" s="13">
        <v>2286</v>
      </c>
      <c r="V3734" s="13">
        <v>0</v>
      </c>
      <c r="W3734" s="37">
        <v>476</v>
      </c>
      <c r="X3734" s="19"/>
      <c r="AG3734" s="16"/>
    </row>
    <row r="3735" spans="2:33">
      <c r="B3735" s="19"/>
      <c r="P3735" s="16"/>
      <c r="Q3735" s="36" t="s">
        <v>44</v>
      </c>
      <c r="R3735" s="13">
        <v>0</v>
      </c>
      <c r="S3735" s="13">
        <v>0</v>
      </c>
      <c r="T3735" s="13">
        <v>0</v>
      </c>
      <c r="U3735" s="13">
        <v>3159</v>
      </c>
      <c r="V3735" s="13">
        <v>2210</v>
      </c>
      <c r="W3735" s="37">
        <v>473</v>
      </c>
      <c r="X3735" s="19"/>
      <c r="AG3735" s="16"/>
    </row>
    <row r="3736" spans="2:33">
      <c r="B3736" s="19"/>
      <c r="P3736" s="16"/>
      <c r="Q3736" s="36" t="s">
        <v>45</v>
      </c>
      <c r="R3736" s="13">
        <v>0</v>
      </c>
      <c r="S3736" s="13">
        <v>3180</v>
      </c>
      <c r="T3736" s="13">
        <v>2177</v>
      </c>
      <c r="U3736" s="13">
        <v>0</v>
      </c>
      <c r="V3736" s="13">
        <v>0</v>
      </c>
      <c r="W3736" s="37">
        <v>706</v>
      </c>
      <c r="X3736" s="19"/>
      <c r="AG3736" s="16"/>
    </row>
    <row r="3737" spans="2:33" ht="15" thickBot="1">
      <c r="B3737" s="20"/>
      <c r="C3737" s="15"/>
      <c r="D3737" s="15"/>
      <c r="E3737" s="15"/>
      <c r="F3737" s="15"/>
      <c r="G3737" s="15"/>
      <c r="H3737" s="15"/>
      <c r="I3737" s="15"/>
      <c r="J3737" s="15"/>
      <c r="K3737" s="15"/>
      <c r="L3737" s="15"/>
      <c r="M3737" s="15"/>
      <c r="N3737" s="15"/>
      <c r="O3737" s="15"/>
      <c r="P3737" s="17"/>
      <c r="Q3737" s="36" t="s">
        <v>46</v>
      </c>
      <c r="R3737" s="13">
        <v>1897</v>
      </c>
      <c r="S3737" s="13">
        <v>1367</v>
      </c>
      <c r="T3737" s="13">
        <v>0</v>
      </c>
      <c r="U3737" s="13">
        <v>0</v>
      </c>
      <c r="V3737" s="13">
        <v>0</v>
      </c>
      <c r="W3737" s="37">
        <v>398</v>
      </c>
      <c r="X3737" s="20"/>
      <c r="Y3737" s="15"/>
      <c r="Z3737" s="15"/>
      <c r="AA3737" s="15"/>
      <c r="AB3737" s="15"/>
      <c r="AC3737" s="15"/>
      <c r="AD3737" s="15"/>
      <c r="AE3737" s="15"/>
      <c r="AF3737" s="15"/>
      <c r="AG3737" s="17"/>
    </row>
    <row r="3740" spans="2:33" ht="15" thickBot="1">
      <c r="B3740" s="25" t="s">
        <v>1852</v>
      </c>
      <c r="C3740" s="26" t="s">
        <v>1853</v>
      </c>
      <c r="D3740" s="26" t="s">
        <v>1854</v>
      </c>
      <c r="E3740" s="26" t="s">
        <v>1855</v>
      </c>
      <c r="F3740" s="26" t="s">
        <v>1856</v>
      </c>
      <c r="G3740" s="26" t="s">
        <v>1857</v>
      </c>
      <c r="H3740" s="27" t="s">
        <v>991</v>
      </c>
      <c r="I3740" s="26" t="s">
        <v>1858</v>
      </c>
      <c r="J3740" s="27" t="s">
        <v>34</v>
      </c>
      <c r="K3740" s="29">
        <v>451</v>
      </c>
      <c r="L3740" s="29">
        <v>451</v>
      </c>
      <c r="M3740" s="29">
        <v>451</v>
      </c>
      <c r="N3740" s="29">
        <v>451</v>
      </c>
      <c r="O3740" s="29">
        <v>451</v>
      </c>
      <c r="P3740" s="40">
        <v>451</v>
      </c>
      <c r="Q3740" s="1" t="s">
        <v>35</v>
      </c>
      <c r="R3740" s="2">
        <v>44190</v>
      </c>
      <c r="S3740" s="2">
        <v>33690</v>
      </c>
      <c r="T3740" s="2">
        <v>0</v>
      </c>
      <c r="U3740" s="2">
        <v>0</v>
      </c>
      <c r="V3740" s="2">
        <v>0</v>
      </c>
      <c r="W3740" s="2">
        <v>46763</v>
      </c>
      <c r="X3740" s="43">
        <f>SUM(R3740:W3750)</f>
        <v>1288149</v>
      </c>
      <c r="Y3740" s="10">
        <v>46204</v>
      </c>
      <c r="Z3740" s="11">
        <v>0.1896651496601798</v>
      </c>
      <c r="AA3740" s="11">
        <v>0.15857693149523983</v>
      </c>
      <c r="AB3740" s="11">
        <v>0.13134427528372689</v>
      </c>
      <c r="AC3740" s="11">
        <v>0.11734302060917184</v>
      </c>
      <c r="AD3740" s="11">
        <v>0.10642886145562462</v>
      </c>
      <c r="AE3740" s="11">
        <v>0.12209959568021629</v>
      </c>
      <c r="AF3740" s="11">
        <v>0.3</v>
      </c>
      <c r="AG3740" s="11">
        <v>0.23899999999999999</v>
      </c>
    </row>
    <row r="3741" spans="2:33">
      <c r="B3741" s="18"/>
      <c r="C3741" s="14"/>
      <c r="D3741" s="14"/>
      <c r="E3741" s="14"/>
      <c r="F3741" s="14"/>
      <c r="G3741" s="14"/>
      <c r="H3741" s="14"/>
      <c r="I3741" s="14"/>
      <c r="J3741" s="14"/>
      <c r="K3741" s="14"/>
      <c r="L3741" s="14"/>
      <c r="M3741" s="14"/>
      <c r="N3741" s="14"/>
      <c r="O3741" s="14"/>
      <c r="P3741" s="35"/>
      <c r="Q3741" s="36" t="s">
        <v>36</v>
      </c>
      <c r="R3741" s="13">
        <v>43763</v>
      </c>
      <c r="S3741" s="13">
        <v>33198</v>
      </c>
      <c r="T3741" s="13">
        <v>0</v>
      </c>
      <c r="U3741" s="13">
        <v>0</v>
      </c>
      <c r="V3741" s="13">
        <v>0</v>
      </c>
      <c r="W3741" s="37">
        <v>59155</v>
      </c>
      <c r="X3741" s="18"/>
      <c r="Y3741" s="14"/>
      <c r="Z3741" s="14"/>
      <c r="AA3741" s="14"/>
      <c r="AB3741" s="14"/>
      <c r="AC3741" s="14"/>
      <c r="AD3741" s="14"/>
      <c r="AE3741" s="14"/>
      <c r="AF3741" s="14"/>
      <c r="AG3741" s="35"/>
    </row>
    <row r="3742" spans="2:33">
      <c r="B3742" s="19"/>
      <c r="P3742" s="16"/>
      <c r="Q3742" s="36" t="s">
        <v>37</v>
      </c>
      <c r="R3742" s="13">
        <v>0</v>
      </c>
      <c r="S3742" s="13">
        <v>45479</v>
      </c>
      <c r="T3742" s="13">
        <v>34477</v>
      </c>
      <c r="U3742" s="13">
        <v>0</v>
      </c>
      <c r="V3742" s="13">
        <v>0</v>
      </c>
      <c r="W3742" s="37">
        <v>51885</v>
      </c>
      <c r="X3742" s="19"/>
      <c r="AG3742" s="16"/>
    </row>
    <row r="3743" spans="2:33">
      <c r="B3743" s="19"/>
      <c r="P3743" s="16"/>
      <c r="Q3743" s="36" t="s">
        <v>38</v>
      </c>
      <c r="R3743" s="13">
        <v>0</v>
      </c>
      <c r="S3743" s="13">
        <v>0</v>
      </c>
      <c r="T3743" s="13">
        <v>0</v>
      </c>
      <c r="U3743" s="13">
        <v>24832</v>
      </c>
      <c r="V3743" s="13">
        <v>18669</v>
      </c>
      <c r="W3743" s="37">
        <v>36373</v>
      </c>
      <c r="X3743" s="19"/>
      <c r="AG3743" s="16"/>
    </row>
    <row r="3744" spans="2:33">
      <c r="B3744" s="19"/>
      <c r="P3744" s="16"/>
      <c r="Q3744" s="36" t="s">
        <v>39</v>
      </c>
      <c r="R3744" s="13">
        <v>0</v>
      </c>
      <c r="S3744" s="13">
        <v>0</v>
      </c>
      <c r="T3744" s="13">
        <v>0</v>
      </c>
      <c r="U3744" s="13">
        <v>29392</v>
      </c>
      <c r="V3744" s="13">
        <v>22115</v>
      </c>
      <c r="W3744" s="37">
        <v>49396</v>
      </c>
      <c r="X3744" s="19"/>
      <c r="AG3744" s="16"/>
    </row>
    <row r="3745" spans="2:33">
      <c r="B3745" s="19"/>
      <c r="P3745" s="16"/>
      <c r="Q3745" s="36" t="s">
        <v>40</v>
      </c>
      <c r="R3745" s="13">
        <v>0</v>
      </c>
      <c r="S3745" s="13">
        <v>0</v>
      </c>
      <c r="T3745" s="13">
        <v>35980</v>
      </c>
      <c r="U3745" s="13">
        <v>27088</v>
      </c>
      <c r="V3745" s="13">
        <v>0</v>
      </c>
      <c r="W3745" s="37">
        <v>54386</v>
      </c>
      <c r="X3745" s="19"/>
      <c r="AG3745" s="16"/>
    </row>
    <row r="3746" spans="2:33">
      <c r="B3746" s="19"/>
      <c r="P3746" s="16"/>
      <c r="Q3746" s="36" t="s">
        <v>41</v>
      </c>
      <c r="R3746" s="13">
        <v>37240</v>
      </c>
      <c r="S3746" s="13">
        <v>27107</v>
      </c>
      <c r="T3746" s="13">
        <v>0</v>
      </c>
      <c r="U3746" s="13">
        <v>0</v>
      </c>
      <c r="V3746" s="13">
        <v>0</v>
      </c>
      <c r="W3746" s="37">
        <v>59612</v>
      </c>
      <c r="X3746" s="19"/>
      <c r="AG3746" s="16"/>
    </row>
    <row r="3747" spans="2:33">
      <c r="B3747" s="19"/>
      <c r="P3747" s="16"/>
      <c r="Q3747" s="36" t="s">
        <v>43</v>
      </c>
      <c r="R3747" s="13">
        <v>0</v>
      </c>
      <c r="S3747" s="13">
        <v>0</v>
      </c>
      <c r="T3747" s="13">
        <v>48888</v>
      </c>
      <c r="U3747" s="13">
        <v>34760</v>
      </c>
      <c r="V3747" s="13">
        <v>0</v>
      </c>
      <c r="W3747" s="37">
        <v>62232</v>
      </c>
      <c r="X3747" s="19"/>
      <c r="AG3747" s="16"/>
    </row>
    <row r="3748" spans="2:33">
      <c r="B3748" s="19"/>
      <c r="P3748" s="16"/>
      <c r="Q3748" s="36" t="s">
        <v>44</v>
      </c>
      <c r="R3748" s="13">
        <v>0</v>
      </c>
      <c r="S3748" s="13">
        <v>0</v>
      </c>
      <c r="T3748" s="13">
        <v>0</v>
      </c>
      <c r="U3748" s="13">
        <v>50151</v>
      </c>
      <c r="V3748" s="13">
        <v>36462</v>
      </c>
      <c r="W3748" s="37">
        <v>57203</v>
      </c>
      <c r="X3748" s="19"/>
      <c r="AG3748" s="16"/>
    </row>
    <row r="3749" spans="2:33">
      <c r="B3749" s="19"/>
      <c r="P3749" s="16"/>
      <c r="Q3749" s="36" t="s">
        <v>45</v>
      </c>
      <c r="R3749" s="13">
        <v>0</v>
      </c>
      <c r="S3749" s="13">
        <v>41451</v>
      </c>
      <c r="T3749" s="13">
        <v>35124</v>
      </c>
      <c r="U3749" s="13">
        <v>0</v>
      </c>
      <c r="V3749" s="13">
        <v>0</v>
      </c>
      <c r="W3749" s="37">
        <v>48548</v>
      </c>
      <c r="X3749" s="19"/>
      <c r="AG3749" s="16"/>
    </row>
    <row r="3750" spans="2:33" ht="15" thickBot="1">
      <c r="B3750" s="20"/>
      <c r="C3750" s="15"/>
      <c r="D3750" s="15"/>
      <c r="E3750" s="15"/>
      <c r="F3750" s="15"/>
      <c r="G3750" s="15"/>
      <c r="H3750" s="15"/>
      <c r="I3750" s="15"/>
      <c r="J3750" s="15"/>
      <c r="K3750" s="15"/>
      <c r="L3750" s="15"/>
      <c r="M3750" s="15"/>
      <c r="N3750" s="15"/>
      <c r="O3750" s="15"/>
      <c r="P3750" s="17"/>
      <c r="Q3750" s="36" t="s">
        <v>46</v>
      </c>
      <c r="R3750" s="13">
        <v>20291</v>
      </c>
      <c r="S3750" s="13">
        <v>16056</v>
      </c>
      <c r="T3750" s="13">
        <v>0</v>
      </c>
      <c r="U3750" s="13">
        <v>0</v>
      </c>
      <c r="V3750" s="13">
        <v>0</v>
      </c>
      <c r="W3750" s="37">
        <v>22193</v>
      </c>
      <c r="X3750" s="20"/>
      <c r="Y3750" s="15"/>
      <c r="Z3750" s="15"/>
      <c r="AA3750" s="15"/>
      <c r="AB3750" s="15"/>
      <c r="AC3750" s="15"/>
      <c r="AD3750" s="15"/>
      <c r="AE3750" s="15"/>
      <c r="AF3750" s="15"/>
      <c r="AG3750" s="17"/>
    </row>
    <row r="3751" spans="2:33" ht="15" thickBot="1"/>
    <row r="3752" spans="2:33" ht="15" thickBot="1">
      <c r="B3752" s="53" t="s">
        <v>2190</v>
      </c>
      <c r="C3752" s="26" t="s">
        <v>1859</v>
      </c>
      <c r="D3752" s="26" t="s">
        <v>1860</v>
      </c>
      <c r="E3752" s="26" t="s">
        <v>1861</v>
      </c>
      <c r="F3752" s="26" t="s">
        <v>1862</v>
      </c>
      <c r="G3752" s="26" t="s">
        <v>1863</v>
      </c>
      <c r="H3752" s="27" t="s">
        <v>108</v>
      </c>
      <c r="I3752" s="26" t="s">
        <v>1864</v>
      </c>
      <c r="J3752" s="27" t="s">
        <v>34</v>
      </c>
      <c r="K3752" s="29">
        <v>430</v>
      </c>
      <c r="L3752" s="29">
        <v>430</v>
      </c>
      <c r="M3752" s="29">
        <v>430</v>
      </c>
      <c r="N3752" s="29">
        <v>430</v>
      </c>
      <c r="O3752" s="29">
        <v>430</v>
      </c>
      <c r="P3752" s="40">
        <v>1050</v>
      </c>
      <c r="Q3752" s="1" t="s">
        <v>35</v>
      </c>
      <c r="R3752" s="2">
        <v>48295</v>
      </c>
      <c r="S3752" s="2">
        <v>34610</v>
      </c>
      <c r="T3752" s="2">
        <v>0</v>
      </c>
      <c r="U3752" s="2">
        <v>0</v>
      </c>
      <c r="V3752" s="2">
        <v>0</v>
      </c>
      <c r="W3752" s="2">
        <v>62090</v>
      </c>
      <c r="X3752" s="43">
        <f>SUM(R3752:W3764)</f>
        <v>1979573</v>
      </c>
      <c r="Y3752" s="10">
        <v>46204</v>
      </c>
      <c r="Z3752" s="11">
        <v>0.18962454052312397</v>
      </c>
      <c r="AA3752" s="11">
        <v>0.15853632235818399</v>
      </c>
      <c r="AB3752" s="11">
        <v>0.13130366614667105</v>
      </c>
      <c r="AC3752" s="11">
        <v>0.11730241147211601</v>
      </c>
      <c r="AD3752" s="11">
        <v>0.10638825231856879</v>
      </c>
      <c r="AE3752" s="11">
        <v>0.12205898654316046</v>
      </c>
      <c r="AF3752" s="11">
        <v>0.2</v>
      </c>
      <c r="AG3752" s="11">
        <v>0.23899999999999999</v>
      </c>
    </row>
    <row r="3753" spans="2:33">
      <c r="C3753" s="14"/>
      <c r="D3753" s="14"/>
      <c r="E3753" s="14"/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35"/>
      <c r="Q3753" s="36" t="s">
        <v>36</v>
      </c>
      <c r="R3753" s="13">
        <v>42809</v>
      </c>
      <c r="S3753" s="13">
        <v>30557</v>
      </c>
      <c r="T3753" s="13">
        <v>0</v>
      </c>
      <c r="U3753" s="13">
        <v>0</v>
      </c>
      <c r="V3753" s="13">
        <v>0</v>
      </c>
      <c r="W3753" s="37">
        <v>49823</v>
      </c>
      <c r="X3753" s="18"/>
      <c r="Y3753" s="14"/>
      <c r="Z3753" s="14"/>
      <c r="AA3753" s="14"/>
      <c r="AB3753" s="14"/>
      <c r="AC3753" s="14"/>
      <c r="AD3753" s="14"/>
      <c r="AE3753" s="14"/>
      <c r="AF3753" s="14"/>
      <c r="AG3753" s="35"/>
    </row>
    <row r="3754" spans="2:33">
      <c r="B3754" s="19"/>
      <c r="P3754" s="16"/>
      <c r="Q3754" s="36" t="s">
        <v>37</v>
      </c>
      <c r="R3754" s="13">
        <v>0</v>
      </c>
      <c r="S3754" s="13">
        <v>43906</v>
      </c>
      <c r="T3754" s="13">
        <v>31508</v>
      </c>
      <c r="U3754" s="13">
        <v>0</v>
      </c>
      <c r="V3754" s="13">
        <v>0</v>
      </c>
      <c r="W3754" s="37">
        <v>55872</v>
      </c>
      <c r="X3754" s="19"/>
      <c r="AG3754" s="16"/>
    </row>
    <row r="3755" spans="2:33">
      <c r="B3755" s="19"/>
      <c r="P3755" s="16"/>
      <c r="Q3755" s="36" t="s">
        <v>38</v>
      </c>
      <c r="R3755" s="13">
        <v>0</v>
      </c>
      <c r="S3755" s="13">
        <v>0</v>
      </c>
      <c r="T3755" s="13">
        <v>0</v>
      </c>
      <c r="U3755" s="13">
        <v>55090</v>
      </c>
      <c r="V3755" s="13">
        <v>40123</v>
      </c>
      <c r="W3755" s="37">
        <v>70874</v>
      </c>
      <c r="X3755" s="19"/>
      <c r="AG3755" s="16"/>
    </row>
    <row r="3756" spans="2:33">
      <c r="B3756" s="19"/>
      <c r="P3756" s="16"/>
      <c r="Q3756" s="36" t="s">
        <v>1865</v>
      </c>
      <c r="R3756" s="13">
        <v>0</v>
      </c>
      <c r="S3756" s="13">
        <v>0</v>
      </c>
      <c r="T3756" s="13">
        <v>0</v>
      </c>
      <c r="U3756" s="13">
        <v>40532</v>
      </c>
      <c r="V3756" s="13">
        <v>29679</v>
      </c>
      <c r="W3756" s="37">
        <v>60216</v>
      </c>
      <c r="X3756" s="19"/>
      <c r="AG3756" s="16"/>
    </row>
    <row r="3757" spans="2:33">
      <c r="B3757" s="19"/>
      <c r="P3757" s="16"/>
      <c r="Q3757" s="36" t="s">
        <v>1715</v>
      </c>
      <c r="R3757" s="13">
        <v>0</v>
      </c>
      <c r="S3757" s="13">
        <v>0</v>
      </c>
      <c r="T3757" s="13">
        <v>0</v>
      </c>
      <c r="U3757" s="13">
        <v>10471</v>
      </c>
      <c r="V3757" s="13">
        <v>7627</v>
      </c>
      <c r="W3757" s="37">
        <v>11314</v>
      </c>
      <c r="X3757" s="19"/>
      <c r="AG3757" s="16"/>
    </row>
    <row r="3758" spans="2:33">
      <c r="B3758" s="19"/>
      <c r="P3758" s="16"/>
      <c r="Q3758" s="36" t="s">
        <v>40</v>
      </c>
      <c r="R3758" s="13">
        <v>0</v>
      </c>
      <c r="S3758" s="13">
        <v>0</v>
      </c>
      <c r="T3758" s="13">
        <v>59319</v>
      </c>
      <c r="U3758" s="13">
        <v>43948</v>
      </c>
      <c r="V3758" s="13">
        <v>0</v>
      </c>
      <c r="W3758" s="37">
        <v>86847</v>
      </c>
      <c r="X3758" s="19"/>
      <c r="AG3758" s="16"/>
    </row>
    <row r="3759" spans="2:33">
      <c r="B3759" s="19"/>
      <c r="P3759" s="16"/>
      <c r="Q3759" s="36" t="s">
        <v>41</v>
      </c>
      <c r="R3759" s="13">
        <v>68706</v>
      </c>
      <c r="S3759" s="13">
        <v>51068</v>
      </c>
      <c r="T3759" s="13">
        <v>0</v>
      </c>
      <c r="U3759" s="13">
        <v>0</v>
      </c>
      <c r="V3759" s="13">
        <v>0</v>
      </c>
      <c r="W3759" s="37">
        <v>91139</v>
      </c>
      <c r="X3759" s="19"/>
      <c r="AG3759" s="16"/>
    </row>
    <row r="3760" spans="2:33">
      <c r="B3760" s="19"/>
      <c r="P3760" s="16"/>
      <c r="Q3760" s="36" t="s">
        <v>42</v>
      </c>
      <c r="R3760" s="13">
        <v>0</v>
      </c>
      <c r="S3760" s="13">
        <v>0</v>
      </c>
      <c r="T3760" s="13">
        <v>56697</v>
      </c>
      <c r="U3760" s="13">
        <v>42350</v>
      </c>
      <c r="V3760" s="13">
        <v>0</v>
      </c>
      <c r="W3760" s="37">
        <v>95380</v>
      </c>
      <c r="X3760" s="19"/>
      <c r="AG3760" s="16"/>
    </row>
    <row r="3761" spans="2:33">
      <c r="B3761" s="19"/>
      <c r="P3761" s="16"/>
      <c r="Q3761" s="36" t="s">
        <v>43</v>
      </c>
      <c r="R3761" s="13">
        <v>0</v>
      </c>
      <c r="S3761" s="13">
        <v>0</v>
      </c>
      <c r="T3761" s="13">
        <v>53213</v>
      </c>
      <c r="U3761" s="13">
        <v>39225</v>
      </c>
      <c r="V3761" s="13">
        <v>0</v>
      </c>
      <c r="W3761" s="37">
        <v>69986</v>
      </c>
      <c r="X3761" s="19"/>
      <c r="AG3761" s="16"/>
    </row>
    <row r="3762" spans="2:33">
      <c r="B3762" s="19"/>
      <c r="P3762" s="16"/>
      <c r="Q3762" s="36" t="s">
        <v>44</v>
      </c>
      <c r="R3762" s="13">
        <v>0</v>
      </c>
      <c r="S3762" s="13">
        <v>0</v>
      </c>
      <c r="T3762" s="13">
        <v>0</v>
      </c>
      <c r="U3762" s="13">
        <v>53885</v>
      </c>
      <c r="V3762" s="13">
        <v>39684</v>
      </c>
      <c r="W3762" s="37">
        <v>63709</v>
      </c>
      <c r="X3762" s="19"/>
      <c r="AG3762" s="16"/>
    </row>
    <row r="3763" spans="2:33">
      <c r="B3763" s="19"/>
      <c r="P3763" s="16"/>
      <c r="Q3763" s="36" t="s">
        <v>45</v>
      </c>
      <c r="R3763" s="13">
        <v>0</v>
      </c>
      <c r="S3763" s="13">
        <v>60264</v>
      </c>
      <c r="T3763" s="13">
        <v>44968</v>
      </c>
      <c r="U3763" s="13">
        <v>0</v>
      </c>
      <c r="V3763" s="13">
        <v>0</v>
      </c>
      <c r="W3763" s="37">
        <v>102944</v>
      </c>
      <c r="X3763" s="19"/>
      <c r="AG3763" s="16"/>
    </row>
    <row r="3764" spans="2:33" ht="15" thickBot="1">
      <c r="B3764" s="20"/>
      <c r="C3764" s="15"/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  <c r="N3764" s="15"/>
      <c r="O3764" s="15"/>
      <c r="P3764" s="17"/>
      <c r="Q3764" s="36" t="s">
        <v>46</v>
      </c>
      <c r="R3764" s="13">
        <v>41226</v>
      </c>
      <c r="S3764" s="13">
        <v>30131</v>
      </c>
      <c r="T3764" s="13">
        <v>0</v>
      </c>
      <c r="U3764" s="13">
        <v>0</v>
      </c>
      <c r="V3764" s="13">
        <v>0</v>
      </c>
      <c r="W3764" s="37">
        <v>59488</v>
      </c>
      <c r="X3764" s="20"/>
      <c r="Y3764" s="15"/>
      <c r="Z3764" s="15"/>
      <c r="AA3764" s="15"/>
      <c r="AB3764" s="15"/>
      <c r="AC3764" s="15"/>
      <c r="AD3764" s="15"/>
      <c r="AE3764" s="15"/>
      <c r="AF3764" s="15"/>
      <c r="AG3764" s="17"/>
    </row>
    <row r="3765" spans="2:33" ht="15" thickBot="1"/>
    <row r="3766" spans="2:33" ht="15" thickBot="1">
      <c r="B3766" s="53" t="s">
        <v>2190</v>
      </c>
      <c r="C3766" s="26" t="s">
        <v>1859</v>
      </c>
      <c r="D3766" s="26" t="s">
        <v>1866</v>
      </c>
      <c r="E3766" s="26" t="s">
        <v>1867</v>
      </c>
      <c r="F3766" s="26" t="s">
        <v>1862</v>
      </c>
      <c r="G3766" s="26" t="s">
        <v>1863</v>
      </c>
      <c r="H3766" s="27" t="s">
        <v>108</v>
      </c>
      <c r="I3766" s="26" t="s">
        <v>1868</v>
      </c>
      <c r="J3766" s="27" t="s">
        <v>87</v>
      </c>
      <c r="K3766" s="29">
        <v>275</v>
      </c>
      <c r="L3766" s="29">
        <v>275</v>
      </c>
      <c r="M3766" s="29">
        <v>275</v>
      </c>
      <c r="N3766" s="29">
        <v>275</v>
      </c>
      <c r="O3766" s="29">
        <v>275</v>
      </c>
      <c r="P3766" s="40">
        <v>350</v>
      </c>
      <c r="Q3766" s="1" t="s">
        <v>35</v>
      </c>
      <c r="R3766" s="2">
        <v>25976</v>
      </c>
      <c r="S3766" s="2">
        <v>17757</v>
      </c>
      <c r="T3766" s="2">
        <v>0</v>
      </c>
      <c r="U3766" s="2">
        <v>0</v>
      </c>
      <c r="V3766" s="2">
        <v>0</v>
      </c>
      <c r="W3766" s="2">
        <v>25237</v>
      </c>
      <c r="X3766" s="43">
        <f>SUM(R3766:W3777)</f>
        <v>662894</v>
      </c>
      <c r="Y3766" s="10">
        <v>46204</v>
      </c>
      <c r="Z3766" s="11">
        <v>0.21915174234314722</v>
      </c>
      <c r="AA3766" s="11">
        <v>0.18274192037163289</v>
      </c>
      <c r="AB3766" s="11">
        <v>0.14726787607165501</v>
      </c>
      <c r="AC3766" s="11">
        <v>0.1287497680516306</v>
      </c>
      <c r="AD3766" s="11">
        <v>0.11447820346270936</v>
      </c>
      <c r="AE3766" s="11">
        <v>0.13149780089791482</v>
      </c>
      <c r="AF3766" s="11">
        <v>0.2</v>
      </c>
      <c r="AG3766" s="11">
        <v>0.23899999999999999</v>
      </c>
    </row>
    <row r="3767" spans="2:33">
      <c r="C3767" s="14"/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35"/>
      <c r="Q3767" s="36" t="s">
        <v>36</v>
      </c>
      <c r="R3767" s="13">
        <v>22929</v>
      </c>
      <c r="S3767" s="13">
        <v>16097</v>
      </c>
      <c r="T3767" s="13">
        <v>0</v>
      </c>
      <c r="U3767" s="13">
        <v>0</v>
      </c>
      <c r="V3767" s="13">
        <v>0</v>
      </c>
      <c r="W3767" s="37">
        <v>18801</v>
      </c>
      <c r="X3767" s="18"/>
      <c r="Y3767" s="14"/>
      <c r="Z3767" s="14"/>
      <c r="AA3767" s="14"/>
      <c r="AB3767" s="14"/>
      <c r="AC3767" s="14"/>
      <c r="AD3767" s="14"/>
      <c r="AE3767" s="14"/>
      <c r="AF3767" s="14"/>
      <c r="AG3767" s="35"/>
    </row>
    <row r="3768" spans="2:33">
      <c r="B3768" s="19"/>
      <c r="P3768" s="16"/>
      <c r="Q3768" s="36" t="s">
        <v>37</v>
      </c>
      <c r="R3768" s="13">
        <v>0</v>
      </c>
      <c r="S3768" s="13">
        <v>22232</v>
      </c>
      <c r="T3768" s="13">
        <v>15754</v>
      </c>
      <c r="U3768" s="13">
        <v>0</v>
      </c>
      <c r="V3768" s="13">
        <v>0</v>
      </c>
      <c r="W3768" s="37">
        <v>19382</v>
      </c>
      <c r="X3768" s="19"/>
      <c r="AG3768" s="16"/>
    </row>
    <row r="3769" spans="2:33">
      <c r="B3769" s="19"/>
      <c r="P3769" s="16"/>
      <c r="Q3769" s="36" t="s">
        <v>38</v>
      </c>
      <c r="R3769" s="13">
        <v>0</v>
      </c>
      <c r="S3769" s="13">
        <v>0</v>
      </c>
      <c r="T3769" s="13">
        <v>0</v>
      </c>
      <c r="U3769" s="13">
        <v>20455</v>
      </c>
      <c r="V3769" s="13">
        <v>14457</v>
      </c>
      <c r="W3769" s="37">
        <v>14630</v>
      </c>
      <c r="X3769" s="19"/>
      <c r="AG3769" s="16"/>
    </row>
    <row r="3770" spans="2:33">
      <c r="B3770" s="19"/>
      <c r="P3770" s="16"/>
      <c r="Q3770" s="36" t="s">
        <v>39</v>
      </c>
      <c r="R3770" s="13">
        <v>0</v>
      </c>
      <c r="S3770" s="13">
        <v>0</v>
      </c>
      <c r="T3770" s="13">
        <v>0</v>
      </c>
      <c r="U3770" s="13">
        <v>20368</v>
      </c>
      <c r="V3770" s="13">
        <v>15083</v>
      </c>
      <c r="W3770" s="37">
        <v>17166</v>
      </c>
      <c r="X3770" s="19"/>
      <c r="AG3770" s="16"/>
    </row>
    <row r="3771" spans="2:33">
      <c r="B3771" s="19"/>
      <c r="P3771" s="16"/>
      <c r="Q3771" s="36" t="s">
        <v>40</v>
      </c>
      <c r="R3771" s="13">
        <v>0</v>
      </c>
      <c r="S3771" s="13">
        <v>0</v>
      </c>
      <c r="T3771" s="13">
        <v>24899</v>
      </c>
      <c r="U3771" s="13">
        <v>18138</v>
      </c>
      <c r="V3771" s="13">
        <v>0</v>
      </c>
      <c r="W3771" s="37">
        <v>19351</v>
      </c>
      <c r="X3771" s="19"/>
      <c r="AG3771" s="16"/>
    </row>
    <row r="3772" spans="2:33">
      <c r="B3772" s="19"/>
      <c r="P3772" s="16"/>
      <c r="Q3772" s="36" t="s">
        <v>41</v>
      </c>
      <c r="R3772" s="13">
        <v>27215</v>
      </c>
      <c r="S3772" s="13">
        <v>19787</v>
      </c>
      <c r="T3772" s="13">
        <v>0</v>
      </c>
      <c r="U3772" s="13">
        <v>0</v>
      </c>
      <c r="V3772" s="13">
        <v>0</v>
      </c>
      <c r="W3772" s="37">
        <v>16280</v>
      </c>
      <c r="X3772" s="19"/>
      <c r="AG3772" s="16"/>
    </row>
    <row r="3773" spans="2:33">
      <c r="B3773" s="19"/>
      <c r="P3773" s="16"/>
      <c r="Q3773" s="36" t="s">
        <v>42</v>
      </c>
      <c r="R3773" s="13">
        <v>0</v>
      </c>
      <c r="S3773" s="13">
        <v>0</v>
      </c>
      <c r="T3773" s="13">
        <v>19895</v>
      </c>
      <c r="U3773" s="13">
        <v>13772</v>
      </c>
      <c r="V3773" s="13">
        <v>0</v>
      </c>
      <c r="W3773" s="37">
        <v>17832</v>
      </c>
      <c r="X3773" s="19"/>
      <c r="AG3773" s="16"/>
    </row>
    <row r="3774" spans="2:33">
      <c r="B3774" s="19"/>
      <c r="P3774" s="16"/>
      <c r="Q3774" s="36" t="s">
        <v>43</v>
      </c>
      <c r="R3774" s="13">
        <v>0</v>
      </c>
      <c r="S3774" s="13">
        <v>0</v>
      </c>
      <c r="T3774" s="13">
        <v>22144</v>
      </c>
      <c r="U3774" s="13">
        <v>16088</v>
      </c>
      <c r="V3774" s="13">
        <v>0</v>
      </c>
      <c r="W3774" s="37">
        <v>13824</v>
      </c>
      <c r="X3774" s="19"/>
      <c r="AG3774" s="16"/>
    </row>
    <row r="3775" spans="2:33">
      <c r="B3775" s="19"/>
      <c r="P3775" s="16"/>
      <c r="Q3775" s="36" t="s">
        <v>44</v>
      </c>
      <c r="R3775" s="13">
        <v>0</v>
      </c>
      <c r="S3775" s="13">
        <v>0</v>
      </c>
      <c r="T3775" s="13">
        <v>0</v>
      </c>
      <c r="U3775" s="13">
        <v>19155</v>
      </c>
      <c r="V3775" s="13">
        <v>14239</v>
      </c>
      <c r="W3775" s="37">
        <v>12969</v>
      </c>
      <c r="X3775" s="19"/>
      <c r="AG3775" s="16"/>
    </row>
    <row r="3776" spans="2:33">
      <c r="B3776" s="19"/>
      <c r="P3776" s="16"/>
      <c r="Q3776" s="36" t="s">
        <v>45</v>
      </c>
      <c r="R3776" s="13">
        <v>0</v>
      </c>
      <c r="S3776" s="13">
        <v>18555</v>
      </c>
      <c r="T3776" s="13">
        <v>13271</v>
      </c>
      <c r="U3776" s="13">
        <v>0</v>
      </c>
      <c r="V3776" s="13">
        <v>0</v>
      </c>
      <c r="W3776" s="37">
        <v>15968</v>
      </c>
      <c r="X3776" s="19"/>
      <c r="AG3776" s="16"/>
    </row>
    <row r="3777" spans="2:33" ht="15" thickBot="1">
      <c r="B3777" s="20"/>
      <c r="C3777" s="15"/>
      <c r="D3777" s="15"/>
      <c r="E3777" s="15"/>
      <c r="F3777" s="15"/>
      <c r="G3777" s="15"/>
      <c r="H3777" s="15"/>
      <c r="I3777" s="15"/>
      <c r="J3777" s="15"/>
      <c r="K3777" s="15"/>
      <c r="L3777" s="15"/>
      <c r="M3777" s="15"/>
      <c r="N3777" s="15"/>
      <c r="O3777" s="15"/>
      <c r="P3777" s="17"/>
      <c r="Q3777" s="36" t="s">
        <v>46</v>
      </c>
      <c r="R3777" s="13">
        <v>20255</v>
      </c>
      <c r="S3777" s="13">
        <v>13613</v>
      </c>
      <c r="T3777" s="13">
        <v>0</v>
      </c>
      <c r="U3777" s="13">
        <v>0</v>
      </c>
      <c r="V3777" s="13">
        <v>0</v>
      </c>
      <c r="W3777" s="37">
        <v>19320</v>
      </c>
      <c r="X3777" s="20"/>
      <c r="Y3777" s="15"/>
      <c r="Z3777" s="15"/>
      <c r="AA3777" s="15"/>
      <c r="AB3777" s="15"/>
      <c r="AC3777" s="15"/>
      <c r="AD3777" s="15"/>
      <c r="AE3777" s="15"/>
      <c r="AF3777" s="15"/>
      <c r="AG3777" s="17"/>
    </row>
    <row r="3779" spans="2:33" ht="15" thickBot="1">
      <c r="B3779" s="25" t="s">
        <v>1869</v>
      </c>
      <c r="C3779" s="26" t="s">
        <v>1870</v>
      </c>
      <c r="D3779" s="26" t="s">
        <v>1871</v>
      </c>
      <c r="E3779" s="26" t="s">
        <v>1872</v>
      </c>
      <c r="F3779" s="26" t="s">
        <v>1873</v>
      </c>
      <c r="G3779" s="26" t="s">
        <v>1874</v>
      </c>
      <c r="H3779" s="27" t="s">
        <v>435</v>
      </c>
      <c r="I3779" s="26" t="s">
        <v>1875</v>
      </c>
      <c r="J3779" s="27" t="s">
        <v>34</v>
      </c>
      <c r="K3779" s="29">
        <v>85</v>
      </c>
      <c r="L3779" s="29">
        <v>85</v>
      </c>
      <c r="M3779" s="29">
        <v>85</v>
      </c>
      <c r="N3779" s="29">
        <v>85</v>
      </c>
      <c r="O3779" s="29">
        <v>85</v>
      </c>
      <c r="P3779" s="40">
        <v>198</v>
      </c>
      <c r="Q3779" s="1" t="s">
        <v>35</v>
      </c>
      <c r="R3779" s="2">
        <v>7489</v>
      </c>
      <c r="S3779" s="2">
        <v>3699</v>
      </c>
      <c r="T3779" s="2">
        <v>0</v>
      </c>
      <c r="U3779" s="2">
        <v>0</v>
      </c>
      <c r="V3779" s="2">
        <v>0</v>
      </c>
      <c r="W3779" s="2">
        <v>3479</v>
      </c>
      <c r="X3779" s="43">
        <f>SUM(R3779:W3791)</f>
        <v>151015</v>
      </c>
      <c r="Y3779" s="10">
        <v>46204</v>
      </c>
      <c r="Z3779" s="11">
        <v>0.19035550499012904</v>
      </c>
      <c r="AA3779" s="11">
        <v>0.15926728682518909</v>
      </c>
      <c r="AB3779" s="11">
        <v>0.13203463061367612</v>
      </c>
      <c r="AC3779" s="11">
        <v>0.11803337593912108</v>
      </c>
      <c r="AD3779" s="11">
        <v>0.10711921678557386</v>
      </c>
      <c r="AE3779" s="11">
        <v>0.12278995101016552</v>
      </c>
      <c r="AF3779" s="11">
        <v>1</v>
      </c>
      <c r="AG3779" s="11">
        <v>0.23899999999999999</v>
      </c>
    </row>
    <row r="3780" spans="2:33">
      <c r="B3780" s="18"/>
      <c r="C3780" s="14"/>
      <c r="D3780" s="14"/>
      <c r="E3780" s="14"/>
      <c r="F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35"/>
      <c r="Q3780" s="36" t="s">
        <v>36</v>
      </c>
      <c r="R3780" s="13">
        <v>6180</v>
      </c>
      <c r="S3780" s="13">
        <v>2790</v>
      </c>
      <c r="T3780" s="13">
        <v>0</v>
      </c>
      <c r="U3780" s="13">
        <v>0</v>
      </c>
      <c r="V3780" s="13">
        <v>0</v>
      </c>
      <c r="W3780" s="37">
        <v>2963</v>
      </c>
      <c r="X3780" s="18"/>
      <c r="Y3780" s="14"/>
      <c r="Z3780" s="14"/>
      <c r="AA3780" s="14"/>
      <c r="AB3780" s="14"/>
      <c r="AC3780" s="14"/>
      <c r="AD3780" s="14"/>
      <c r="AE3780" s="14"/>
      <c r="AF3780" s="14"/>
      <c r="AG3780" s="35"/>
    </row>
    <row r="3781" spans="2:33">
      <c r="B3781" s="19"/>
      <c r="P3781" s="16"/>
      <c r="Q3781" s="36" t="s">
        <v>37</v>
      </c>
      <c r="R3781" s="13">
        <v>0</v>
      </c>
      <c r="S3781" s="13">
        <v>6241</v>
      </c>
      <c r="T3781" s="13">
        <v>2868</v>
      </c>
      <c r="U3781" s="13">
        <v>0</v>
      </c>
      <c r="V3781" s="13">
        <v>0</v>
      </c>
      <c r="W3781" s="37">
        <v>3417</v>
      </c>
      <c r="X3781" s="19"/>
      <c r="AG3781" s="16"/>
    </row>
    <row r="3782" spans="2:33">
      <c r="B3782" s="19"/>
      <c r="P3782" s="16"/>
      <c r="Q3782" s="36" t="s">
        <v>38</v>
      </c>
      <c r="R3782" s="13">
        <v>0</v>
      </c>
      <c r="S3782" s="13">
        <v>0</v>
      </c>
      <c r="T3782" s="13">
        <v>0</v>
      </c>
      <c r="U3782" s="13">
        <v>5604</v>
      </c>
      <c r="V3782" s="13">
        <v>2620</v>
      </c>
      <c r="W3782" s="37">
        <v>2596</v>
      </c>
      <c r="X3782" s="19"/>
      <c r="AG3782" s="16"/>
    </row>
    <row r="3783" spans="2:33">
      <c r="B3783" s="19"/>
      <c r="P3783" s="16"/>
      <c r="Q3783" s="36" t="s">
        <v>39</v>
      </c>
      <c r="R3783" s="13">
        <v>0</v>
      </c>
      <c r="S3783" s="13">
        <v>0</v>
      </c>
      <c r="T3783" s="13">
        <v>0</v>
      </c>
      <c r="U3783" s="13">
        <v>5865</v>
      </c>
      <c r="V3783" s="13">
        <v>2740</v>
      </c>
      <c r="W3783" s="37">
        <v>2541</v>
      </c>
      <c r="X3783" s="19"/>
      <c r="AG3783" s="16"/>
    </row>
    <row r="3784" spans="2:33">
      <c r="B3784" s="19"/>
      <c r="P3784" s="16"/>
      <c r="Q3784" s="36" t="s">
        <v>1876</v>
      </c>
      <c r="R3784" s="13">
        <v>0</v>
      </c>
      <c r="S3784" s="13">
        <v>0</v>
      </c>
      <c r="T3784" s="13">
        <v>5114</v>
      </c>
      <c r="U3784" s="13">
        <v>2288</v>
      </c>
      <c r="V3784" s="13">
        <v>0</v>
      </c>
      <c r="W3784" s="37">
        <v>1951</v>
      </c>
      <c r="X3784" s="19"/>
      <c r="AG3784" s="16"/>
    </row>
    <row r="3785" spans="2:33">
      <c r="B3785" s="19"/>
      <c r="P3785" s="16"/>
      <c r="Q3785" s="36" t="s">
        <v>1877</v>
      </c>
      <c r="R3785" s="13">
        <v>0</v>
      </c>
      <c r="S3785" s="13">
        <v>0</v>
      </c>
      <c r="T3785" s="13">
        <v>5244</v>
      </c>
      <c r="U3785" s="13">
        <v>2366</v>
      </c>
      <c r="V3785" s="13">
        <v>0</v>
      </c>
      <c r="W3785" s="37">
        <v>2142</v>
      </c>
      <c r="X3785" s="19"/>
      <c r="AG3785" s="16"/>
    </row>
    <row r="3786" spans="2:33">
      <c r="B3786" s="19"/>
      <c r="P3786" s="16"/>
      <c r="Q3786" s="36" t="s">
        <v>41</v>
      </c>
      <c r="R3786" s="13">
        <v>6002</v>
      </c>
      <c r="S3786" s="13">
        <v>2861</v>
      </c>
      <c r="T3786" s="13">
        <v>0</v>
      </c>
      <c r="U3786" s="13">
        <v>0</v>
      </c>
      <c r="V3786" s="13">
        <v>0</v>
      </c>
      <c r="W3786" s="37">
        <v>2469</v>
      </c>
      <c r="X3786" s="19"/>
      <c r="AG3786" s="16"/>
    </row>
    <row r="3787" spans="2:33">
      <c r="B3787" s="19"/>
      <c r="P3787" s="16"/>
      <c r="Q3787" s="36" t="s">
        <v>42</v>
      </c>
      <c r="R3787" s="13">
        <v>0</v>
      </c>
      <c r="S3787" s="13">
        <v>0</v>
      </c>
      <c r="T3787" s="13">
        <v>5042</v>
      </c>
      <c r="U3787" s="13">
        <v>2276</v>
      </c>
      <c r="V3787" s="13">
        <v>0</v>
      </c>
      <c r="W3787" s="37">
        <v>2306</v>
      </c>
      <c r="X3787" s="19"/>
      <c r="AG3787" s="16"/>
    </row>
    <row r="3788" spans="2:33">
      <c r="B3788" s="19"/>
      <c r="P3788" s="16"/>
      <c r="Q3788" s="36" t="s">
        <v>43</v>
      </c>
      <c r="R3788" s="13">
        <v>0</v>
      </c>
      <c r="S3788" s="13">
        <v>0</v>
      </c>
      <c r="T3788" s="13">
        <v>6493</v>
      </c>
      <c r="U3788" s="13">
        <v>3058</v>
      </c>
      <c r="V3788" s="13">
        <v>0</v>
      </c>
      <c r="W3788" s="37">
        <v>2813</v>
      </c>
      <c r="X3788" s="19"/>
      <c r="AG3788" s="16"/>
    </row>
    <row r="3789" spans="2:33">
      <c r="B3789" s="19"/>
      <c r="P3789" s="16"/>
      <c r="Q3789" s="36" t="s">
        <v>44</v>
      </c>
      <c r="R3789" s="13">
        <v>0</v>
      </c>
      <c r="S3789" s="13">
        <v>0</v>
      </c>
      <c r="T3789" s="13">
        <v>0</v>
      </c>
      <c r="U3789" s="13">
        <v>6332</v>
      </c>
      <c r="V3789" s="13">
        <v>2909</v>
      </c>
      <c r="W3789" s="37">
        <v>2720</v>
      </c>
      <c r="X3789" s="19"/>
      <c r="AG3789" s="16"/>
    </row>
    <row r="3790" spans="2:33">
      <c r="B3790" s="19"/>
      <c r="P3790" s="16"/>
      <c r="Q3790" s="36" t="s">
        <v>45</v>
      </c>
      <c r="R3790" s="13">
        <v>0</v>
      </c>
      <c r="S3790" s="13">
        <v>6073</v>
      </c>
      <c r="T3790" s="13">
        <v>2783</v>
      </c>
      <c r="U3790" s="13">
        <v>0</v>
      </c>
      <c r="V3790" s="13">
        <v>0</v>
      </c>
      <c r="W3790" s="37">
        <v>2865</v>
      </c>
      <c r="X3790" s="19"/>
      <c r="AG3790" s="16"/>
    </row>
    <row r="3791" spans="2:33" ht="15" thickBot="1">
      <c r="B3791" s="20"/>
      <c r="C3791" s="15"/>
      <c r="D3791" s="15"/>
      <c r="E3791" s="15"/>
      <c r="F3791" s="15"/>
      <c r="G3791" s="15"/>
      <c r="H3791" s="15"/>
      <c r="I3791" s="15"/>
      <c r="J3791" s="15"/>
      <c r="K3791" s="15"/>
      <c r="L3791" s="15"/>
      <c r="M3791" s="15"/>
      <c r="N3791" s="15"/>
      <c r="O3791" s="15"/>
      <c r="P3791" s="17"/>
      <c r="Q3791" s="36" t="s">
        <v>46</v>
      </c>
      <c r="R3791" s="13">
        <v>7504</v>
      </c>
      <c r="S3791" s="13">
        <v>3075</v>
      </c>
      <c r="T3791" s="13">
        <v>0</v>
      </c>
      <c r="U3791" s="13">
        <v>0</v>
      </c>
      <c r="V3791" s="13">
        <v>0</v>
      </c>
      <c r="W3791" s="37">
        <v>3237</v>
      </c>
      <c r="X3791" s="20"/>
      <c r="Y3791" s="15"/>
      <c r="Z3791" s="15"/>
      <c r="AA3791" s="15"/>
      <c r="AB3791" s="15"/>
      <c r="AC3791" s="15"/>
      <c r="AD3791" s="15"/>
      <c r="AE3791" s="15"/>
      <c r="AF3791" s="15"/>
      <c r="AG3791" s="17"/>
    </row>
    <row r="3793" spans="2:33" ht="15" thickBot="1">
      <c r="B3793" s="25" t="s">
        <v>1878</v>
      </c>
      <c r="C3793" s="26" t="s">
        <v>1879</v>
      </c>
      <c r="D3793" s="26" t="s">
        <v>1880</v>
      </c>
      <c r="E3793" s="26" t="s">
        <v>1881</v>
      </c>
      <c r="F3793" s="26" t="s">
        <v>1882</v>
      </c>
      <c r="G3793" s="26" t="s">
        <v>1883</v>
      </c>
      <c r="H3793" s="27" t="s">
        <v>72</v>
      </c>
      <c r="I3793" s="26" t="s">
        <v>1884</v>
      </c>
      <c r="J3793" s="27" t="s">
        <v>34</v>
      </c>
      <c r="K3793" s="29">
        <v>110</v>
      </c>
      <c r="L3793" s="29">
        <v>120</v>
      </c>
      <c r="M3793" s="29">
        <v>120</v>
      </c>
      <c r="N3793" s="29">
        <v>120</v>
      </c>
      <c r="O3793" s="29">
        <v>120</v>
      </c>
      <c r="P3793" s="40">
        <v>120</v>
      </c>
      <c r="Q3793" s="1" t="s">
        <v>35</v>
      </c>
      <c r="R3793" s="2">
        <v>9983.7197265625</v>
      </c>
      <c r="S3793" s="2">
        <v>9551.7197265625</v>
      </c>
      <c r="T3793" s="2">
        <v>0</v>
      </c>
      <c r="U3793" s="2">
        <v>0</v>
      </c>
      <c r="V3793" s="2">
        <v>0</v>
      </c>
      <c r="W3793" s="2">
        <v>18843.0390625</v>
      </c>
      <c r="X3793" s="43">
        <f>SUM(R3793:W3804)</f>
        <v>634084.8388671875</v>
      </c>
      <c r="Y3793" s="10">
        <v>46204</v>
      </c>
      <c r="Z3793" s="11">
        <v>0.19003063189368236</v>
      </c>
      <c r="AA3793" s="11">
        <v>0.15894241372874238</v>
      </c>
      <c r="AB3793" s="11">
        <v>0.13170975751722944</v>
      </c>
      <c r="AC3793" s="11">
        <v>0.11770850284267438</v>
      </c>
      <c r="AD3793" s="11">
        <v>0.10679434368912716</v>
      </c>
      <c r="AE3793" s="11">
        <v>0.12246507791371883</v>
      </c>
      <c r="AF3793" s="11">
        <v>0.7</v>
      </c>
      <c r="AG3793" s="11">
        <v>0.23899999999999999</v>
      </c>
    </row>
    <row r="3794" spans="2:33">
      <c r="B3794" s="18"/>
      <c r="C3794" s="14"/>
      <c r="D3794" s="14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35"/>
      <c r="Q3794" s="36" t="s">
        <v>36</v>
      </c>
      <c r="R3794" s="13">
        <v>6995.1201171875</v>
      </c>
      <c r="S3794" s="13">
        <v>7372.16015625</v>
      </c>
      <c r="T3794" s="13">
        <v>0</v>
      </c>
      <c r="U3794" s="13">
        <v>0</v>
      </c>
      <c r="V3794" s="13">
        <v>0</v>
      </c>
      <c r="W3794" s="37">
        <v>15252.080078125</v>
      </c>
      <c r="X3794" s="18"/>
      <c r="Y3794" s="14"/>
      <c r="Z3794" s="14"/>
      <c r="AA3794" s="14"/>
      <c r="AB3794" s="14"/>
      <c r="AC3794" s="14"/>
      <c r="AD3794" s="14"/>
      <c r="AE3794" s="14"/>
      <c r="AF3794" s="14"/>
      <c r="AG3794" s="35"/>
    </row>
    <row r="3795" spans="2:33">
      <c r="B3795" s="19"/>
      <c r="P3795" s="16"/>
      <c r="Q3795" s="36" t="s">
        <v>37</v>
      </c>
      <c r="R3795" s="13">
        <v>0</v>
      </c>
      <c r="S3795" s="13">
        <v>7643</v>
      </c>
      <c r="T3795" s="13">
        <v>7575</v>
      </c>
      <c r="U3795" s="13">
        <v>0</v>
      </c>
      <c r="V3795" s="13">
        <v>0</v>
      </c>
      <c r="W3795" s="37">
        <v>17112</v>
      </c>
      <c r="X3795" s="19"/>
      <c r="AG3795" s="16"/>
    </row>
    <row r="3796" spans="2:33">
      <c r="B3796" s="19"/>
      <c r="P3796" s="16"/>
      <c r="Q3796" s="36" t="s">
        <v>38</v>
      </c>
      <c r="R3796" s="13">
        <v>0</v>
      </c>
      <c r="S3796" s="13">
        <v>0</v>
      </c>
      <c r="T3796" s="13">
        <v>0</v>
      </c>
      <c r="U3796" s="13">
        <v>7957</v>
      </c>
      <c r="V3796" s="13">
        <v>8925</v>
      </c>
      <c r="W3796" s="37">
        <v>16466</v>
      </c>
      <c r="X3796" s="19"/>
      <c r="AG3796" s="16"/>
    </row>
    <row r="3797" spans="2:33">
      <c r="B3797" s="19"/>
      <c r="P3797" s="16"/>
      <c r="Q3797" s="36" t="s">
        <v>39</v>
      </c>
      <c r="R3797" s="13">
        <v>0</v>
      </c>
      <c r="S3797" s="13">
        <v>0</v>
      </c>
      <c r="T3797" s="13">
        <v>0</v>
      </c>
      <c r="U3797" s="13">
        <v>10723</v>
      </c>
      <c r="V3797" s="13">
        <v>11103</v>
      </c>
      <c r="W3797" s="37">
        <v>23449</v>
      </c>
      <c r="X3797" s="19"/>
      <c r="AG3797" s="16"/>
    </row>
    <row r="3798" spans="2:33">
      <c r="B3798" s="19"/>
      <c r="P3798" s="16"/>
      <c r="Q3798" s="36" t="s">
        <v>40</v>
      </c>
      <c r="R3798" s="13">
        <v>0</v>
      </c>
      <c r="S3798" s="13">
        <v>0</v>
      </c>
      <c r="T3798" s="13">
        <v>18934</v>
      </c>
      <c r="U3798" s="13">
        <v>17111</v>
      </c>
      <c r="V3798" s="13">
        <v>0</v>
      </c>
      <c r="W3798" s="37">
        <v>41553</v>
      </c>
      <c r="X3798" s="19"/>
      <c r="AG3798" s="16"/>
    </row>
    <row r="3799" spans="2:33">
      <c r="B3799" s="19"/>
      <c r="P3799" s="16"/>
      <c r="Q3799" s="36" t="s">
        <v>41</v>
      </c>
      <c r="R3799" s="13">
        <v>19907</v>
      </c>
      <c r="S3799" s="13">
        <v>17756</v>
      </c>
      <c r="T3799" s="13">
        <v>0</v>
      </c>
      <c r="U3799" s="13">
        <v>0</v>
      </c>
      <c r="V3799" s="13">
        <v>0</v>
      </c>
      <c r="W3799" s="37">
        <v>42597</v>
      </c>
      <c r="X3799" s="19"/>
      <c r="AG3799" s="16"/>
    </row>
    <row r="3800" spans="2:33">
      <c r="B3800" s="19"/>
      <c r="P3800" s="16"/>
      <c r="Q3800" s="36" t="s">
        <v>42</v>
      </c>
      <c r="R3800" s="13">
        <v>0</v>
      </c>
      <c r="S3800" s="13">
        <v>0</v>
      </c>
      <c r="T3800" s="13">
        <v>19116</v>
      </c>
      <c r="U3800" s="13">
        <v>16885</v>
      </c>
      <c r="V3800" s="13">
        <v>0</v>
      </c>
      <c r="W3800" s="37">
        <v>52285</v>
      </c>
      <c r="X3800" s="19"/>
      <c r="AG3800" s="16"/>
    </row>
    <row r="3801" spans="2:33">
      <c r="B3801" s="19"/>
      <c r="P3801" s="16"/>
      <c r="Q3801" s="36" t="s">
        <v>43</v>
      </c>
      <c r="R3801" s="13">
        <v>0</v>
      </c>
      <c r="S3801" s="13">
        <v>0</v>
      </c>
      <c r="T3801" s="13">
        <v>17853</v>
      </c>
      <c r="U3801" s="13">
        <v>16262</v>
      </c>
      <c r="V3801" s="13">
        <v>0</v>
      </c>
      <c r="W3801" s="37">
        <v>33837</v>
      </c>
      <c r="X3801" s="19"/>
      <c r="AG3801" s="16"/>
    </row>
    <row r="3802" spans="2:33">
      <c r="B3802" s="19"/>
      <c r="P3802" s="16"/>
      <c r="Q3802" s="36" t="s">
        <v>44</v>
      </c>
      <c r="R3802" s="13">
        <v>0</v>
      </c>
      <c r="S3802" s="13">
        <v>0</v>
      </c>
      <c r="T3802" s="13">
        <v>0</v>
      </c>
      <c r="U3802" s="13">
        <v>18601</v>
      </c>
      <c r="V3802" s="13">
        <v>17162</v>
      </c>
      <c r="W3802" s="37">
        <v>30112</v>
      </c>
      <c r="X3802" s="19"/>
      <c r="AG3802" s="16"/>
    </row>
    <row r="3803" spans="2:33">
      <c r="B3803" s="19"/>
      <c r="P3803" s="16"/>
      <c r="Q3803" s="36" t="s">
        <v>45</v>
      </c>
      <c r="R3803" s="13">
        <v>0</v>
      </c>
      <c r="S3803" s="13">
        <v>7859</v>
      </c>
      <c r="T3803" s="13">
        <v>8597</v>
      </c>
      <c r="U3803" s="13">
        <v>0</v>
      </c>
      <c r="V3803" s="13">
        <v>0</v>
      </c>
      <c r="W3803" s="37">
        <v>21004</v>
      </c>
      <c r="X3803" s="19"/>
      <c r="AG3803" s="16"/>
    </row>
    <row r="3804" spans="2:33" ht="15" thickBot="1">
      <c r="B3804" s="20"/>
      <c r="C3804" s="15"/>
      <c r="D3804" s="15"/>
      <c r="E3804" s="15"/>
      <c r="F3804" s="15"/>
      <c r="G3804" s="15"/>
      <c r="H3804" s="15"/>
      <c r="I3804" s="15"/>
      <c r="J3804" s="15"/>
      <c r="K3804" s="15"/>
      <c r="L3804" s="15"/>
      <c r="M3804" s="15"/>
      <c r="N3804" s="15"/>
      <c r="O3804" s="15"/>
      <c r="P3804" s="17"/>
      <c r="Q3804" s="36" t="s">
        <v>46</v>
      </c>
      <c r="R3804" s="13">
        <v>8904</v>
      </c>
      <c r="S3804" s="13">
        <v>8768</v>
      </c>
      <c r="T3804" s="13">
        <v>0</v>
      </c>
      <c r="U3804" s="13">
        <v>0</v>
      </c>
      <c r="V3804" s="13">
        <v>0</v>
      </c>
      <c r="W3804" s="37">
        <v>20031</v>
      </c>
      <c r="X3804" s="20"/>
      <c r="Y3804" s="15"/>
      <c r="Z3804" s="15"/>
      <c r="AA3804" s="15"/>
      <c r="AB3804" s="15"/>
      <c r="AC3804" s="15"/>
      <c r="AD3804" s="15"/>
      <c r="AE3804" s="15"/>
      <c r="AF3804" s="15"/>
      <c r="AG3804" s="17"/>
    </row>
    <row r="3806" spans="2:33" ht="15" thickBot="1">
      <c r="B3806" s="25" t="s">
        <v>1878</v>
      </c>
      <c r="C3806" s="26" t="s">
        <v>1879</v>
      </c>
      <c r="D3806" s="26" t="s">
        <v>1885</v>
      </c>
      <c r="E3806" s="26" t="s">
        <v>1886</v>
      </c>
      <c r="F3806" s="26" t="s">
        <v>1887</v>
      </c>
      <c r="G3806" s="26" t="s">
        <v>1888</v>
      </c>
      <c r="H3806" s="27" t="s">
        <v>72</v>
      </c>
      <c r="I3806" s="26" t="s">
        <v>1889</v>
      </c>
      <c r="J3806" s="27" t="s">
        <v>56</v>
      </c>
      <c r="K3806" s="29">
        <v>10.3920001983643</v>
      </c>
      <c r="L3806" s="29">
        <v>10.3920001983643</v>
      </c>
      <c r="M3806" s="29">
        <v>10.3920001983643</v>
      </c>
      <c r="N3806" s="29" t="s">
        <v>96</v>
      </c>
      <c r="O3806" s="29" t="s">
        <v>96</v>
      </c>
      <c r="P3806" s="40" t="s">
        <v>96</v>
      </c>
      <c r="Q3806" s="1" t="s">
        <v>1890</v>
      </c>
      <c r="R3806" s="2">
        <v>3</v>
      </c>
      <c r="S3806" s="2">
        <v>3</v>
      </c>
      <c r="T3806" s="2">
        <v>7</v>
      </c>
      <c r="U3806" s="2">
        <v>0</v>
      </c>
      <c r="V3806" s="2">
        <v>0</v>
      </c>
      <c r="W3806" s="2">
        <v>0</v>
      </c>
      <c r="X3806" s="43">
        <f>SUM(R3806:W3817)</f>
        <v>4360</v>
      </c>
      <c r="Y3806" s="10">
        <v>46204</v>
      </c>
      <c r="Z3806" s="11">
        <v>0.23973796414277201</v>
      </c>
      <c r="AA3806" s="11">
        <v>0.16322351435107868</v>
      </c>
      <c r="AB3806" s="11">
        <v>0.1354978922684732</v>
      </c>
      <c r="AC3806" s="11"/>
      <c r="AD3806" s="11"/>
      <c r="AE3806" s="11"/>
      <c r="AF3806" s="11">
        <v>0.7</v>
      </c>
      <c r="AG3806" s="11">
        <v>0.23899999999999999</v>
      </c>
    </row>
    <row r="3807" spans="2:33">
      <c r="B3807" s="18"/>
      <c r="C3807" s="14"/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35"/>
      <c r="Q3807" s="36" t="s">
        <v>1546</v>
      </c>
      <c r="R3807" s="13">
        <v>1</v>
      </c>
      <c r="S3807" s="13">
        <v>0</v>
      </c>
      <c r="T3807" s="13">
        <v>0</v>
      </c>
      <c r="U3807" s="13">
        <v>0</v>
      </c>
      <c r="V3807" s="13">
        <v>0</v>
      </c>
      <c r="W3807" s="37">
        <v>0</v>
      </c>
      <c r="X3807" s="18"/>
      <c r="Y3807" s="14"/>
      <c r="Z3807" s="14"/>
      <c r="AA3807" s="14"/>
      <c r="AB3807" s="14"/>
      <c r="AC3807" s="14"/>
      <c r="AD3807" s="14"/>
      <c r="AE3807" s="14"/>
      <c r="AF3807" s="14"/>
      <c r="AG3807" s="35"/>
    </row>
    <row r="3808" spans="2:33">
      <c r="B3808" s="19"/>
      <c r="P3808" s="16"/>
      <c r="Q3808" s="36" t="s">
        <v>1891</v>
      </c>
      <c r="R3808" s="13">
        <v>0</v>
      </c>
      <c r="S3808" s="13">
        <v>0</v>
      </c>
      <c r="T3808" s="13">
        <v>0</v>
      </c>
      <c r="U3808" s="13">
        <v>0</v>
      </c>
      <c r="V3808" s="13">
        <v>0</v>
      </c>
      <c r="W3808" s="37">
        <v>0</v>
      </c>
      <c r="X3808" s="19"/>
      <c r="AG3808" s="16"/>
    </row>
    <row r="3809" spans="2:33">
      <c r="B3809" s="19"/>
      <c r="P3809" s="16"/>
      <c r="Q3809" s="36" t="s">
        <v>1892</v>
      </c>
      <c r="R3809" s="13">
        <v>1</v>
      </c>
      <c r="S3809" s="13">
        <v>0</v>
      </c>
      <c r="T3809" s="13">
        <v>0</v>
      </c>
      <c r="U3809" s="13">
        <v>0</v>
      </c>
      <c r="V3809" s="13">
        <v>0</v>
      </c>
      <c r="W3809" s="37">
        <v>0</v>
      </c>
      <c r="X3809" s="19"/>
      <c r="AG3809" s="16"/>
    </row>
    <row r="3810" spans="2:33">
      <c r="B3810" s="19"/>
      <c r="P3810" s="16"/>
      <c r="Q3810" s="36" t="s">
        <v>1893</v>
      </c>
      <c r="R3810" s="13">
        <v>18</v>
      </c>
      <c r="S3810" s="13">
        <v>18</v>
      </c>
      <c r="T3810" s="13">
        <v>28</v>
      </c>
      <c r="U3810" s="13">
        <v>0</v>
      </c>
      <c r="V3810" s="13">
        <v>0</v>
      </c>
      <c r="W3810" s="37">
        <v>0</v>
      </c>
      <c r="X3810" s="19"/>
      <c r="AG3810" s="16"/>
    </row>
    <row r="3811" spans="2:33">
      <c r="B3811" s="19"/>
      <c r="P3811" s="16"/>
      <c r="Q3811" s="36" t="s">
        <v>1894</v>
      </c>
      <c r="R3811" s="13">
        <v>191</v>
      </c>
      <c r="S3811" s="13">
        <v>165</v>
      </c>
      <c r="T3811" s="13">
        <v>413</v>
      </c>
      <c r="U3811" s="13">
        <v>0</v>
      </c>
      <c r="V3811" s="13">
        <v>0</v>
      </c>
      <c r="W3811" s="37">
        <v>0</v>
      </c>
      <c r="X3811" s="19"/>
      <c r="AG3811" s="16"/>
    </row>
    <row r="3812" spans="2:33">
      <c r="B3812" s="19"/>
      <c r="P3812" s="16"/>
      <c r="Q3812" s="36" t="s">
        <v>1895</v>
      </c>
      <c r="R3812" s="13">
        <v>249</v>
      </c>
      <c r="S3812" s="13">
        <v>243</v>
      </c>
      <c r="T3812" s="13">
        <v>612</v>
      </c>
      <c r="U3812" s="13">
        <v>0</v>
      </c>
      <c r="V3812" s="13">
        <v>0</v>
      </c>
      <c r="W3812" s="37">
        <v>0</v>
      </c>
      <c r="X3812" s="19"/>
      <c r="AG3812" s="16"/>
    </row>
    <row r="3813" spans="2:33">
      <c r="B3813" s="19"/>
      <c r="P3813" s="16"/>
      <c r="Q3813" s="36" t="s">
        <v>1896</v>
      </c>
      <c r="R3813" s="13">
        <v>394</v>
      </c>
      <c r="S3813" s="13">
        <v>400</v>
      </c>
      <c r="T3813" s="13">
        <v>887</v>
      </c>
      <c r="U3813" s="13">
        <v>0</v>
      </c>
      <c r="V3813" s="13">
        <v>0</v>
      </c>
      <c r="W3813" s="37">
        <v>0</v>
      </c>
      <c r="X3813" s="19"/>
      <c r="AG3813" s="16"/>
    </row>
    <row r="3814" spans="2:33">
      <c r="B3814" s="19"/>
      <c r="P3814" s="16"/>
      <c r="Q3814" s="36" t="s">
        <v>1897</v>
      </c>
      <c r="R3814" s="13">
        <v>182</v>
      </c>
      <c r="S3814" s="13">
        <v>169</v>
      </c>
      <c r="T3814" s="13">
        <v>231</v>
      </c>
      <c r="U3814" s="13">
        <v>0</v>
      </c>
      <c r="V3814" s="13">
        <v>0</v>
      </c>
      <c r="W3814" s="37">
        <v>0</v>
      </c>
      <c r="X3814" s="19"/>
      <c r="AG3814" s="16"/>
    </row>
    <row r="3815" spans="2:33">
      <c r="B3815" s="19"/>
      <c r="P3815" s="16"/>
      <c r="Q3815" s="36" t="s">
        <v>1418</v>
      </c>
      <c r="R3815" s="13">
        <v>43</v>
      </c>
      <c r="S3815" s="13">
        <v>43</v>
      </c>
      <c r="T3815" s="13">
        <v>58</v>
      </c>
      <c r="U3815" s="13">
        <v>0</v>
      </c>
      <c r="V3815" s="13">
        <v>0</v>
      </c>
      <c r="W3815" s="37">
        <v>0</v>
      </c>
      <c r="X3815" s="19"/>
      <c r="AG3815" s="16"/>
    </row>
    <row r="3816" spans="2:33">
      <c r="B3816" s="19"/>
      <c r="P3816" s="16"/>
      <c r="Q3816" s="36" t="s">
        <v>1898</v>
      </c>
      <c r="R3816" s="13">
        <v>0</v>
      </c>
      <c r="S3816" s="13">
        <v>0</v>
      </c>
      <c r="T3816" s="13">
        <v>1</v>
      </c>
      <c r="U3816" s="13">
        <v>0</v>
      </c>
      <c r="V3816" s="13">
        <v>0</v>
      </c>
      <c r="W3816" s="37">
        <v>0</v>
      </c>
      <c r="X3816" s="19"/>
      <c r="AG3816" s="16"/>
    </row>
    <row r="3817" spans="2:33" ht="15" thickBot="1">
      <c r="B3817" s="20"/>
      <c r="C3817" s="15"/>
      <c r="D3817" s="15"/>
      <c r="E3817" s="15"/>
      <c r="F3817" s="15"/>
      <c r="G3817" s="15"/>
      <c r="H3817" s="15"/>
      <c r="I3817" s="15"/>
      <c r="J3817" s="15"/>
      <c r="K3817" s="15"/>
      <c r="L3817" s="15"/>
      <c r="M3817" s="15"/>
      <c r="N3817" s="15"/>
      <c r="O3817" s="15"/>
      <c r="P3817" s="17"/>
      <c r="Q3817" s="36" t="s">
        <v>1899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37">
        <v>0</v>
      </c>
      <c r="X3817" s="20"/>
      <c r="Y3817" s="15"/>
      <c r="Z3817" s="15"/>
      <c r="AA3817" s="15"/>
      <c r="AB3817" s="15"/>
      <c r="AC3817" s="15"/>
      <c r="AD3817" s="15"/>
      <c r="AE3817" s="15"/>
      <c r="AF3817" s="15"/>
      <c r="AG3817" s="17"/>
    </row>
    <row r="3819" spans="2:33" ht="15" thickBot="1">
      <c r="B3819" s="25" t="s">
        <v>1900</v>
      </c>
      <c r="C3819" s="26" t="s">
        <v>1901</v>
      </c>
      <c r="D3819" s="26" t="s">
        <v>1902</v>
      </c>
      <c r="E3819" s="26" t="s">
        <v>1903</v>
      </c>
      <c r="F3819" s="26" t="s">
        <v>614</v>
      </c>
      <c r="G3819" s="26" t="s">
        <v>615</v>
      </c>
      <c r="H3819" s="27" t="s">
        <v>33</v>
      </c>
      <c r="I3819" s="26" t="s">
        <v>1904</v>
      </c>
      <c r="J3819" s="27" t="s">
        <v>87</v>
      </c>
      <c r="K3819" s="29">
        <v>165</v>
      </c>
      <c r="L3819" s="29">
        <v>165</v>
      </c>
      <c r="M3819" s="29">
        <v>165</v>
      </c>
      <c r="N3819" s="29">
        <v>165</v>
      </c>
      <c r="O3819" s="29">
        <v>165</v>
      </c>
      <c r="P3819" s="40">
        <v>165</v>
      </c>
      <c r="Q3819" s="1" t="s">
        <v>35</v>
      </c>
      <c r="R3819" s="2">
        <v>13060</v>
      </c>
      <c r="S3819" s="2">
        <v>6570</v>
      </c>
      <c r="T3819" s="2">
        <v>0</v>
      </c>
      <c r="U3819" s="2">
        <v>0</v>
      </c>
      <c r="V3819" s="2">
        <v>0</v>
      </c>
      <c r="W3819" s="2">
        <v>13922</v>
      </c>
      <c r="X3819" s="43">
        <f>SUM(R3819:W3830)</f>
        <v>334386</v>
      </c>
      <c r="Y3819" s="10">
        <v>46204</v>
      </c>
      <c r="Z3819" s="11">
        <v>0.21937509259695434</v>
      </c>
      <c r="AA3819" s="11">
        <v>0.18296527062544002</v>
      </c>
      <c r="AB3819" s="11">
        <v>0.14749122632546213</v>
      </c>
      <c r="AC3819" s="11">
        <v>0.12897311830543773</v>
      </c>
      <c r="AD3819" s="11">
        <v>0.11470155371651646</v>
      </c>
      <c r="AE3819" s="11">
        <v>0.13172115115172195</v>
      </c>
      <c r="AF3819" s="11">
        <v>0.55000000000000004</v>
      </c>
      <c r="AG3819" s="11">
        <v>0.23899999999999999</v>
      </c>
    </row>
    <row r="3820" spans="2:33">
      <c r="B3820" s="18"/>
      <c r="C3820" s="14"/>
      <c r="D3820" s="14"/>
      <c r="E3820" s="14"/>
      <c r="F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35"/>
      <c r="Q3820" s="36" t="s">
        <v>36</v>
      </c>
      <c r="R3820" s="13">
        <v>11221</v>
      </c>
      <c r="S3820" s="13">
        <v>5807</v>
      </c>
      <c r="T3820" s="13">
        <v>0</v>
      </c>
      <c r="U3820" s="13">
        <v>0</v>
      </c>
      <c r="V3820" s="13">
        <v>0</v>
      </c>
      <c r="W3820" s="37">
        <v>11436</v>
      </c>
      <c r="X3820" s="18"/>
      <c r="Y3820" s="14"/>
      <c r="Z3820" s="14"/>
      <c r="AA3820" s="14"/>
      <c r="AB3820" s="14"/>
      <c r="AC3820" s="14"/>
      <c r="AD3820" s="14"/>
      <c r="AE3820" s="14"/>
      <c r="AF3820" s="14"/>
      <c r="AG3820" s="35"/>
    </row>
    <row r="3821" spans="2:33">
      <c r="B3821" s="19"/>
      <c r="P3821" s="16"/>
      <c r="Q3821" s="36" t="s">
        <v>37</v>
      </c>
      <c r="R3821" s="13">
        <v>0</v>
      </c>
      <c r="S3821" s="13">
        <v>12451</v>
      </c>
      <c r="T3821" s="13">
        <v>6394</v>
      </c>
      <c r="U3821" s="13">
        <v>0</v>
      </c>
      <c r="V3821" s="13">
        <v>0</v>
      </c>
      <c r="W3821" s="37">
        <v>13663</v>
      </c>
      <c r="X3821" s="19"/>
      <c r="AG3821" s="16"/>
    </row>
    <row r="3822" spans="2:33">
      <c r="B3822" s="19"/>
      <c r="P3822" s="16"/>
      <c r="Q3822" s="36" t="s">
        <v>38</v>
      </c>
      <c r="R3822" s="13">
        <v>0</v>
      </c>
      <c r="S3822" s="13">
        <v>0</v>
      </c>
      <c r="T3822" s="13">
        <v>0</v>
      </c>
      <c r="U3822" s="13">
        <v>9084</v>
      </c>
      <c r="V3822" s="13">
        <v>4674</v>
      </c>
      <c r="W3822" s="37">
        <v>8620</v>
      </c>
      <c r="X3822" s="19"/>
      <c r="AG3822" s="16"/>
    </row>
    <row r="3823" spans="2:33">
      <c r="B3823" s="19"/>
      <c r="P3823" s="16"/>
      <c r="Q3823" s="36" t="s">
        <v>39</v>
      </c>
      <c r="R3823" s="13">
        <v>0</v>
      </c>
      <c r="S3823" s="13">
        <v>0</v>
      </c>
      <c r="T3823" s="13">
        <v>0</v>
      </c>
      <c r="U3823" s="13">
        <v>9609</v>
      </c>
      <c r="V3823" s="13">
        <v>4812</v>
      </c>
      <c r="W3823" s="37">
        <v>9524</v>
      </c>
      <c r="X3823" s="19"/>
      <c r="AG3823" s="16"/>
    </row>
    <row r="3824" spans="2:33">
      <c r="B3824" s="19"/>
      <c r="P3824" s="16"/>
      <c r="Q3824" s="36" t="s">
        <v>40</v>
      </c>
      <c r="R3824" s="13">
        <v>0</v>
      </c>
      <c r="S3824" s="13">
        <v>0</v>
      </c>
      <c r="T3824" s="13">
        <v>13200</v>
      </c>
      <c r="U3824" s="13">
        <v>5871</v>
      </c>
      <c r="V3824" s="13">
        <v>0</v>
      </c>
      <c r="W3824" s="37">
        <v>10373</v>
      </c>
      <c r="X3824" s="19"/>
      <c r="AG3824" s="16"/>
    </row>
    <row r="3825" spans="2:33">
      <c r="B3825" s="19"/>
      <c r="P3825" s="16"/>
      <c r="Q3825" s="36" t="s">
        <v>41</v>
      </c>
      <c r="R3825" s="13">
        <v>14523</v>
      </c>
      <c r="S3825" s="13">
        <v>6425</v>
      </c>
      <c r="T3825" s="13">
        <v>0</v>
      </c>
      <c r="U3825" s="13">
        <v>0</v>
      </c>
      <c r="V3825" s="13">
        <v>0</v>
      </c>
      <c r="W3825" s="37">
        <v>10988</v>
      </c>
      <c r="X3825" s="19"/>
      <c r="AG3825" s="16"/>
    </row>
    <row r="3826" spans="2:33">
      <c r="B3826" s="19"/>
      <c r="P3826" s="16"/>
      <c r="Q3826" s="36" t="s">
        <v>1905</v>
      </c>
      <c r="R3826" s="13">
        <v>0</v>
      </c>
      <c r="S3826" s="13">
        <v>0</v>
      </c>
      <c r="T3826" s="13">
        <v>8606</v>
      </c>
      <c r="U3826" s="13">
        <v>3706</v>
      </c>
      <c r="V3826" s="13">
        <v>0</v>
      </c>
      <c r="W3826" s="37">
        <v>8690</v>
      </c>
      <c r="X3826" s="19"/>
      <c r="AG3826" s="16"/>
    </row>
    <row r="3827" spans="2:33">
      <c r="B3827" s="19"/>
      <c r="P3827" s="16"/>
      <c r="Q3827" s="36" t="s">
        <v>43</v>
      </c>
      <c r="R3827" s="13">
        <v>0</v>
      </c>
      <c r="S3827" s="13">
        <v>0</v>
      </c>
      <c r="T3827" s="13">
        <v>11113</v>
      </c>
      <c r="U3827" s="13">
        <v>5307</v>
      </c>
      <c r="V3827" s="13">
        <v>0</v>
      </c>
      <c r="W3827" s="37">
        <v>9248</v>
      </c>
      <c r="X3827" s="19"/>
      <c r="AG3827" s="16"/>
    </row>
    <row r="3828" spans="2:33">
      <c r="B3828" s="19"/>
      <c r="P3828" s="16"/>
      <c r="Q3828" s="36" t="s">
        <v>44</v>
      </c>
      <c r="R3828" s="13">
        <v>0</v>
      </c>
      <c r="S3828" s="13">
        <v>0</v>
      </c>
      <c r="T3828" s="13">
        <v>0</v>
      </c>
      <c r="U3828" s="13">
        <v>10209</v>
      </c>
      <c r="V3828" s="13">
        <v>5249</v>
      </c>
      <c r="W3828" s="37">
        <v>9284</v>
      </c>
      <c r="X3828" s="19"/>
      <c r="AG3828" s="16"/>
    </row>
    <row r="3829" spans="2:33">
      <c r="B3829" s="19"/>
      <c r="P3829" s="16"/>
      <c r="Q3829" s="36" t="s">
        <v>1906</v>
      </c>
      <c r="R3829" s="13">
        <v>0</v>
      </c>
      <c r="S3829" s="13">
        <v>10545</v>
      </c>
      <c r="T3829" s="13">
        <v>5440</v>
      </c>
      <c r="U3829" s="13">
        <v>0</v>
      </c>
      <c r="V3829" s="13">
        <v>0</v>
      </c>
      <c r="W3829" s="37">
        <v>12569</v>
      </c>
      <c r="X3829" s="19"/>
      <c r="AG3829" s="16"/>
    </row>
    <row r="3830" spans="2:33" ht="15" thickBot="1">
      <c r="B3830" s="20"/>
      <c r="C3830" s="15"/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  <c r="N3830" s="15"/>
      <c r="O3830" s="15"/>
      <c r="P3830" s="17"/>
      <c r="Q3830" s="36" t="s">
        <v>46</v>
      </c>
      <c r="R3830" s="13">
        <v>11722</v>
      </c>
      <c r="S3830" s="13">
        <v>6216</v>
      </c>
      <c r="T3830" s="13">
        <v>0</v>
      </c>
      <c r="U3830" s="13">
        <v>0</v>
      </c>
      <c r="V3830" s="13">
        <v>0</v>
      </c>
      <c r="W3830" s="37">
        <v>14255</v>
      </c>
      <c r="X3830" s="20"/>
      <c r="Y3830" s="15"/>
      <c r="Z3830" s="15"/>
      <c r="AA3830" s="15"/>
      <c r="AB3830" s="15"/>
      <c r="AC3830" s="15"/>
      <c r="AD3830" s="15"/>
      <c r="AE3830" s="15"/>
      <c r="AF3830" s="15"/>
      <c r="AG3830" s="17"/>
    </row>
    <row r="3832" spans="2:33" ht="15" thickBot="1">
      <c r="B3832" s="25" t="s">
        <v>1900</v>
      </c>
      <c r="C3832" s="26" t="s">
        <v>1901</v>
      </c>
      <c r="D3832" s="26" t="s">
        <v>1907</v>
      </c>
      <c r="E3832" s="26" t="s">
        <v>1908</v>
      </c>
      <c r="F3832" s="26" t="s">
        <v>1909</v>
      </c>
      <c r="G3832" s="26" t="s">
        <v>1910</v>
      </c>
      <c r="H3832" s="27" t="s">
        <v>33</v>
      </c>
      <c r="I3832" s="26" t="s">
        <v>1911</v>
      </c>
      <c r="J3832" s="27" t="s">
        <v>34</v>
      </c>
      <c r="K3832" s="29">
        <v>360</v>
      </c>
      <c r="L3832" s="29">
        <v>360</v>
      </c>
      <c r="M3832" s="29">
        <v>360</v>
      </c>
      <c r="N3832" s="29">
        <v>360</v>
      </c>
      <c r="O3832" s="29">
        <v>360</v>
      </c>
      <c r="P3832" s="40">
        <v>800</v>
      </c>
      <c r="Q3832" s="1" t="s">
        <v>35</v>
      </c>
      <c r="R3832" s="2">
        <v>23540</v>
      </c>
      <c r="S3832" s="2">
        <v>9943</v>
      </c>
      <c r="T3832" s="2">
        <v>0</v>
      </c>
      <c r="U3832" s="2">
        <v>0</v>
      </c>
      <c r="V3832" s="2">
        <v>0</v>
      </c>
      <c r="W3832" s="2">
        <v>15942</v>
      </c>
      <c r="X3832" s="43">
        <f>SUM(R3832:W3843)</f>
        <v>518378</v>
      </c>
      <c r="Y3832" s="10">
        <v>46204</v>
      </c>
      <c r="Z3832" s="11">
        <v>0.18984789077693109</v>
      </c>
      <c r="AA3832" s="11">
        <v>0.15875967261199112</v>
      </c>
      <c r="AB3832" s="11">
        <v>0.13152701640047817</v>
      </c>
      <c r="AC3832" s="11">
        <v>0.11752576172592311</v>
      </c>
      <c r="AD3832" s="11">
        <v>0.10661160257237588</v>
      </c>
      <c r="AE3832" s="11">
        <v>0.12228233679696755</v>
      </c>
      <c r="AF3832" s="11">
        <v>0.55000000000000004</v>
      </c>
      <c r="AG3832" s="11">
        <v>0.23899999999999999</v>
      </c>
    </row>
    <row r="3833" spans="2:33">
      <c r="B3833" s="18"/>
      <c r="C3833" s="14"/>
      <c r="D3833" s="14"/>
      <c r="E3833" s="14"/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35"/>
      <c r="Q3833" s="36" t="s">
        <v>36</v>
      </c>
      <c r="R3833" s="13">
        <v>20764</v>
      </c>
      <c r="S3833" s="13">
        <v>8418</v>
      </c>
      <c r="T3833" s="13">
        <v>0</v>
      </c>
      <c r="U3833" s="13">
        <v>0</v>
      </c>
      <c r="V3833" s="13">
        <v>0</v>
      </c>
      <c r="W3833" s="37">
        <v>14465</v>
      </c>
      <c r="X3833" s="18"/>
      <c r="Y3833" s="14"/>
      <c r="Z3833" s="14"/>
      <c r="AA3833" s="14"/>
      <c r="AB3833" s="14"/>
      <c r="AC3833" s="14"/>
      <c r="AD3833" s="14"/>
      <c r="AE3833" s="14"/>
      <c r="AF3833" s="14"/>
      <c r="AG3833" s="35"/>
    </row>
    <row r="3834" spans="2:33">
      <c r="B3834" s="19"/>
      <c r="P3834" s="16"/>
      <c r="Q3834" s="36" t="s">
        <v>37</v>
      </c>
      <c r="R3834" s="13">
        <v>0</v>
      </c>
      <c r="S3834" s="13">
        <v>20254</v>
      </c>
      <c r="T3834" s="13">
        <v>8547</v>
      </c>
      <c r="U3834" s="13">
        <v>0</v>
      </c>
      <c r="V3834" s="13">
        <v>0</v>
      </c>
      <c r="W3834" s="37">
        <v>13538</v>
      </c>
      <c r="X3834" s="19"/>
      <c r="AG3834" s="16"/>
    </row>
    <row r="3835" spans="2:33">
      <c r="B3835" s="19"/>
      <c r="P3835" s="16"/>
      <c r="Q3835" s="36" t="s">
        <v>38</v>
      </c>
      <c r="R3835" s="13">
        <v>0</v>
      </c>
      <c r="S3835" s="13">
        <v>0</v>
      </c>
      <c r="T3835" s="13">
        <v>0</v>
      </c>
      <c r="U3835" s="13">
        <v>18359</v>
      </c>
      <c r="V3835" s="13">
        <v>6919</v>
      </c>
      <c r="W3835" s="37">
        <v>11804</v>
      </c>
      <c r="X3835" s="19"/>
      <c r="AG3835" s="16"/>
    </row>
    <row r="3836" spans="2:33">
      <c r="B3836" s="19"/>
      <c r="P3836" s="16"/>
      <c r="Q3836" s="36" t="s">
        <v>39</v>
      </c>
      <c r="R3836" s="13">
        <v>0</v>
      </c>
      <c r="S3836" s="13">
        <v>0</v>
      </c>
      <c r="T3836" s="13">
        <v>0</v>
      </c>
      <c r="U3836" s="13">
        <v>19479</v>
      </c>
      <c r="V3836" s="13">
        <v>7796</v>
      </c>
      <c r="W3836" s="37">
        <v>12798</v>
      </c>
      <c r="X3836" s="19"/>
      <c r="AG3836" s="16"/>
    </row>
    <row r="3837" spans="2:33">
      <c r="B3837" s="19"/>
      <c r="P3837" s="16"/>
      <c r="Q3837" s="36" t="s">
        <v>40</v>
      </c>
      <c r="R3837" s="13">
        <v>0</v>
      </c>
      <c r="S3837" s="13">
        <v>0</v>
      </c>
      <c r="T3837" s="13">
        <v>28723</v>
      </c>
      <c r="U3837" s="13">
        <v>11947</v>
      </c>
      <c r="V3837" s="13">
        <v>0</v>
      </c>
      <c r="W3837" s="37">
        <v>16992</v>
      </c>
      <c r="X3837" s="19"/>
      <c r="AG3837" s="16"/>
    </row>
    <row r="3838" spans="2:33">
      <c r="B3838" s="19"/>
      <c r="P3838" s="16"/>
      <c r="Q3838" s="36" t="s">
        <v>41</v>
      </c>
      <c r="R3838" s="13">
        <v>28394</v>
      </c>
      <c r="S3838" s="13">
        <v>9774</v>
      </c>
      <c r="T3838" s="13">
        <v>0</v>
      </c>
      <c r="U3838" s="13">
        <v>0</v>
      </c>
      <c r="V3838" s="13">
        <v>0</v>
      </c>
      <c r="W3838" s="37">
        <v>15618</v>
      </c>
      <c r="X3838" s="19"/>
      <c r="AG3838" s="16"/>
    </row>
    <row r="3839" spans="2:33">
      <c r="B3839" s="19"/>
      <c r="P3839" s="16"/>
      <c r="Q3839" s="36" t="s">
        <v>42</v>
      </c>
      <c r="R3839" s="13">
        <v>0</v>
      </c>
      <c r="S3839" s="13">
        <v>0</v>
      </c>
      <c r="T3839" s="13">
        <v>9793</v>
      </c>
      <c r="U3839" s="13">
        <v>3703</v>
      </c>
      <c r="V3839" s="13">
        <v>0</v>
      </c>
      <c r="W3839" s="37">
        <v>8212</v>
      </c>
      <c r="X3839" s="19"/>
      <c r="AG3839" s="16"/>
    </row>
    <row r="3840" spans="2:33">
      <c r="B3840" s="19"/>
      <c r="P3840" s="16"/>
      <c r="Q3840" s="36" t="s">
        <v>43</v>
      </c>
      <c r="R3840" s="13">
        <v>0</v>
      </c>
      <c r="S3840" s="13">
        <v>0</v>
      </c>
      <c r="T3840" s="13">
        <v>24948</v>
      </c>
      <c r="U3840" s="13">
        <v>10130</v>
      </c>
      <c r="V3840" s="13">
        <v>0</v>
      </c>
      <c r="W3840" s="37">
        <v>16243</v>
      </c>
      <c r="X3840" s="19"/>
      <c r="AG3840" s="16"/>
    </row>
    <row r="3841" spans="2:33">
      <c r="B3841" s="19"/>
      <c r="P3841" s="16"/>
      <c r="Q3841" s="36" t="s">
        <v>44</v>
      </c>
      <c r="R3841" s="13">
        <v>0</v>
      </c>
      <c r="S3841" s="13">
        <v>0</v>
      </c>
      <c r="T3841" s="13">
        <v>0</v>
      </c>
      <c r="U3841" s="13">
        <v>22706</v>
      </c>
      <c r="V3841" s="13">
        <v>9883</v>
      </c>
      <c r="W3841" s="37">
        <v>13171</v>
      </c>
      <c r="X3841" s="19"/>
      <c r="AG3841" s="16"/>
    </row>
    <row r="3842" spans="2:33">
      <c r="B3842" s="19"/>
      <c r="P3842" s="16"/>
      <c r="Q3842" s="36" t="s">
        <v>45</v>
      </c>
      <c r="R3842" s="13">
        <v>0</v>
      </c>
      <c r="S3842" s="13">
        <v>18373</v>
      </c>
      <c r="T3842" s="13">
        <v>7947</v>
      </c>
      <c r="U3842" s="13">
        <v>0</v>
      </c>
      <c r="V3842" s="13">
        <v>0</v>
      </c>
      <c r="W3842" s="37">
        <v>12844</v>
      </c>
      <c r="X3842" s="19"/>
      <c r="AG3842" s="16"/>
    </row>
    <row r="3843" spans="2:33" ht="15" thickBot="1">
      <c r="B3843" s="20"/>
      <c r="C3843" s="15"/>
      <c r="D3843" s="15"/>
      <c r="E3843" s="15"/>
      <c r="F3843" s="15"/>
      <c r="G3843" s="15"/>
      <c r="H3843" s="15"/>
      <c r="I3843" s="15"/>
      <c r="J3843" s="15"/>
      <c r="K3843" s="15"/>
      <c r="L3843" s="15"/>
      <c r="M3843" s="15"/>
      <c r="N3843" s="15"/>
      <c r="O3843" s="15"/>
      <c r="P3843" s="17"/>
      <c r="Q3843" s="36" t="s">
        <v>46</v>
      </c>
      <c r="R3843" s="13">
        <v>17068</v>
      </c>
      <c r="S3843" s="13">
        <v>6816</v>
      </c>
      <c r="T3843" s="13">
        <v>0</v>
      </c>
      <c r="U3843" s="13">
        <v>0</v>
      </c>
      <c r="V3843" s="13">
        <v>0</v>
      </c>
      <c r="W3843" s="37">
        <v>12527</v>
      </c>
      <c r="X3843" s="20"/>
      <c r="Y3843" s="15"/>
      <c r="Z3843" s="15"/>
      <c r="AA3843" s="15"/>
      <c r="AB3843" s="15"/>
      <c r="AC3843" s="15"/>
      <c r="AD3843" s="15"/>
      <c r="AE3843" s="15"/>
      <c r="AF3843" s="15"/>
      <c r="AG3843" s="17"/>
    </row>
    <row r="3845" spans="2:33" ht="15" thickBot="1">
      <c r="B3845" s="25" t="s">
        <v>1912</v>
      </c>
      <c r="C3845" s="26" t="s">
        <v>1913</v>
      </c>
      <c r="D3845" s="26" t="s">
        <v>1914</v>
      </c>
      <c r="E3845" s="26" t="s">
        <v>1915</v>
      </c>
      <c r="F3845" s="26" t="s">
        <v>1916</v>
      </c>
      <c r="G3845" s="26" t="s">
        <v>107</v>
      </c>
      <c r="H3845" s="27" t="s">
        <v>108</v>
      </c>
      <c r="I3845" s="26" t="s">
        <v>1917</v>
      </c>
      <c r="J3845" s="27" t="s">
        <v>87</v>
      </c>
      <c r="K3845" s="29">
        <v>75</v>
      </c>
      <c r="L3845" s="29">
        <v>75</v>
      </c>
      <c r="M3845" s="29">
        <v>75</v>
      </c>
      <c r="N3845" s="29">
        <v>75</v>
      </c>
      <c r="O3845" s="29">
        <v>75</v>
      </c>
      <c r="P3845" s="40">
        <v>100</v>
      </c>
      <c r="Q3845" s="1" t="s">
        <v>35</v>
      </c>
      <c r="R3845" s="2">
        <v>5633</v>
      </c>
      <c r="S3845" s="2">
        <v>3785</v>
      </c>
      <c r="T3845" s="2">
        <v>0</v>
      </c>
      <c r="U3845" s="2">
        <v>0</v>
      </c>
      <c r="V3845" s="2">
        <v>0</v>
      </c>
      <c r="W3845" s="2">
        <v>7951</v>
      </c>
      <c r="X3845" s="43">
        <f>SUM(R3845:W3856)</f>
        <v>149194.00006103516</v>
      </c>
      <c r="Y3845" s="10">
        <v>46204</v>
      </c>
      <c r="Z3845" s="11">
        <v>0.21919235148020305</v>
      </c>
      <c r="AA3845" s="11">
        <v>0.18278252950868873</v>
      </c>
      <c r="AB3845" s="11">
        <v>0.14730848520871084</v>
      </c>
      <c r="AC3845" s="11">
        <v>0.12879037718868644</v>
      </c>
      <c r="AD3845" s="11">
        <v>0.11451881259976519</v>
      </c>
      <c r="AE3845" s="11">
        <v>0.13153841003497066</v>
      </c>
      <c r="AF3845" s="11">
        <v>0.3</v>
      </c>
      <c r="AG3845" s="11">
        <v>0.23899999999999999</v>
      </c>
    </row>
    <row r="3846" spans="2:33">
      <c r="B3846" s="18"/>
      <c r="C3846" s="14"/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35"/>
      <c r="Q3846" s="36" t="s">
        <v>1918</v>
      </c>
      <c r="R3846" s="13">
        <v>5683</v>
      </c>
      <c r="S3846" s="13">
        <v>3891</v>
      </c>
      <c r="T3846" s="13">
        <v>0</v>
      </c>
      <c r="U3846" s="13">
        <v>0</v>
      </c>
      <c r="V3846" s="13">
        <v>0</v>
      </c>
      <c r="W3846" s="37">
        <v>6444</v>
      </c>
      <c r="X3846" s="18"/>
      <c r="Y3846" s="14"/>
      <c r="Z3846" s="14"/>
      <c r="AA3846" s="14"/>
      <c r="AB3846" s="14"/>
      <c r="AC3846" s="14"/>
      <c r="AD3846" s="14"/>
      <c r="AE3846" s="14"/>
      <c r="AF3846" s="14"/>
      <c r="AG3846" s="35"/>
    </row>
    <row r="3847" spans="2:33">
      <c r="B3847" s="19"/>
      <c r="P3847" s="16"/>
      <c r="Q3847" s="36" t="s">
        <v>37</v>
      </c>
      <c r="R3847" s="13">
        <v>0</v>
      </c>
      <c r="S3847" s="13">
        <v>5354</v>
      </c>
      <c r="T3847" s="13">
        <v>3759</v>
      </c>
      <c r="U3847" s="13">
        <v>0</v>
      </c>
      <c r="V3847" s="13">
        <v>0</v>
      </c>
      <c r="W3847" s="37">
        <v>6346</v>
      </c>
      <c r="X3847" s="19"/>
      <c r="AG3847" s="16"/>
    </row>
    <row r="3848" spans="2:33">
      <c r="B3848" s="19"/>
      <c r="P3848" s="16"/>
      <c r="Q3848" s="36" t="s">
        <v>1441</v>
      </c>
      <c r="R3848" s="13">
        <v>0</v>
      </c>
      <c r="S3848" s="13">
        <v>0</v>
      </c>
      <c r="T3848" s="13">
        <v>0</v>
      </c>
      <c r="U3848" s="13">
        <v>817.530029296875</v>
      </c>
      <c r="V3848" s="13">
        <v>658.21002197265625</v>
      </c>
      <c r="W3848" s="37">
        <v>1254.260009765625</v>
      </c>
      <c r="X3848" s="19"/>
      <c r="AG3848" s="16"/>
    </row>
    <row r="3849" spans="2:33">
      <c r="B3849" s="19"/>
      <c r="P3849" s="16"/>
      <c r="Q3849" s="36" t="s">
        <v>1442</v>
      </c>
      <c r="R3849" s="13">
        <v>0</v>
      </c>
      <c r="S3849" s="13">
        <v>0</v>
      </c>
      <c r="T3849" s="13">
        <v>0</v>
      </c>
      <c r="U3849" s="13">
        <v>2163</v>
      </c>
      <c r="V3849" s="13">
        <v>1737</v>
      </c>
      <c r="W3849" s="37">
        <v>3660</v>
      </c>
      <c r="X3849" s="19"/>
      <c r="AG3849" s="16"/>
    </row>
    <row r="3850" spans="2:33">
      <c r="B3850" s="19"/>
      <c r="P3850" s="16"/>
      <c r="Q3850" s="36" t="s">
        <v>39</v>
      </c>
      <c r="R3850" s="13">
        <v>0</v>
      </c>
      <c r="S3850" s="13">
        <v>0</v>
      </c>
      <c r="T3850" s="13">
        <v>0</v>
      </c>
      <c r="U3850" s="13">
        <v>3505</v>
      </c>
      <c r="V3850" s="13">
        <v>2713</v>
      </c>
      <c r="W3850" s="37">
        <v>4911</v>
      </c>
      <c r="X3850" s="19"/>
      <c r="AG3850" s="16"/>
    </row>
    <row r="3851" spans="2:33">
      <c r="B3851" s="19"/>
      <c r="P3851" s="16"/>
      <c r="Q3851" s="36" t="s">
        <v>40</v>
      </c>
      <c r="R3851" s="13">
        <v>0</v>
      </c>
      <c r="S3851" s="13">
        <v>0</v>
      </c>
      <c r="T3851" s="13">
        <v>3328</v>
      </c>
      <c r="U3851" s="13">
        <v>2559</v>
      </c>
      <c r="V3851" s="13">
        <v>0</v>
      </c>
      <c r="W3851" s="37">
        <v>4642</v>
      </c>
      <c r="X3851" s="19"/>
      <c r="AG3851" s="16"/>
    </row>
    <row r="3852" spans="2:33">
      <c r="B3852" s="19"/>
      <c r="P3852" s="16"/>
      <c r="Q3852" s="36" t="s">
        <v>41</v>
      </c>
      <c r="R3852" s="13">
        <v>4034</v>
      </c>
      <c r="S3852" s="13">
        <v>2730</v>
      </c>
      <c r="T3852" s="13">
        <v>0</v>
      </c>
      <c r="U3852" s="13">
        <v>0</v>
      </c>
      <c r="V3852" s="13">
        <v>0</v>
      </c>
      <c r="W3852" s="37">
        <v>5402</v>
      </c>
      <c r="X3852" s="19"/>
      <c r="AG3852" s="16"/>
    </row>
    <row r="3853" spans="2:33">
      <c r="B3853" s="19"/>
      <c r="P3853" s="16"/>
      <c r="Q3853" s="36" t="s">
        <v>42</v>
      </c>
      <c r="R3853" s="13">
        <v>0</v>
      </c>
      <c r="S3853" s="13">
        <v>0</v>
      </c>
      <c r="T3853" s="13">
        <v>3489</v>
      </c>
      <c r="U3853" s="13">
        <v>2131</v>
      </c>
      <c r="V3853" s="13">
        <v>0</v>
      </c>
      <c r="W3853" s="37">
        <v>4801</v>
      </c>
      <c r="X3853" s="19"/>
      <c r="AG3853" s="16"/>
    </row>
    <row r="3854" spans="2:33">
      <c r="B3854" s="19"/>
      <c r="P3854" s="16"/>
      <c r="Q3854" s="36" t="s">
        <v>43</v>
      </c>
      <c r="R3854" s="13">
        <v>0</v>
      </c>
      <c r="S3854" s="13">
        <v>0</v>
      </c>
      <c r="T3854" s="13">
        <v>4141</v>
      </c>
      <c r="U3854" s="13">
        <v>2877</v>
      </c>
      <c r="V3854" s="13">
        <v>0</v>
      </c>
      <c r="W3854" s="37">
        <v>4727</v>
      </c>
      <c r="X3854" s="19"/>
      <c r="AG3854" s="16"/>
    </row>
    <row r="3855" spans="2:33">
      <c r="B3855" s="19"/>
      <c r="P3855" s="16"/>
      <c r="Q3855" s="36" t="s">
        <v>45</v>
      </c>
      <c r="R3855" s="13">
        <v>0</v>
      </c>
      <c r="S3855" s="13">
        <v>5485</v>
      </c>
      <c r="T3855" s="13">
        <v>3457</v>
      </c>
      <c r="U3855" s="13">
        <v>0</v>
      </c>
      <c r="V3855" s="13">
        <v>0</v>
      </c>
      <c r="W3855" s="37">
        <v>6840</v>
      </c>
      <c r="X3855" s="19"/>
      <c r="AG3855" s="16"/>
    </row>
    <row r="3856" spans="2:33" ht="15" thickBot="1">
      <c r="B3856" s="20"/>
      <c r="C3856" s="15"/>
      <c r="D3856" s="15"/>
      <c r="E3856" s="15"/>
      <c r="F3856" s="15"/>
      <c r="G3856" s="15"/>
      <c r="H3856" s="15"/>
      <c r="I3856" s="15"/>
      <c r="J3856" s="15"/>
      <c r="K3856" s="15"/>
      <c r="L3856" s="15"/>
      <c r="M3856" s="15"/>
      <c r="N3856" s="15"/>
      <c r="O3856" s="15"/>
      <c r="P3856" s="17"/>
      <c r="Q3856" s="36" t="s">
        <v>46</v>
      </c>
      <c r="R3856" s="13">
        <v>6427</v>
      </c>
      <c r="S3856" s="13">
        <v>4251</v>
      </c>
      <c r="T3856" s="13">
        <v>0</v>
      </c>
      <c r="U3856" s="13">
        <v>0</v>
      </c>
      <c r="V3856" s="13">
        <v>0</v>
      </c>
      <c r="W3856" s="37">
        <v>7608</v>
      </c>
      <c r="X3856" s="20"/>
      <c r="Y3856" s="15"/>
      <c r="Z3856" s="15"/>
      <c r="AA3856" s="15"/>
      <c r="AB3856" s="15"/>
      <c r="AC3856" s="15"/>
      <c r="AD3856" s="15"/>
      <c r="AE3856" s="15"/>
      <c r="AF3856" s="15"/>
      <c r="AG3856" s="17"/>
    </row>
    <row r="3858" spans="2:33" ht="15" thickBot="1">
      <c r="B3858" s="25" t="s">
        <v>1912</v>
      </c>
      <c r="C3858" s="26" t="s">
        <v>1913</v>
      </c>
      <c r="D3858" s="26" t="s">
        <v>1919</v>
      </c>
      <c r="E3858" s="26" t="s">
        <v>1920</v>
      </c>
      <c r="F3858" s="26" t="s">
        <v>1916</v>
      </c>
      <c r="G3858" s="26" t="s">
        <v>107</v>
      </c>
      <c r="H3858" s="27" t="s">
        <v>108</v>
      </c>
      <c r="I3858" s="26" t="s">
        <v>1921</v>
      </c>
      <c r="J3858" s="27" t="s">
        <v>34</v>
      </c>
      <c r="K3858" s="29">
        <v>200</v>
      </c>
      <c r="L3858" s="29">
        <v>200</v>
      </c>
      <c r="M3858" s="29">
        <v>200</v>
      </c>
      <c r="N3858" s="29">
        <v>200</v>
      </c>
      <c r="O3858" s="29">
        <v>200</v>
      </c>
      <c r="P3858" s="40">
        <v>471</v>
      </c>
      <c r="Q3858" s="1" t="s">
        <v>35</v>
      </c>
      <c r="R3858" s="2">
        <v>9021</v>
      </c>
      <c r="S3858" s="2">
        <v>5143</v>
      </c>
      <c r="T3858" s="2">
        <v>0</v>
      </c>
      <c r="U3858" s="2">
        <v>0</v>
      </c>
      <c r="V3858" s="2">
        <v>0</v>
      </c>
      <c r="W3858" s="2">
        <v>10338</v>
      </c>
      <c r="X3858" s="43">
        <f>SUM(R3858:W3868)</f>
        <v>200843</v>
      </c>
      <c r="Y3858" s="10">
        <v>46204</v>
      </c>
      <c r="Z3858" s="11">
        <v>0.1896651496601798</v>
      </c>
      <c r="AA3858" s="11">
        <v>0.15857693149523983</v>
      </c>
      <c r="AB3858" s="11">
        <v>0.13134427528372689</v>
      </c>
      <c r="AC3858" s="11">
        <v>0.11734302060917184</v>
      </c>
      <c r="AD3858" s="11">
        <v>0.10642886145562462</v>
      </c>
      <c r="AE3858" s="11">
        <v>0.12209959568021629</v>
      </c>
      <c r="AF3858" s="11">
        <v>0.3</v>
      </c>
      <c r="AG3858" s="11">
        <v>0.23899999999999999</v>
      </c>
    </row>
    <row r="3859" spans="2:33">
      <c r="B3859" s="18"/>
      <c r="C3859" s="14"/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35"/>
      <c r="Q3859" s="36" t="s">
        <v>36</v>
      </c>
      <c r="R3859" s="13">
        <v>7568</v>
      </c>
      <c r="S3859" s="13">
        <v>4397</v>
      </c>
      <c r="T3859" s="13">
        <v>0</v>
      </c>
      <c r="U3859" s="13">
        <v>0</v>
      </c>
      <c r="V3859" s="13">
        <v>0</v>
      </c>
      <c r="W3859" s="37">
        <v>7963</v>
      </c>
      <c r="X3859" s="18"/>
      <c r="Y3859" s="14"/>
      <c r="Z3859" s="14"/>
      <c r="AA3859" s="14"/>
      <c r="AB3859" s="14"/>
      <c r="AC3859" s="14"/>
      <c r="AD3859" s="14"/>
      <c r="AE3859" s="14"/>
      <c r="AF3859" s="14"/>
      <c r="AG3859" s="35"/>
    </row>
    <row r="3860" spans="2:33">
      <c r="B3860" s="19"/>
      <c r="P3860" s="16"/>
      <c r="Q3860" s="36" t="s">
        <v>37</v>
      </c>
      <c r="R3860" s="13">
        <v>0</v>
      </c>
      <c r="S3860" s="13">
        <v>7933</v>
      </c>
      <c r="T3860" s="13">
        <v>4869</v>
      </c>
      <c r="U3860" s="13">
        <v>0</v>
      </c>
      <c r="V3860" s="13">
        <v>0</v>
      </c>
      <c r="W3860" s="37">
        <v>8074</v>
      </c>
      <c r="X3860" s="19"/>
      <c r="AG3860" s="16"/>
    </row>
    <row r="3861" spans="2:33">
      <c r="B3861" s="19"/>
      <c r="P3861" s="16"/>
      <c r="Q3861" s="36" t="s">
        <v>38</v>
      </c>
      <c r="R3861" s="13">
        <v>0</v>
      </c>
      <c r="S3861" s="13">
        <v>0</v>
      </c>
      <c r="T3861" s="13">
        <v>0</v>
      </c>
      <c r="U3861" s="13">
        <v>6097</v>
      </c>
      <c r="V3861" s="13">
        <v>3972</v>
      </c>
      <c r="W3861" s="37">
        <v>6493</v>
      </c>
      <c r="X3861" s="19"/>
      <c r="AG3861" s="16"/>
    </row>
    <row r="3862" spans="2:33">
      <c r="B3862" s="19"/>
      <c r="P3862" s="16"/>
      <c r="Q3862" s="36" t="s">
        <v>39</v>
      </c>
      <c r="R3862" s="13">
        <v>0</v>
      </c>
      <c r="S3862" s="13">
        <v>0</v>
      </c>
      <c r="T3862" s="13">
        <v>0</v>
      </c>
      <c r="U3862" s="13">
        <v>5821</v>
      </c>
      <c r="V3862" s="13">
        <v>3979</v>
      </c>
      <c r="W3862" s="37">
        <v>5651</v>
      </c>
      <c r="X3862" s="19"/>
      <c r="AG3862" s="16"/>
    </row>
    <row r="3863" spans="2:33">
      <c r="B3863" s="19"/>
      <c r="P3863" s="16"/>
      <c r="Q3863" s="36" t="s">
        <v>40</v>
      </c>
      <c r="R3863" s="13">
        <v>0</v>
      </c>
      <c r="S3863" s="13">
        <v>0</v>
      </c>
      <c r="T3863" s="13">
        <v>6033</v>
      </c>
      <c r="U3863" s="13">
        <v>4625</v>
      </c>
      <c r="V3863" s="13">
        <v>0</v>
      </c>
      <c r="W3863" s="37">
        <v>5553</v>
      </c>
      <c r="X3863" s="19"/>
      <c r="AG3863" s="16"/>
    </row>
    <row r="3864" spans="2:33">
      <c r="B3864" s="19"/>
      <c r="P3864" s="16"/>
      <c r="Q3864" s="36" t="s">
        <v>41</v>
      </c>
      <c r="R3864" s="13">
        <v>7112</v>
      </c>
      <c r="S3864" s="13">
        <v>3934</v>
      </c>
      <c r="T3864" s="13">
        <v>0</v>
      </c>
      <c r="U3864" s="13">
        <v>0</v>
      </c>
      <c r="V3864" s="13">
        <v>0</v>
      </c>
      <c r="W3864" s="37">
        <v>5959</v>
      </c>
      <c r="X3864" s="19"/>
      <c r="AG3864" s="16"/>
    </row>
    <row r="3865" spans="2:33">
      <c r="B3865" s="19"/>
      <c r="P3865" s="16"/>
      <c r="Q3865" s="36" t="s">
        <v>42</v>
      </c>
      <c r="R3865" s="13">
        <v>0</v>
      </c>
      <c r="S3865" s="13">
        <v>0</v>
      </c>
      <c r="T3865" s="13">
        <v>5936</v>
      </c>
      <c r="U3865" s="13">
        <v>3338</v>
      </c>
      <c r="V3865" s="13">
        <v>0</v>
      </c>
      <c r="W3865" s="37">
        <v>5966</v>
      </c>
      <c r="X3865" s="19"/>
      <c r="AG3865" s="16"/>
    </row>
    <row r="3866" spans="2:33">
      <c r="B3866" s="19"/>
      <c r="P3866" s="16"/>
      <c r="Q3866" s="36" t="s">
        <v>43</v>
      </c>
      <c r="R3866" s="13">
        <v>0</v>
      </c>
      <c r="S3866" s="13">
        <v>0</v>
      </c>
      <c r="T3866" s="13">
        <v>5967</v>
      </c>
      <c r="U3866" s="13">
        <v>3828</v>
      </c>
      <c r="V3866" s="13">
        <v>0</v>
      </c>
      <c r="W3866" s="37">
        <v>5304</v>
      </c>
      <c r="X3866" s="19"/>
      <c r="AG3866" s="16"/>
    </row>
    <row r="3867" spans="2:33">
      <c r="B3867" s="19"/>
      <c r="P3867" s="16"/>
      <c r="Q3867" s="36" t="s">
        <v>45</v>
      </c>
      <c r="R3867" s="13">
        <v>0</v>
      </c>
      <c r="S3867" s="13">
        <v>6853</v>
      </c>
      <c r="T3867" s="13">
        <v>4773</v>
      </c>
      <c r="U3867" s="13">
        <v>0</v>
      </c>
      <c r="V3867" s="13">
        <v>0</v>
      </c>
      <c r="W3867" s="37">
        <v>7167</v>
      </c>
      <c r="X3867" s="19"/>
      <c r="AG3867" s="16"/>
    </row>
    <row r="3868" spans="2:33" ht="15" thickBot="1">
      <c r="B3868" s="20"/>
      <c r="C3868" s="15"/>
      <c r="D3868" s="15"/>
      <c r="E3868" s="15"/>
      <c r="F3868" s="15"/>
      <c r="G3868" s="15"/>
      <c r="H3868" s="15"/>
      <c r="I3868" s="15"/>
      <c r="J3868" s="15"/>
      <c r="K3868" s="15"/>
      <c r="L3868" s="15"/>
      <c r="M3868" s="15"/>
      <c r="N3868" s="15"/>
      <c r="O3868" s="15"/>
      <c r="P3868" s="17"/>
      <c r="Q3868" s="36" t="s">
        <v>46</v>
      </c>
      <c r="R3868" s="13">
        <v>7908</v>
      </c>
      <c r="S3868" s="13">
        <v>4973</v>
      </c>
      <c r="T3868" s="13">
        <v>0</v>
      </c>
      <c r="U3868" s="13">
        <v>0</v>
      </c>
      <c r="V3868" s="13">
        <v>0</v>
      </c>
      <c r="W3868" s="37">
        <v>8295</v>
      </c>
      <c r="X3868" s="20"/>
      <c r="Y3868" s="15"/>
      <c r="Z3868" s="15"/>
      <c r="AA3868" s="15"/>
      <c r="AB3868" s="15"/>
      <c r="AC3868" s="15"/>
      <c r="AD3868" s="15"/>
      <c r="AE3868" s="15"/>
      <c r="AF3868" s="15"/>
      <c r="AG3868" s="17"/>
    </row>
    <row r="3870" spans="2:33" ht="15" thickBot="1">
      <c r="B3870" s="25" t="s">
        <v>1912</v>
      </c>
      <c r="C3870" s="26" t="s">
        <v>1913</v>
      </c>
      <c r="D3870" s="26" t="s">
        <v>1922</v>
      </c>
      <c r="E3870" s="26" t="s">
        <v>1923</v>
      </c>
      <c r="F3870" s="26" t="s">
        <v>1924</v>
      </c>
      <c r="G3870" s="26" t="s">
        <v>1925</v>
      </c>
      <c r="H3870" s="27" t="s">
        <v>72</v>
      </c>
      <c r="I3870" s="26" t="s">
        <v>1926</v>
      </c>
      <c r="J3870" s="27" t="s">
        <v>87</v>
      </c>
      <c r="K3870" s="29">
        <v>1</v>
      </c>
      <c r="L3870" s="29">
        <v>10</v>
      </c>
      <c r="M3870" s="29">
        <v>10</v>
      </c>
      <c r="N3870" s="29">
        <v>10</v>
      </c>
      <c r="O3870" s="29">
        <v>10</v>
      </c>
      <c r="P3870" s="40">
        <v>43.450000762939503</v>
      </c>
      <c r="Q3870" s="1" t="s">
        <v>35</v>
      </c>
      <c r="R3870" s="2">
        <v>52</v>
      </c>
      <c r="S3870" s="2">
        <v>93</v>
      </c>
      <c r="T3870" s="2">
        <v>0</v>
      </c>
      <c r="U3870" s="2">
        <v>0</v>
      </c>
      <c r="V3870" s="2">
        <v>0</v>
      </c>
      <c r="W3870" s="2">
        <v>160</v>
      </c>
      <c r="X3870" s="43">
        <f>SUM(R3870:W3882)</f>
        <v>1571</v>
      </c>
      <c r="Y3870" s="10">
        <v>46204</v>
      </c>
      <c r="Z3870" s="11">
        <v>0.21919235148020305</v>
      </c>
      <c r="AA3870" s="11">
        <v>0.18278252950868873</v>
      </c>
      <c r="AB3870" s="11">
        <v>0.14730848520871084</v>
      </c>
      <c r="AC3870" s="11">
        <v>0.12879037718868644</v>
      </c>
      <c r="AD3870" s="11">
        <v>0.11451881259976519</v>
      </c>
      <c r="AE3870" s="11">
        <v>0.13153841003497066</v>
      </c>
      <c r="AF3870" s="11">
        <v>0.3</v>
      </c>
      <c r="AG3870" s="11">
        <v>0.23899999999999999</v>
      </c>
    </row>
    <row r="3871" spans="2:33">
      <c r="B3871" s="18"/>
      <c r="C3871" s="14"/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35"/>
      <c r="Q3871" s="36" t="s">
        <v>1918</v>
      </c>
      <c r="R3871" s="13">
        <v>14</v>
      </c>
      <c r="S3871" s="13">
        <v>9</v>
      </c>
      <c r="T3871" s="13">
        <v>0</v>
      </c>
      <c r="U3871" s="13">
        <v>0</v>
      </c>
      <c r="V3871" s="13">
        <v>0</v>
      </c>
      <c r="W3871" s="37">
        <v>8</v>
      </c>
      <c r="X3871" s="18"/>
      <c r="Y3871" s="14"/>
      <c r="Z3871" s="14"/>
      <c r="AA3871" s="14"/>
      <c r="AB3871" s="14"/>
      <c r="AC3871" s="14"/>
      <c r="AD3871" s="14"/>
      <c r="AE3871" s="14"/>
      <c r="AF3871" s="14"/>
      <c r="AG3871" s="35"/>
    </row>
    <row r="3872" spans="2:33">
      <c r="B3872" s="19"/>
      <c r="P3872" s="16"/>
      <c r="Q3872" s="36" t="s">
        <v>37</v>
      </c>
      <c r="R3872" s="13">
        <v>0</v>
      </c>
      <c r="S3872" s="13">
        <v>10</v>
      </c>
      <c r="T3872" s="13">
        <v>4</v>
      </c>
      <c r="U3872" s="13">
        <v>0</v>
      </c>
      <c r="V3872" s="13">
        <v>0</v>
      </c>
      <c r="W3872" s="37">
        <v>9</v>
      </c>
      <c r="X3872" s="19"/>
      <c r="AG3872" s="16"/>
    </row>
    <row r="3873" spans="2:33">
      <c r="B3873" s="19"/>
      <c r="P3873" s="16"/>
      <c r="Q3873" s="36" t="s">
        <v>1441</v>
      </c>
      <c r="R3873" s="13">
        <v>0</v>
      </c>
      <c r="S3873" s="13">
        <v>0</v>
      </c>
      <c r="T3873" s="13">
        <v>0</v>
      </c>
      <c r="U3873" s="13">
        <v>1.3700000047683716</v>
      </c>
      <c r="V3873" s="13">
        <v>1.1000000238418579</v>
      </c>
      <c r="W3873" s="37">
        <v>2.2999999523162842</v>
      </c>
      <c r="X3873" s="19"/>
      <c r="AG3873" s="16"/>
    </row>
    <row r="3874" spans="2:33">
      <c r="B3874" s="19"/>
      <c r="P3874" s="16"/>
      <c r="Q3874" s="36" t="s">
        <v>1442</v>
      </c>
      <c r="R3874" s="13">
        <v>0</v>
      </c>
      <c r="S3874" s="13">
        <v>0</v>
      </c>
      <c r="T3874" s="13">
        <v>0</v>
      </c>
      <c r="U3874" s="13">
        <v>3.630000114440918</v>
      </c>
      <c r="V3874" s="13">
        <v>2.9000000953674316</v>
      </c>
      <c r="W3874" s="37">
        <v>6.6999998092651367</v>
      </c>
      <c r="X3874" s="19"/>
      <c r="AG3874" s="16"/>
    </row>
    <row r="3875" spans="2:33">
      <c r="B3875" s="19"/>
      <c r="P3875" s="16"/>
      <c r="Q3875" s="36" t="s">
        <v>39</v>
      </c>
      <c r="R3875" s="13">
        <v>0</v>
      </c>
      <c r="S3875" s="13">
        <v>0</v>
      </c>
      <c r="T3875" s="13">
        <v>0</v>
      </c>
      <c r="U3875" s="13">
        <v>4</v>
      </c>
      <c r="V3875" s="13">
        <v>3</v>
      </c>
      <c r="W3875" s="37">
        <v>62</v>
      </c>
      <c r="X3875" s="19"/>
      <c r="AG3875" s="16"/>
    </row>
    <row r="3876" spans="2:33">
      <c r="B3876" s="19"/>
      <c r="P3876" s="16"/>
      <c r="Q3876" s="36" t="s">
        <v>40</v>
      </c>
      <c r="R3876" s="13">
        <v>0</v>
      </c>
      <c r="S3876" s="13">
        <v>0</v>
      </c>
      <c r="T3876" s="13">
        <v>6</v>
      </c>
      <c r="U3876" s="13">
        <v>2</v>
      </c>
      <c r="V3876" s="13">
        <v>0</v>
      </c>
      <c r="W3876" s="37">
        <v>46</v>
      </c>
      <c r="X3876" s="19"/>
      <c r="AG3876" s="16"/>
    </row>
    <row r="3877" spans="2:33">
      <c r="B3877" s="19"/>
      <c r="P3877" s="16"/>
      <c r="Q3877" s="36" t="s">
        <v>41</v>
      </c>
      <c r="R3877" s="13">
        <v>1</v>
      </c>
      <c r="S3877" s="13">
        <v>9</v>
      </c>
      <c r="T3877" s="13">
        <v>0</v>
      </c>
      <c r="U3877" s="13">
        <v>0</v>
      </c>
      <c r="V3877" s="13">
        <v>0</v>
      </c>
      <c r="W3877" s="37">
        <v>58</v>
      </c>
      <c r="X3877" s="19"/>
      <c r="AG3877" s="16"/>
    </row>
    <row r="3878" spans="2:33">
      <c r="B3878" s="19"/>
      <c r="P3878" s="16"/>
      <c r="Q3878" s="36" t="s">
        <v>42</v>
      </c>
      <c r="R3878" s="13">
        <v>0</v>
      </c>
      <c r="S3878" s="13">
        <v>0</v>
      </c>
      <c r="T3878" s="13">
        <v>0</v>
      </c>
      <c r="U3878" s="13">
        <v>1</v>
      </c>
      <c r="V3878" s="13">
        <v>0</v>
      </c>
      <c r="W3878" s="37">
        <v>62</v>
      </c>
      <c r="X3878" s="19"/>
      <c r="AG3878" s="16"/>
    </row>
    <row r="3879" spans="2:33">
      <c r="B3879" s="19"/>
      <c r="P3879" s="16"/>
      <c r="Q3879" s="36" t="s">
        <v>43</v>
      </c>
      <c r="R3879" s="13">
        <v>0</v>
      </c>
      <c r="S3879" s="13">
        <v>0</v>
      </c>
      <c r="T3879" s="13">
        <v>31</v>
      </c>
      <c r="U3879" s="13">
        <v>39</v>
      </c>
      <c r="V3879" s="13">
        <v>0</v>
      </c>
      <c r="W3879" s="37">
        <v>202</v>
      </c>
      <c r="X3879" s="19"/>
      <c r="AG3879" s="16"/>
    </row>
    <row r="3880" spans="2:33">
      <c r="B3880" s="19"/>
      <c r="P3880" s="16"/>
      <c r="Q3880" s="36" t="s">
        <v>44</v>
      </c>
      <c r="R3880" s="13">
        <v>0</v>
      </c>
      <c r="S3880" s="13">
        <v>0</v>
      </c>
      <c r="T3880" s="13">
        <v>0</v>
      </c>
      <c r="U3880" s="13">
        <v>14</v>
      </c>
      <c r="V3880" s="13">
        <v>60</v>
      </c>
      <c r="W3880" s="37">
        <v>119</v>
      </c>
      <c r="X3880" s="19"/>
      <c r="AG3880" s="16"/>
    </row>
    <row r="3881" spans="2:33">
      <c r="B3881" s="19"/>
      <c r="P3881" s="16"/>
      <c r="Q3881" s="36" t="s">
        <v>45</v>
      </c>
      <c r="R3881" s="13">
        <v>0</v>
      </c>
      <c r="S3881" s="13">
        <v>14</v>
      </c>
      <c r="T3881" s="13">
        <v>35</v>
      </c>
      <c r="U3881" s="13">
        <v>0</v>
      </c>
      <c r="V3881" s="13">
        <v>0</v>
      </c>
      <c r="W3881" s="37">
        <v>101</v>
      </c>
      <c r="X3881" s="19"/>
      <c r="AG3881" s="16"/>
    </row>
    <row r="3882" spans="2:33" ht="15" thickBot="1">
      <c r="B3882" s="20"/>
      <c r="C3882" s="15"/>
      <c r="D3882" s="15"/>
      <c r="E3882" s="15"/>
      <c r="F3882" s="15"/>
      <c r="G3882" s="15"/>
      <c r="H3882" s="15"/>
      <c r="I3882" s="15"/>
      <c r="J3882" s="15"/>
      <c r="K3882" s="15"/>
      <c r="L3882" s="15"/>
      <c r="M3882" s="15"/>
      <c r="N3882" s="15"/>
      <c r="O3882" s="15"/>
      <c r="P3882" s="17"/>
      <c r="Q3882" s="36" t="s">
        <v>46</v>
      </c>
      <c r="R3882" s="13">
        <v>32</v>
      </c>
      <c r="S3882" s="13">
        <v>98</v>
      </c>
      <c r="T3882" s="13">
        <v>0</v>
      </c>
      <c r="U3882" s="13">
        <v>0</v>
      </c>
      <c r="V3882" s="13">
        <v>0</v>
      </c>
      <c r="W3882" s="37">
        <v>195</v>
      </c>
      <c r="X3882" s="20"/>
      <c r="Y3882" s="15"/>
      <c r="Z3882" s="15"/>
      <c r="AA3882" s="15"/>
      <c r="AB3882" s="15"/>
      <c r="AC3882" s="15"/>
      <c r="AD3882" s="15"/>
      <c r="AE3882" s="15"/>
      <c r="AF3882" s="15"/>
      <c r="AG3882" s="17"/>
    </row>
    <row r="3884" spans="2:33" ht="15" thickBot="1">
      <c r="B3884" s="25" t="s">
        <v>1912</v>
      </c>
      <c r="C3884" s="26" t="s">
        <v>1913</v>
      </c>
      <c r="D3884" s="26" t="s">
        <v>1927</v>
      </c>
      <c r="E3884" s="26" t="s">
        <v>1928</v>
      </c>
      <c r="F3884" s="26" t="s">
        <v>1929</v>
      </c>
      <c r="G3884" s="26" t="s">
        <v>1930</v>
      </c>
      <c r="H3884" s="27" t="s">
        <v>108</v>
      </c>
      <c r="I3884" s="26" t="s">
        <v>1931</v>
      </c>
      <c r="J3884" s="27" t="s">
        <v>87</v>
      </c>
      <c r="K3884" s="29">
        <v>120</v>
      </c>
      <c r="L3884" s="29">
        <v>160</v>
      </c>
      <c r="M3884" s="29">
        <v>160</v>
      </c>
      <c r="N3884" s="29">
        <v>160</v>
      </c>
      <c r="O3884" s="29">
        <v>160</v>
      </c>
      <c r="P3884" s="40">
        <v>160</v>
      </c>
      <c r="Q3884" s="1" t="s">
        <v>35</v>
      </c>
      <c r="R3884" s="2">
        <v>10792</v>
      </c>
      <c r="S3884" s="2">
        <v>7507</v>
      </c>
      <c r="T3884" s="2">
        <v>0</v>
      </c>
      <c r="U3884" s="2">
        <v>0</v>
      </c>
      <c r="V3884" s="2">
        <v>0</v>
      </c>
      <c r="W3884" s="2">
        <v>8875</v>
      </c>
      <c r="X3884" s="43">
        <f>SUM(R3884:W3895)</f>
        <v>261725</v>
      </c>
      <c r="Y3884" s="10">
        <v>46204</v>
      </c>
      <c r="Z3884" s="11">
        <v>0.21919235148020305</v>
      </c>
      <c r="AA3884" s="11">
        <v>0.18278252950868873</v>
      </c>
      <c r="AB3884" s="11">
        <v>0.14730848520871084</v>
      </c>
      <c r="AC3884" s="11">
        <v>0.12879037718868644</v>
      </c>
      <c r="AD3884" s="11">
        <v>0.11451881259976519</v>
      </c>
      <c r="AE3884" s="11">
        <v>0.13153841003497066</v>
      </c>
      <c r="AF3884" s="11">
        <v>0.3</v>
      </c>
      <c r="AG3884" s="11">
        <v>0.23899999999999999</v>
      </c>
    </row>
    <row r="3885" spans="2:33">
      <c r="B3885" s="18"/>
      <c r="C3885" s="14"/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35"/>
      <c r="Q3885" s="36" t="s">
        <v>1918</v>
      </c>
      <c r="R3885" s="13">
        <v>9250</v>
      </c>
      <c r="S3885" s="13">
        <v>6459</v>
      </c>
      <c r="T3885" s="13">
        <v>0</v>
      </c>
      <c r="U3885" s="13">
        <v>0</v>
      </c>
      <c r="V3885" s="13">
        <v>0</v>
      </c>
      <c r="W3885" s="37">
        <v>6718</v>
      </c>
      <c r="X3885" s="18"/>
      <c r="Y3885" s="14"/>
      <c r="Z3885" s="14"/>
      <c r="AA3885" s="14"/>
      <c r="AB3885" s="14"/>
      <c r="AC3885" s="14"/>
      <c r="AD3885" s="14"/>
      <c r="AE3885" s="14"/>
      <c r="AF3885" s="14"/>
      <c r="AG3885" s="35"/>
    </row>
    <row r="3886" spans="2:33">
      <c r="B3886" s="19"/>
      <c r="P3886" s="16"/>
      <c r="Q3886" s="36" t="s">
        <v>37</v>
      </c>
      <c r="R3886" s="13">
        <v>0</v>
      </c>
      <c r="S3886" s="13">
        <v>8935</v>
      </c>
      <c r="T3886" s="13">
        <v>6508</v>
      </c>
      <c r="U3886" s="13">
        <v>0</v>
      </c>
      <c r="V3886" s="13">
        <v>0</v>
      </c>
      <c r="W3886" s="37">
        <v>7399</v>
      </c>
      <c r="X3886" s="19"/>
      <c r="AG3886" s="16"/>
    </row>
    <row r="3887" spans="2:33">
      <c r="B3887" s="19"/>
      <c r="P3887" s="16"/>
      <c r="Q3887" s="36" t="s">
        <v>1441</v>
      </c>
      <c r="R3887" s="13">
        <v>0</v>
      </c>
      <c r="S3887" s="13">
        <v>0</v>
      </c>
      <c r="T3887" s="13">
        <v>0</v>
      </c>
      <c r="U3887" s="13">
        <v>1899</v>
      </c>
      <c r="V3887" s="13">
        <v>1397</v>
      </c>
      <c r="W3887" s="37">
        <v>1608</v>
      </c>
      <c r="X3887" s="19"/>
      <c r="AG3887" s="16"/>
    </row>
    <row r="3888" spans="2:33">
      <c r="B3888" s="19"/>
      <c r="P3888" s="16"/>
      <c r="Q3888" s="36" t="s">
        <v>1442</v>
      </c>
      <c r="R3888" s="13">
        <v>0</v>
      </c>
      <c r="S3888" s="13">
        <v>0</v>
      </c>
      <c r="T3888" s="13">
        <v>0</v>
      </c>
      <c r="U3888" s="13">
        <v>5026</v>
      </c>
      <c r="V3888" s="13">
        <v>3689</v>
      </c>
      <c r="W3888" s="37">
        <v>4693</v>
      </c>
      <c r="X3888" s="19"/>
      <c r="AG3888" s="16"/>
    </row>
    <row r="3889" spans="2:33">
      <c r="B3889" s="19"/>
      <c r="P3889" s="16"/>
      <c r="Q3889" s="36" t="s">
        <v>39</v>
      </c>
      <c r="R3889" s="13">
        <v>0</v>
      </c>
      <c r="S3889" s="13">
        <v>0</v>
      </c>
      <c r="T3889" s="13">
        <v>0</v>
      </c>
      <c r="U3889" s="13">
        <v>8477</v>
      </c>
      <c r="V3889" s="13">
        <v>5881</v>
      </c>
      <c r="W3889" s="37">
        <v>5859</v>
      </c>
      <c r="X3889" s="19"/>
      <c r="AG3889" s="16"/>
    </row>
    <row r="3890" spans="2:33">
      <c r="B3890" s="19"/>
      <c r="P3890" s="16"/>
      <c r="Q3890" s="36" t="s">
        <v>40</v>
      </c>
      <c r="R3890" s="13">
        <v>0</v>
      </c>
      <c r="S3890" s="13">
        <v>0</v>
      </c>
      <c r="T3890" s="13">
        <v>12477</v>
      </c>
      <c r="U3890" s="13">
        <v>8894</v>
      </c>
      <c r="V3890" s="13">
        <v>0</v>
      </c>
      <c r="W3890" s="37">
        <v>6527</v>
      </c>
      <c r="X3890" s="19"/>
      <c r="AG3890" s="16"/>
    </row>
    <row r="3891" spans="2:33">
      <c r="B3891" s="19"/>
      <c r="P3891" s="16"/>
      <c r="Q3891" s="36" t="s">
        <v>41</v>
      </c>
      <c r="R3891" s="13">
        <v>14019</v>
      </c>
      <c r="S3891" s="13">
        <v>10025</v>
      </c>
      <c r="T3891" s="13">
        <v>0</v>
      </c>
      <c r="U3891" s="13">
        <v>0</v>
      </c>
      <c r="V3891" s="13">
        <v>0</v>
      </c>
      <c r="W3891" s="37">
        <v>6723</v>
      </c>
      <c r="X3891" s="19"/>
      <c r="AG3891" s="16"/>
    </row>
    <row r="3892" spans="2:33">
      <c r="B3892" s="19"/>
      <c r="P3892" s="16"/>
      <c r="Q3892" s="36" t="s">
        <v>42</v>
      </c>
      <c r="R3892" s="13">
        <v>0</v>
      </c>
      <c r="S3892" s="13">
        <v>0</v>
      </c>
      <c r="T3892" s="13">
        <v>10173</v>
      </c>
      <c r="U3892" s="13">
        <v>7894</v>
      </c>
      <c r="V3892" s="13">
        <v>0</v>
      </c>
      <c r="W3892" s="37">
        <v>7539</v>
      </c>
      <c r="X3892" s="19"/>
      <c r="AG3892" s="16"/>
    </row>
    <row r="3893" spans="2:33">
      <c r="B3893" s="19"/>
      <c r="P3893" s="16"/>
      <c r="Q3893" s="36" t="s">
        <v>43</v>
      </c>
      <c r="R3893" s="13">
        <v>0</v>
      </c>
      <c r="S3893" s="13">
        <v>0</v>
      </c>
      <c r="T3893" s="13">
        <v>10729</v>
      </c>
      <c r="U3893" s="13">
        <v>7241</v>
      </c>
      <c r="V3893" s="13">
        <v>0</v>
      </c>
      <c r="W3893" s="37">
        <v>5593</v>
      </c>
      <c r="X3893" s="19"/>
      <c r="AG3893" s="16"/>
    </row>
    <row r="3894" spans="2:33">
      <c r="B3894" s="19"/>
      <c r="P3894" s="16"/>
      <c r="Q3894" s="36" t="s">
        <v>45</v>
      </c>
      <c r="R3894" s="13">
        <v>0</v>
      </c>
      <c r="S3894" s="13">
        <v>7832</v>
      </c>
      <c r="T3894" s="13">
        <v>5404</v>
      </c>
      <c r="U3894" s="13">
        <v>0</v>
      </c>
      <c r="V3894" s="13">
        <v>0</v>
      </c>
      <c r="W3894" s="37">
        <v>5952</v>
      </c>
      <c r="X3894" s="19"/>
      <c r="AG3894" s="16"/>
    </row>
    <row r="3895" spans="2:33" ht="15" thickBot="1">
      <c r="B3895" s="20"/>
      <c r="C3895" s="15"/>
      <c r="D3895" s="15"/>
      <c r="E3895" s="15"/>
      <c r="F3895" s="15"/>
      <c r="G3895" s="15"/>
      <c r="H3895" s="15"/>
      <c r="I3895" s="15"/>
      <c r="J3895" s="15"/>
      <c r="K3895" s="15"/>
      <c r="L3895" s="15"/>
      <c r="M3895" s="15"/>
      <c r="N3895" s="15"/>
      <c r="O3895" s="15"/>
      <c r="P3895" s="17"/>
      <c r="Q3895" s="36" t="s">
        <v>46</v>
      </c>
      <c r="R3895" s="13">
        <v>9757</v>
      </c>
      <c r="S3895" s="13">
        <v>6697</v>
      </c>
      <c r="T3895" s="13">
        <v>0</v>
      </c>
      <c r="U3895" s="13">
        <v>0</v>
      </c>
      <c r="V3895" s="13">
        <v>0</v>
      </c>
      <c r="W3895" s="37">
        <v>7277</v>
      </c>
      <c r="X3895" s="20"/>
      <c r="Y3895" s="15"/>
      <c r="Z3895" s="15"/>
      <c r="AA3895" s="15"/>
      <c r="AB3895" s="15"/>
      <c r="AC3895" s="15"/>
      <c r="AD3895" s="15"/>
      <c r="AE3895" s="15"/>
      <c r="AF3895" s="15"/>
      <c r="AG3895" s="17"/>
    </row>
    <row r="3897" spans="2:33" ht="15" thickBot="1">
      <c r="B3897" s="25" t="s">
        <v>1912</v>
      </c>
      <c r="C3897" s="26" t="s">
        <v>1913</v>
      </c>
      <c r="D3897" s="26" t="s">
        <v>1932</v>
      </c>
      <c r="E3897" s="26" t="s">
        <v>1933</v>
      </c>
      <c r="F3897" s="26" t="s">
        <v>1924</v>
      </c>
      <c r="G3897" s="26" t="s">
        <v>1925</v>
      </c>
      <c r="H3897" s="27" t="s">
        <v>72</v>
      </c>
      <c r="I3897" s="26" t="s">
        <v>1934</v>
      </c>
      <c r="J3897" s="27" t="s">
        <v>87</v>
      </c>
      <c r="K3897" s="29">
        <v>60</v>
      </c>
      <c r="L3897" s="29">
        <v>60</v>
      </c>
      <c r="M3897" s="29">
        <v>60</v>
      </c>
      <c r="N3897" s="29">
        <v>60</v>
      </c>
      <c r="O3897" s="29">
        <v>60</v>
      </c>
      <c r="P3897" s="40">
        <v>60</v>
      </c>
      <c r="Q3897" s="1" t="s">
        <v>35</v>
      </c>
      <c r="R3897" s="2">
        <v>8877</v>
      </c>
      <c r="S3897" s="2">
        <v>5466</v>
      </c>
      <c r="T3897" s="2">
        <v>0</v>
      </c>
      <c r="U3897" s="2">
        <v>0</v>
      </c>
      <c r="V3897" s="2">
        <v>0</v>
      </c>
      <c r="W3897" s="2">
        <v>8773</v>
      </c>
      <c r="X3897" s="43">
        <f>SUM(R3897:W3909)</f>
        <v>197335</v>
      </c>
      <c r="Y3897" s="10">
        <v>46204</v>
      </c>
      <c r="Z3897" s="11">
        <v>0.21919235148020305</v>
      </c>
      <c r="AA3897" s="11">
        <v>0.18278252950868873</v>
      </c>
      <c r="AB3897" s="11">
        <v>0.14730848520871084</v>
      </c>
      <c r="AC3897" s="11">
        <v>0.12879037718868644</v>
      </c>
      <c r="AD3897" s="11">
        <v>0.11451881259976519</v>
      </c>
      <c r="AE3897" s="11">
        <v>0.13153841003497066</v>
      </c>
      <c r="AF3897" s="11">
        <v>0.3</v>
      </c>
      <c r="AG3897" s="11">
        <v>0.23899999999999999</v>
      </c>
    </row>
    <row r="3898" spans="2:33">
      <c r="B3898" s="18"/>
      <c r="C3898" s="14"/>
      <c r="D3898" s="14"/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35"/>
      <c r="Q3898" s="36" t="s">
        <v>36</v>
      </c>
      <c r="R3898" s="13">
        <v>8058</v>
      </c>
      <c r="S3898" s="13">
        <v>4642</v>
      </c>
      <c r="T3898" s="13">
        <v>0</v>
      </c>
      <c r="U3898" s="13">
        <v>0</v>
      </c>
      <c r="V3898" s="13">
        <v>0</v>
      </c>
      <c r="W3898" s="37">
        <v>7218</v>
      </c>
      <c r="X3898" s="18"/>
      <c r="Y3898" s="14"/>
      <c r="Z3898" s="14"/>
      <c r="AA3898" s="14"/>
      <c r="AB3898" s="14"/>
      <c r="AC3898" s="14"/>
      <c r="AD3898" s="14"/>
      <c r="AE3898" s="14"/>
      <c r="AF3898" s="14"/>
      <c r="AG3898" s="35"/>
    </row>
    <row r="3899" spans="2:33">
      <c r="B3899" s="19"/>
      <c r="P3899" s="16"/>
      <c r="Q3899" s="36" t="s">
        <v>37</v>
      </c>
      <c r="R3899" s="13">
        <v>0</v>
      </c>
      <c r="S3899" s="13">
        <v>8004</v>
      </c>
      <c r="T3899" s="13">
        <v>4489</v>
      </c>
      <c r="U3899" s="13">
        <v>0</v>
      </c>
      <c r="V3899" s="13">
        <v>0</v>
      </c>
      <c r="W3899" s="37">
        <v>8531</v>
      </c>
      <c r="X3899" s="19"/>
      <c r="AG3899" s="16"/>
    </row>
    <row r="3900" spans="2:33">
      <c r="B3900" s="19"/>
      <c r="P3900" s="16"/>
      <c r="Q3900" s="36" t="s">
        <v>1441</v>
      </c>
      <c r="R3900" s="13">
        <v>0</v>
      </c>
      <c r="S3900" s="13">
        <v>0</v>
      </c>
      <c r="T3900" s="13">
        <v>0</v>
      </c>
      <c r="U3900" s="13">
        <v>1829</v>
      </c>
      <c r="V3900" s="13">
        <v>1048</v>
      </c>
      <c r="W3900" s="37">
        <v>1768</v>
      </c>
      <c r="X3900" s="19"/>
      <c r="AG3900" s="16"/>
    </row>
    <row r="3901" spans="2:33">
      <c r="B3901" s="19"/>
      <c r="P3901" s="16"/>
      <c r="Q3901" s="36" t="s">
        <v>1442</v>
      </c>
      <c r="R3901" s="13">
        <v>0</v>
      </c>
      <c r="S3901" s="13">
        <v>0</v>
      </c>
      <c r="T3901" s="13">
        <v>0</v>
      </c>
      <c r="U3901" s="13">
        <v>4840</v>
      </c>
      <c r="V3901" s="13">
        <v>2769</v>
      </c>
      <c r="W3901" s="37">
        <v>5162</v>
      </c>
      <c r="X3901" s="19"/>
      <c r="AG3901" s="16"/>
    </row>
    <row r="3902" spans="2:33">
      <c r="B3902" s="19"/>
      <c r="P3902" s="16"/>
      <c r="Q3902" s="36" t="s">
        <v>39</v>
      </c>
      <c r="R3902" s="13">
        <v>0</v>
      </c>
      <c r="S3902" s="13">
        <v>0</v>
      </c>
      <c r="T3902" s="13">
        <v>0</v>
      </c>
      <c r="U3902" s="13">
        <v>5810</v>
      </c>
      <c r="V3902" s="13">
        <v>3412</v>
      </c>
      <c r="W3902" s="37">
        <v>5729</v>
      </c>
      <c r="X3902" s="19"/>
      <c r="AG3902" s="16"/>
    </row>
    <row r="3903" spans="2:33">
      <c r="B3903" s="19"/>
      <c r="P3903" s="16"/>
      <c r="Q3903" s="36" t="s">
        <v>40</v>
      </c>
      <c r="R3903" s="13">
        <v>0</v>
      </c>
      <c r="S3903" s="13">
        <v>0</v>
      </c>
      <c r="T3903" s="13">
        <v>5788</v>
      </c>
      <c r="U3903" s="13">
        <v>3886</v>
      </c>
      <c r="V3903" s="13">
        <v>0</v>
      </c>
      <c r="W3903" s="37">
        <v>4096</v>
      </c>
      <c r="X3903" s="19"/>
      <c r="AG3903" s="16"/>
    </row>
    <row r="3904" spans="2:33">
      <c r="B3904" s="19"/>
      <c r="P3904" s="16"/>
      <c r="Q3904" s="36" t="s">
        <v>41</v>
      </c>
      <c r="R3904" s="13">
        <v>6288</v>
      </c>
      <c r="S3904" s="13">
        <v>3965</v>
      </c>
      <c r="T3904" s="13">
        <v>0</v>
      </c>
      <c r="U3904" s="13">
        <v>0</v>
      </c>
      <c r="V3904" s="13">
        <v>0</v>
      </c>
      <c r="W3904" s="37">
        <v>3945</v>
      </c>
      <c r="X3904" s="19"/>
      <c r="AG3904" s="16"/>
    </row>
    <row r="3905" spans="2:33">
      <c r="B3905" s="19"/>
      <c r="P3905" s="16"/>
      <c r="Q3905" s="36" t="s">
        <v>42</v>
      </c>
      <c r="R3905" s="13">
        <v>0</v>
      </c>
      <c r="S3905" s="13">
        <v>0</v>
      </c>
      <c r="T3905" s="13">
        <v>5370</v>
      </c>
      <c r="U3905" s="13">
        <v>3179</v>
      </c>
      <c r="V3905" s="13">
        <v>0</v>
      </c>
      <c r="W3905" s="37">
        <v>3577</v>
      </c>
      <c r="X3905" s="19"/>
      <c r="AG3905" s="16"/>
    </row>
    <row r="3906" spans="2:33">
      <c r="B3906" s="19"/>
      <c r="P3906" s="16"/>
      <c r="Q3906" s="36" t="s">
        <v>43</v>
      </c>
      <c r="R3906" s="13">
        <v>0</v>
      </c>
      <c r="S3906" s="13">
        <v>0</v>
      </c>
      <c r="T3906" s="13">
        <v>5342</v>
      </c>
      <c r="U3906" s="13">
        <v>3846</v>
      </c>
      <c r="V3906" s="13">
        <v>0</v>
      </c>
      <c r="W3906" s="37">
        <v>3556</v>
      </c>
      <c r="X3906" s="19"/>
      <c r="AG3906" s="16"/>
    </row>
    <row r="3907" spans="2:33">
      <c r="B3907" s="19"/>
      <c r="P3907" s="16"/>
      <c r="Q3907" s="36" t="s">
        <v>44</v>
      </c>
      <c r="R3907" s="13">
        <v>0</v>
      </c>
      <c r="S3907" s="13">
        <v>0</v>
      </c>
      <c r="T3907" s="13">
        <v>0</v>
      </c>
      <c r="U3907" s="13">
        <v>5967</v>
      </c>
      <c r="V3907" s="13">
        <v>4255</v>
      </c>
      <c r="W3907" s="37">
        <v>4299</v>
      </c>
      <c r="X3907" s="19"/>
      <c r="AG3907" s="16"/>
    </row>
    <row r="3908" spans="2:33">
      <c r="B3908" s="19"/>
      <c r="P3908" s="16"/>
      <c r="Q3908" s="36" t="s">
        <v>45</v>
      </c>
      <c r="R3908" s="13">
        <v>0</v>
      </c>
      <c r="S3908" s="13">
        <v>7114</v>
      </c>
      <c r="T3908" s="13">
        <v>3837</v>
      </c>
      <c r="U3908" s="13">
        <v>0</v>
      </c>
      <c r="V3908" s="13">
        <v>0</v>
      </c>
      <c r="W3908" s="37">
        <v>6172</v>
      </c>
      <c r="X3908" s="19"/>
      <c r="AG3908" s="16"/>
    </row>
    <row r="3909" spans="2:33" ht="15" thickBot="1">
      <c r="B3909" s="20"/>
      <c r="C3909" s="15"/>
      <c r="D3909" s="15"/>
      <c r="E3909" s="15"/>
      <c r="F3909" s="15"/>
      <c r="G3909" s="15"/>
      <c r="H3909" s="15"/>
      <c r="I3909" s="15"/>
      <c r="J3909" s="15"/>
      <c r="K3909" s="15"/>
      <c r="L3909" s="15"/>
      <c r="M3909" s="15"/>
      <c r="N3909" s="15"/>
      <c r="O3909" s="15"/>
      <c r="P3909" s="17"/>
      <c r="Q3909" s="36" t="s">
        <v>46</v>
      </c>
      <c r="R3909" s="13">
        <v>6854</v>
      </c>
      <c r="S3909" s="13">
        <v>4091</v>
      </c>
      <c r="T3909" s="13">
        <v>0</v>
      </c>
      <c r="U3909" s="13">
        <v>0</v>
      </c>
      <c r="V3909" s="13">
        <v>0</v>
      </c>
      <c r="W3909" s="37">
        <v>5483</v>
      </c>
      <c r="X3909" s="20"/>
      <c r="Y3909" s="15"/>
      <c r="Z3909" s="15"/>
      <c r="AA3909" s="15"/>
      <c r="AB3909" s="15"/>
      <c r="AC3909" s="15"/>
      <c r="AD3909" s="15"/>
      <c r="AE3909" s="15"/>
      <c r="AF3909" s="15"/>
      <c r="AG3909" s="17"/>
    </row>
    <row r="3911" spans="2:33" ht="15" thickBot="1">
      <c r="B3911" s="25" t="s">
        <v>1912</v>
      </c>
      <c r="C3911" s="26" t="s">
        <v>1913</v>
      </c>
      <c r="D3911" s="26" t="s">
        <v>1935</v>
      </c>
      <c r="E3911" s="26" t="s">
        <v>1936</v>
      </c>
      <c r="F3911" s="26" t="s">
        <v>455</v>
      </c>
      <c r="G3911" s="26" t="s">
        <v>456</v>
      </c>
      <c r="H3911" s="27" t="s">
        <v>47</v>
      </c>
      <c r="I3911" s="26" t="s">
        <v>1937</v>
      </c>
      <c r="J3911" s="27" t="s">
        <v>34</v>
      </c>
      <c r="K3911" s="29">
        <v>45</v>
      </c>
      <c r="L3911" s="29">
        <v>50</v>
      </c>
      <c r="M3911" s="29">
        <v>50</v>
      </c>
      <c r="N3911" s="29">
        <v>50</v>
      </c>
      <c r="O3911" s="29">
        <v>50</v>
      </c>
      <c r="P3911" s="40">
        <v>80</v>
      </c>
      <c r="Q3911" s="1" t="s">
        <v>35</v>
      </c>
      <c r="R3911" s="2">
        <v>4935</v>
      </c>
      <c r="S3911" s="2">
        <v>3528</v>
      </c>
      <c r="T3911" s="2">
        <v>0</v>
      </c>
      <c r="U3911" s="2">
        <v>0</v>
      </c>
      <c r="V3911" s="2">
        <v>0</v>
      </c>
      <c r="W3911" s="2">
        <v>3567</v>
      </c>
      <c r="X3911" s="43">
        <f>SUM(R3911:W3921)</f>
        <v>134737</v>
      </c>
      <c r="Y3911" s="10">
        <v>46204</v>
      </c>
      <c r="Z3911" s="11">
        <v>0.1896651496601798</v>
      </c>
      <c r="AA3911" s="11">
        <v>0.15857693149523983</v>
      </c>
      <c r="AB3911" s="11">
        <v>0.13134427528372689</v>
      </c>
      <c r="AC3911" s="11">
        <v>0.11734302060917184</v>
      </c>
      <c r="AD3911" s="11">
        <v>0.10642886145562462</v>
      </c>
      <c r="AE3911" s="11">
        <v>0.12209959568021629</v>
      </c>
      <c r="AF3911" s="11">
        <v>0.3</v>
      </c>
      <c r="AG3911" s="11">
        <v>0.23899999999999999</v>
      </c>
    </row>
    <row r="3912" spans="2:33">
      <c r="B3912" s="18"/>
      <c r="C3912" s="14"/>
      <c r="D3912" s="14"/>
      <c r="E3912" s="14"/>
      <c r="F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35"/>
      <c r="Q3912" s="36" t="s">
        <v>36</v>
      </c>
      <c r="R3912" s="13">
        <v>4700</v>
      </c>
      <c r="S3912" s="13">
        <v>3360</v>
      </c>
      <c r="T3912" s="13">
        <v>0</v>
      </c>
      <c r="U3912" s="13">
        <v>0</v>
      </c>
      <c r="V3912" s="13">
        <v>0</v>
      </c>
      <c r="W3912" s="37">
        <v>3132</v>
      </c>
      <c r="X3912" s="18"/>
      <c r="Y3912" s="14"/>
      <c r="Z3912" s="14"/>
      <c r="AA3912" s="14"/>
      <c r="AB3912" s="14"/>
      <c r="AC3912" s="14"/>
      <c r="AD3912" s="14"/>
      <c r="AE3912" s="14"/>
      <c r="AF3912" s="14"/>
      <c r="AG3912" s="35"/>
    </row>
    <row r="3913" spans="2:33">
      <c r="B3913" s="19"/>
      <c r="P3913" s="16"/>
      <c r="Q3913" s="36" t="s">
        <v>37</v>
      </c>
      <c r="R3913" s="13">
        <v>0</v>
      </c>
      <c r="S3913" s="13">
        <v>5145</v>
      </c>
      <c r="T3913" s="13">
        <v>3990</v>
      </c>
      <c r="U3913" s="13">
        <v>0</v>
      </c>
      <c r="V3913" s="13">
        <v>0</v>
      </c>
      <c r="W3913" s="37">
        <v>2899</v>
      </c>
      <c r="X3913" s="19"/>
      <c r="AG3913" s="16"/>
    </row>
    <row r="3914" spans="2:33">
      <c r="B3914" s="19"/>
      <c r="P3914" s="16"/>
      <c r="Q3914" s="36" t="s">
        <v>38</v>
      </c>
      <c r="R3914" s="13">
        <v>0</v>
      </c>
      <c r="S3914" s="13">
        <v>0</v>
      </c>
      <c r="T3914" s="13">
        <v>0</v>
      </c>
      <c r="U3914" s="13">
        <v>5698</v>
      </c>
      <c r="V3914" s="13">
        <v>4048</v>
      </c>
      <c r="W3914" s="37">
        <v>2588</v>
      </c>
      <c r="X3914" s="19"/>
      <c r="AG3914" s="16"/>
    </row>
    <row r="3915" spans="2:33">
      <c r="B3915" s="19"/>
      <c r="P3915" s="16"/>
      <c r="Q3915" s="36" t="s">
        <v>39</v>
      </c>
      <c r="R3915" s="13">
        <v>0</v>
      </c>
      <c r="S3915" s="13">
        <v>0</v>
      </c>
      <c r="T3915" s="13">
        <v>0</v>
      </c>
      <c r="U3915" s="13">
        <v>5397</v>
      </c>
      <c r="V3915" s="13">
        <v>3843</v>
      </c>
      <c r="W3915" s="37">
        <v>2755</v>
      </c>
      <c r="X3915" s="19"/>
      <c r="AG3915" s="16"/>
    </row>
    <row r="3916" spans="2:33">
      <c r="B3916" s="19"/>
      <c r="P3916" s="16"/>
      <c r="Q3916" s="36" t="s">
        <v>40</v>
      </c>
      <c r="R3916" s="13">
        <v>0</v>
      </c>
      <c r="S3916" s="13">
        <v>0</v>
      </c>
      <c r="T3916" s="13">
        <v>3828</v>
      </c>
      <c r="U3916" s="13">
        <v>2994</v>
      </c>
      <c r="V3916" s="13">
        <v>0</v>
      </c>
      <c r="W3916" s="37">
        <v>6757</v>
      </c>
      <c r="X3916" s="19"/>
      <c r="AG3916" s="16"/>
    </row>
    <row r="3917" spans="2:33">
      <c r="B3917" s="19"/>
      <c r="P3917" s="16"/>
      <c r="Q3917" s="36" t="s">
        <v>41</v>
      </c>
      <c r="R3917" s="13">
        <v>4580</v>
      </c>
      <c r="S3917" s="13">
        <v>3383</v>
      </c>
      <c r="T3917" s="13">
        <v>0</v>
      </c>
      <c r="U3917" s="13">
        <v>0</v>
      </c>
      <c r="V3917" s="13">
        <v>0</v>
      </c>
      <c r="W3917" s="37">
        <v>6616</v>
      </c>
      <c r="X3917" s="19"/>
      <c r="AG3917" s="16"/>
    </row>
    <row r="3918" spans="2:33">
      <c r="B3918" s="19"/>
      <c r="P3918" s="16"/>
      <c r="Q3918" s="36" t="s">
        <v>42</v>
      </c>
      <c r="R3918" s="13">
        <v>0</v>
      </c>
      <c r="S3918" s="13">
        <v>0</v>
      </c>
      <c r="T3918" s="13">
        <v>4664</v>
      </c>
      <c r="U3918" s="13">
        <v>3395</v>
      </c>
      <c r="V3918" s="13">
        <v>0</v>
      </c>
      <c r="W3918" s="37">
        <v>4868</v>
      </c>
      <c r="X3918" s="19"/>
      <c r="AG3918" s="16"/>
    </row>
    <row r="3919" spans="2:33">
      <c r="B3919" s="19"/>
      <c r="P3919" s="16"/>
      <c r="Q3919" s="36" t="s">
        <v>43</v>
      </c>
      <c r="R3919" s="13">
        <v>0</v>
      </c>
      <c r="S3919" s="13">
        <v>0</v>
      </c>
      <c r="T3919" s="13">
        <v>5032</v>
      </c>
      <c r="U3919" s="13">
        <v>3662</v>
      </c>
      <c r="V3919" s="13">
        <v>0</v>
      </c>
      <c r="W3919" s="37">
        <v>4160</v>
      </c>
      <c r="X3919" s="19"/>
      <c r="AG3919" s="16"/>
    </row>
    <row r="3920" spans="2:33">
      <c r="B3920" s="19"/>
      <c r="P3920" s="16"/>
      <c r="Q3920" s="36" t="s">
        <v>45</v>
      </c>
      <c r="R3920" s="13">
        <v>0</v>
      </c>
      <c r="S3920" s="13">
        <v>4387</v>
      </c>
      <c r="T3920" s="13">
        <v>3313</v>
      </c>
      <c r="U3920" s="13">
        <v>0</v>
      </c>
      <c r="V3920" s="13">
        <v>0</v>
      </c>
      <c r="W3920" s="37">
        <v>2535</v>
      </c>
      <c r="X3920" s="19"/>
      <c r="AG3920" s="16"/>
    </row>
    <row r="3921" spans="2:33" ht="15" thickBot="1">
      <c r="B3921" s="20"/>
      <c r="C3921" s="15"/>
      <c r="D3921" s="15"/>
      <c r="E3921" s="15"/>
      <c r="F3921" s="15"/>
      <c r="G3921" s="15"/>
      <c r="H3921" s="15"/>
      <c r="I3921" s="15"/>
      <c r="J3921" s="15"/>
      <c r="K3921" s="15"/>
      <c r="L3921" s="15"/>
      <c r="M3921" s="15"/>
      <c r="N3921" s="15"/>
      <c r="O3921" s="15"/>
      <c r="P3921" s="17"/>
      <c r="Q3921" s="36" t="s">
        <v>46</v>
      </c>
      <c r="R3921" s="13">
        <v>4478</v>
      </c>
      <c r="S3921" s="13">
        <v>3803</v>
      </c>
      <c r="T3921" s="13">
        <v>0</v>
      </c>
      <c r="U3921" s="13">
        <v>0</v>
      </c>
      <c r="V3921" s="13">
        <v>0</v>
      </c>
      <c r="W3921" s="37">
        <v>2697</v>
      </c>
      <c r="X3921" s="20"/>
      <c r="Y3921" s="15"/>
      <c r="Z3921" s="15"/>
      <c r="AA3921" s="15"/>
      <c r="AB3921" s="15"/>
      <c r="AC3921" s="15"/>
      <c r="AD3921" s="15"/>
      <c r="AE3921" s="15"/>
      <c r="AF3921" s="15"/>
      <c r="AG3921" s="17"/>
    </row>
    <row r="3923" spans="2:33" ht="15" thickBot="1">
      <c r="B3923" s="25" t="s">
        <v>1912</v>
      </c>
      <c r="C3923" s="26" t="s">
        <v>1913</v>
      </c>
      <c r="D3923" s="26" t="s">
        <v>1938</v>
      </c>
      <c r="E3923" s="26" t="s">
        <v>1939</v>
      </c>
      <c r="F3923" s="26" t="s">
        <v>1940</v>
      </c>
      <c r="G3923" s="26" t="s">
        <v>1941</v>
      </c>
      <c r="H3923" s="27" t="s">
        <v>71</v>
      </c>
      <c r="I3923" s="26" t="s">
        <v>1942</v>
      </c>
      <c r="J3923" s="27" t="s">
        <v>34</v>
      </c>
      <c r="K3923" s="29">
        <v>45</v>
      </c>
      <c r="L3923" s="29">
        <v>50</v>
      </c>
      <c r="M3923" s="29">
        <v>50</v>
      </c>
      <c r="N3923" s="29">
        <v>50</v>
      </c>
      <c r="O3923" s="29">
        <v>50</v>
      </c>
      <c r="P3923" s="40">
        <v>100</v>
      </c>
      <c r="Q3923" s="1" t="s">
        <v>35</v>
      </c>
      <c r="R3923" s="2">
        <v>3664</v>
      </c>
      <c r="S3923" s="2">
        <v>3477</v>
      </c>
      <c r="T3923" s="2">
        <v>0</v>
      </c>
      <c r="U3923" s="2">
        <v>0</v>
      </c>
      <c r="V3923" s="2">
        <v>0</v>
      </c>
      <c r="W3923" s="2">
        <v>2504</v>
      </c>
      <c r="X3923" s="43">
        <f>SUM(R3923:W3934)</f>
        <v>120043</v>
      </c>
      <c r="Y3923" s="10">
        <v>46204</v>
      </c>
      <c r="Z3923" s="11">
        <v>0.1896651496601798</v>
      </c>
      <c r="AA3923" s="11">
        <v>0.15857693149523983</v>
      </c>
      <c r="AB3923" s="11">
        <v>0.13134427528372689</v>
      </c>
      <c r="AC3923" s="11">
        <v>0.11734302060917184</v>
      </c>
      <c r="AD3923" s="11">
        <v>0.10642886145562462</v>
      </c>
      <c r="AE3923" s="11">
        <v>0.12209959568021629</v>
      </c>
      <c r="AF3923" s="11">
        <v>0.3</v>
      </c>
      <c r="AG3923" s="11">
        <v>0.23899999999999999</v>
      </c>
    </row>
    <row r="3924" spans="2:33">
      <c r="B3924" s="18"/>
      <c r="C3924" s="14"/>
      <c r="D3924" s="14"/>
      <c r="E3924" s="14"/>
      <c r="F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35"/>
      <c r="Q3924" s="36" t="s">
        <v>36</v>
      </c>
      <c r="R3924" s="13">
        <v>3680</v>
      </c>
      <c r="S3924" s="13">
        <v>3015</v>
      </c>
      <c r="T3924" s="13">
        <v>0</v>
      </c>
      <c r="U3924" s="13">
        <v>0</v>
      </c>
      <c r="V3924" s="13">
        <v>0</v>
      </c>
      <c r="W3924" s="37">
        <v>2190</v>
      </c>
      <c r="X3924" s="18"/>
      <c r="Y3924" s="14"/>
      <c r="Z3924" s="14"/>
      <c r="AA3924" s="14"/>
      <c r="AB3924" s="14"/>
      <c r="AC3924" s="14"/>
      <c r="AD3924" s="14"/>
      <c r="AE3924" s="14"/>
      <c r="AF3924" s="14"/>
      <c r="AG3924" s="35"/>
    </row>
    <row r="3925" spans="2:33">
      <c r="B3925" s="19"/>
      <c r="P3925" s="16"/>
      <c r="Q3925" s="36" t="s">
        <v>37</v>
      </c>
      <c r="R3925" s="13">
        <v>0</v>
      </c>
      <c r="S3925" s="13">
        <v>4297</v>
      </c>
      <c r="T3925" s="13">
        <v>3412</v>
      </c>
      <c r="U3925" s="13">
        <v>0</v>
      </c>
      <c r="V3925" s="13">
        <v>0</v>
      </c>
      <c r="W3925" s="37">
        <v>2431</v>
      </c>
      <c r="X3925" s="19"/>
      <c r="AG3925" s="16"/>
    </row>
    <row r="3926" spans="2:33">
      <c r="B3926" s="19"/>
      <c r="P3926" s="16"/>
      <c r="Q3926" s="36" t="s">
        <v>38</v>
      </c>
      <c r="R3926" s="13">
        <v>0</v>
      </c>
      <c r="S3926" s="13">
        <v>0</v>
      </c>
      <c r="T3926" s="13">
        <v>0</v>
      </c>
      <c r="U3926" s="13">
        <v>4049</v>
      </c>
      <c r="V3926" s="13">
        <v>3229</v>
      </c>
      <c r="W3926" s="37">
        <v>2522</v>
      </c>
      <c r="X3926" s="19"/>
      <c r="AG3926" s="16"/>
    </row>
    <row r="3927" spans="2:33">
      <c r="B3927" s="19"/>
      <c r="P3927" s="16"/>
      <c r="Q3927" s="36" t="s">
        <v>39</v>
      </c>
      <c r="R3927" s="13">
        <v>0</v>
      </c>
      <c r="S3927" s="13">
        <v>0</v>
      </c>
      <c r="T3927" s="13">
        <v>0</v>
      </c>
      <c r="U3927" s="13">
        <v>4171</v>
      </c>
      <c r="V3927" s="13">
        <v>3484</v>
      </c>
      <c r="W3927" s="37">
        <v>2538</v>
      </c>
      <c r="X3927" s="19"/>
      <c r="AG3927" s="16"/>
    </row>
    <row r="3928" spans="2:33">
      <c r="B3928" s="19"/>
      <c r="P3928" s="16"/>
      <c r="Q3928" s="36" t="s">
        <v>40</v>
      </c>
      <c r="R3928" s="13">
        <v>0</v>
      </c>
      <c r="S3928" s="13">
        <v>0</v>
      </c>
      <c r="T3928" s="13">
        <v>4128</v>
      </c>
      <c r="U3928" s="13">
        <v>3976</v>
      </c>
      <c r="V3928" s="13">
        <v>0</v>
      </c>
      <c r="W3928" s="37">
        <v>2911</v>
      </c>
      <c r="X3928" s="19"/>
      <c r="AG3928" s="16"/>
    </row>
    <row r="3929" spans="2:33">
      <c r="B3929" s="19"/>
      <c r="P3929" s="16"/>
      <c r="Q3929" s="36" t="s">
        <v>41</v>
      </c>
      <c r="R3929" s="13">
        <v>4318</v>
      </c>
      <c r="S3929" s="13">
        <v>4234</v>
      </c>
      <c r="T3929" s="13">
        <v>0</v>
      </c>
      <c r="U3929" s="13">
        <v>0</v>
      </c>
      <c r="V3929" s="13">
        <v>0</v>
      </c>
      <c r="W3929" s="37">
        <v>2960</v>
      </c>
      <c r="X3929" s="19"/>
      <c r="AG3929" s="16"/>
    </row>
    <row r="3930" spans="2:33">
      <c r="B3930" s="19"/>
      <c r="P3930" s="16"/>
      <c r="Q3930" s="36" t="s">
        <v>42</v>
      </c>
      <c r="R3930" s="13">
        <v>0</v>
      </c>
      <c r="S3930" s="13">
        <v>0</v>
      </c>
      <c r="T3930" s="13">
        <v>3375</v>
      </c>
      <c r="U3930" s="13">
        <v>3106</v>
      </c>
      <c r="V3930" s="13">
        <v>0</v>
      </c>
      <c r="W3930" s="37">
        <v>3438</v>
      </c>
      <c r="X3930" s="19"/>
      <c r="AG3930" s="16"/>
    </row>
    <row r="3931" spans="2:33">
      <c r="B3931" s="19"/>
      <c r="P3931" s="16"/>
      <c r="Q3931" s="36" t="s">
        <v>43</v>
      </c>
      <c r="R3931" s="13">
        <v>0</v>
      </c>
      <c r="S3931" s="13">
        <v>0</v>
      </c>
      <c r="T3931" s="13">
        <v>3542</v>
      </c>
      <c r="U3931" s="13">
        <v>3944</v>
      </c>
      <c r="V3931" s="13">
        <v>0</v>
      </c>
      <c r="W3931" s="37">
        <v>2666</v>
      </c>
      <c r="X3931" s="19"/>
      <c r="AG3931" s="16"/>
    </row>
    <row r="3932" spans="2:33">
      <c r="B3932" s="19"/>
      <c r="P3932" s="16"/>
      <c r="Q3932" s="36" t="s">
        <v>44</v>
      </c>
      <c r="R3932" s="13">
        <v>0</v>
      </c>
      <c r="S3932" s="13">
        <v>0</v>
      </c>
      <c r="T3932" s="13">
        <v>0</v>
      </c>
      <c r="U3932" s="13">
        <v>4039</v>
      </c>
      <c r="V3932" s="13">
        <v>3877</v>
      </c>
      <c r="W3932" s="37">
        <v>2580</v>
      </c>
      <c r="X3932" s="19"/>
      <c r="AG3932" s="16"/>
    </row>
    <row r="3933" spans="2:33">
      <c r="B3933" s="19"/>
      <c r="P3933" s="16"/>
      <c r="Q3933" s="36" t="s">
        <v>45</v>
      </c>
      <c r="R3933" s="13">
        <v>0</v>
      </c>
      <c r="S3933" s="13">
        <v>3366</v>
      </c>
      <c r="T3933" s="13">
        <v>3212</v>
      </c>
      <c r="U3933" s="13">
        <v>0</v>
      </c>
      <c r="V3933" s="13">
        <v>0</v>
      </c>
      <c r="W3933" s="37">
        <v>2447</v>
      </c>
      <c r="X3933" s="19"/>
      <c r="AG3933" s="16"/>
    </row>
    <row r="3934" spans="2:33" ht="15" thickBot="1">
      <c r="B3934" s="20"/>
      <c r="C3934" s="15"/>
      <c r="D3934" s="15"/>
      <c r="E3934" s="15"/>
      <c r="F3934" s="15"/>
      <c r="G3934" s="15"/>
      <c r="H3934" s="15"/>
      <c r="I3934" s="15"/>
      <c r="J3934" s="15"/>
      <c r="K3934" s="15"/>
      <c r="L3934" s="15"/>
      <c r="M3934" s="15"/>
      <c r="N3934" s="15"/>
      <c r="O3934" s="15"/>
      <c r="P3934" s="17"/>
      <c r="Q3934" s="36" t="s">
        <v>46</v>
      </c>
      <c r="R3934" s="13">
        <v>3379</v>
      </c>
      <c r="S3934" s="13">
        <v>3319</v>
      </c>
      <c r="T3934" s="13">
        <v>0</v>
      </c>
      <c r="U3934" s="13">
        <v>0</v>
      </c>
      <c r="V3934" s="13">
        <v>0</v>
      </c>
      <c r="W3934" s="37">
        <v>2563</v>
      </c>
      <c r="X3934" s="20"/>
      <c r="Y3934" s="15"/>
      <c r="Z3934" s="15"/>
      <c r="AA3934" s="15"/>
      <c r="AB3934" s="15"/>
      <c r="AC3934" s="15"/>
      <c r="AD3934" s="15"/>
      <c r="AE3934" s="15"/>
      <c r="AF3934" s="15"/>
      <c r="AG3934" s="17"/>
    </row>
    <row r="3936" spans="2:33" ht="15" thickBot="1">
      <c r="B3936" s="25" t="s">
        <v>1912</v>
      </c>
      <c r="C3936" s="26" t="s">
        <v>1913</v>
      </c>
      <c r="D3936" s="26" t="s">
        <v>1943</v>
      </c>
      <c r="E3936" s="26" t="s">
        <v>1944</v>
      </c>
      <c r="F3936" s="26" t="s">
        <v>1945</v>
      </c>
      <c r="G3936" s="26" t="s">
        <v>1946</v>
      </c>
      <c r="H3936" s="27" t="s">
        <v>518</v>
      </c>
      <c r="I3936" s="26" t="s">
        <v>1947</v>
      </c>
      <c r="J3936" s="27" t="s">
        <v>87</v>
      </c>
      <c r="K3936" s="29">
        <v>20</v>
      </c>
      <c r="L3936" s="29">
        <v>25</v>
      </c>
      <c r="M3936" s="29">
        <v>25</v>
      </c>
      <c r="N3936" s="29">
        <v>25</v>
      </c>
      <c r="O3936" s="29">
        <v>25</v>
      </c>
      <c r="P3936" s="40">
        <v>30</v>
      </c>
      <c r="Q3936" s="1" t="s">
        <v>35</v>
      </c>
      <c r="R3936" s="2">
        <v>1861</v>
      </c>
      <c r="S3936" s="2">
        <v>1356</v>
      </c>
      <c r="T3936" s="2">
        <v>0</v>
      </c>
      <c r="U3936" s="2">
        <v>0</v>
      </c>
      <c r="V3936" s="2">
        <v>0</v>
      </c>
      <c r="W3936" s="2">
        <v>308</v>
      </c>
      <c r="X3936" s="43">
        <f>SUM(R3936:W3948)</f>
        <v>41122</v>
      </c>
      <c r="Y3936" s="10">
        <v>46204</v>
      </c>
      <c r="Z3936" s="11">
        <v>0.21919235148020305</v>
      </c>
      <c r="AA3936" s="11">
        <v>0.18278252950868873</v>
      </c>
      <c r="AB3936" s="11">
        <v>0.14730848520871084</v>
      </c>
      <c r="AC3936" s="11">
        <v>0.12879037718868644</v>
      </c>
      <c r="AD3936" s="11">
        <v>0.11451881259976519</v>
      </c>
      <c r="AE3936" s="11">
        <v>0.13153841003497066</v>
      </c>
      <c r="AF3936" s="11">
        <v>0.3</v>
      </c>
      <c r="AG3936" s="11">
        <v>0.23899999999999999</v>
      </c>
    </row>
    <row r="3937" spans="2:33">
      <c r="B3937" s="18"/>
      <c r="C3937" s="14"/>
      <c r="D3937" s="14"/>
      <c r="E3937" s="14"/>
      <c r="F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35"/>
      <c r="Q3937" s="36" t="s">
        <v>36</v>
      </c>
      <c r="R3937" s="13">
        <v>1544</v>
      </c>
      <c r="S3937" s="13">
        <v>1229</v>
      </c>
      <c r="T3937" s="13">
        <v>0</v>
      </c>
      <c r="U3937" s="13">
        <v>0</v>
      </c>
      <c r="V3937" s="13">
        <v>0</v>
      </c>
      <c r="W3937" s="37">
        <v>968</v>
      </c>
      <c r="X3937" s="18"/>
      <c r="Y3937" s="14"/>
      <c r="Z3937" s="14"/>
      <c r="AA3937" s="14"/>
      <c r="AB3937" s="14"/>
      <c r="AC3937" s="14"/>
      <c r="AD3937" s="14"/>
      <c r="AE3937" s="14"/>
      <c r="AF3937" s="14"/>
      <c r="AG3937" s="35"/>
    </row>
    <row r="3938" spans="2:33">
      <c r="B3938" s="19"/>
      <c r="P3938" s="16"/>
      <c r="Q3938" s="36" t="s">
        <v>37</v>
      </c>
      <c r="R3938" s="13">
        <v>0</v>
      </c>
      <c r="S3938" s="13">
        <v>1512</v>
      </c>
      <c r="T3938" s="13">
        <v>1221</v>
      </c>
      <c r="U3938" s="13">
        <v>0</v>
      </c>
      <c r="V3938" s="13">
        <v>0</v>
      </c>
      <c r="W3938" s="37">
        <v>273</v>
      </c>
      <c r="X3938" s="19"/>
      <c r="AG3938" s="16"/>
    </row>
    <row r="3939" spans="2:33">
      <c r="B3939" s="19"/>
      <c r="P3939" s="16"/>
      <c r="Q3939" s="36" t="s">
        <v>1441</v>
      </c>
      <c r="R3939" s="13">
        <v>0</v>
      </c>
      <c r="S3939" s="13">
        <v>0</v>
      </c>
      <c r="T3939" s="13">
        <v>0</v>
      </c>
      <c r="U3939" s="13">
        <v>393</v>
      </c>
      <c r="V3939" s="13">
        <v>301</v>
      </c>
      <c r="W3939" s="37">
        <v>156</v>
      </c>
      <c r="X3939" s="19"/>
      <c r="AG3939" s="16"/>
    </row>
    <row r="3940" spans="2:33">
      <c r="B3940" s="19"/>
      <c r="P3940" s="16"/>
      <c r="Q3940" s="36" t="s">
        <v>1442</v>
      </c>
      <c r="R3940" s="13">
        <v>0</v>
      </c>
      <c r="S3940" s="13">
        <v>0</v>
      </c>
      <c r="T3940" s="13">
        <v>0</v>
      </c>
      <c r="U3940" s="13">
        <v>1042</v>
      </c>
      <c r="V3940" s="13">
        <v>795</v>
      </c>
      <c r="W3940" s="37">
        <v>458</v>
      </c>
      <c r="X3940" s="19"/>
      <c r="AG3940" s="16"/>
    </row>
    <row r="3941" spans="2:33">
      <c r="B3941" s="19"/>
      <c r="P3941" s="16"/>
      <c r="Q3941" s="36" t="s">
        <v>39</v>
      </c>
      <c r="R3941" s="13">
        <v>0</v>
      </c>
      <c r="S3941" s="13">
        <v>0</v>
      </c>
      <c r="T3941" s="13">
        <v>0</v>
      </c>
      <c r="U3941" s="13">
        <v>1453</v>
      </c>
      <c r="V3941" s="13">
        <v>1071</v>
      </c>
      <c r="W3941" s="37">
        <v>620</v>
      </c>
      <c r="X3941" s="19"/>
      <c r="AG3941" s="16"/>
    </row>
    <row r="3942" spans="2:33">
      <c r="B3942" s="19"/>
      <c r="P3942" s="16"/>
      <c r="Q3942" s="36" t="s">
        <v>40</v>
      </c>
      <c r="R3942" s="13">
        <v>0</v>
      </c>
      <c r="S3942" s="13">
        <v>0</v>
      </c>
      <c r="T3942" s="13">
        <v>1497</v>
      </c>
      <c r="U3942" s="13">
        <v>1099</v>
      </c>
      <c r="V3942" s="13">
        <v>0</v>
      </c>
      <c r="W3942" s="37">
        <v>297</v>
      </c>
      <c r="X3942" s="19"/>
      <c r="AG3942" s="16"/>
    </row>
    <row r="3943" spans="2:33">
      <c r="B3943" s="19"/>
      <c r="P3943" s="16"/>
      <c r="Q3943" s="36" t="s">
        <v>41</v>
      </c>
      <c r="R3943" s="13">
        <v>1595</v>
      </c>
      <c r="S3943" s="13">
        <v>1269</v>
      </c>
      <c r="T3943" s="13">
        <v>0</v>
      </c>
      <c r="U3943" s="13">
        <v>0</v>
      </c>
      <c r="V3943" s="13">
        <v>0</v>
      </c>
      <c r="W3943" s="37">
        <v>296</v>
      </c>
      <c r="X3943" s="19"/>
      <c r="AG3943" s="16"/>
    </row>
    <row r="3944" spans="2:33">
      <c r="B3944" s="19"/>
      <c r="P3944" s="16"/>
      <c r="Q3944" s="36" t="s">
        <v>42</v>
      </c>
      <c r="R3944" s="13">
        <v>0</v>
      </c>
      <c r="S3944" s="13">
        <v>0</v>
      </c>
      <c r="T3944" s="13">
        <v>1365</v>
      </c>
      <c r="U3944" s="13">
        <v>1161</v>
      </c>
      <c r="V3944" s="13">
        <v>0</v>
      </c>
      <c r="W3944" s="37">
        <v>386</v>
      </c>
      <c r="X3944" s="19"/>
      <c r="AG3944" s="16"/>
    </row>
    <row r="3945" spans="2:33">
      <c r="B3945" s="19"/>
      <c r="P3945" s="16"/>
      <c r="Q3945" s="36" t="s">
        <v>43</v>
      </c>
      <c r="R3945" s="13">
        <v>0</v>
      </c>
      <c r="S3945" s="13">
        <v>0</v>
      </c>
      <c r="T3945" s="13">
        <v>1561</v>
      </c>
      <c r="U3945" s="13">
        <v>1242</v>
      </c>
      <c r="V3945" s="13">
        <v>0</v>
      </c>
      <c r="W3945" s="37">
        <v>332</v>
      </c>
      <c r="X3945" s="19"/>
      <c r="AG3945" s="16"/>
    </row>
    <row r="3946" spans="2:33">
      <c r="B3946" s="19"/>
      <c r="P3946" s="16"/>
      <c r="Q3946" s="36" t="s">
        <v>44</v>
      </c>
      <c r="R3946" s="13">
        <v>0</v>
      </c>
      <c r="S3946" s="13">
        <v>0</v>
      </c>
      <c r="T3946" s="13">
        <v>0</v>
      </c>
      <c r="U3946" s="13">
        <v>2082</v>
      </c>
      <c r="V3946" s="13">
        <v>1534</v>
      </c>
      <c r="W3946" s="37">
        <v>699</v>
      </c>
      <c r="X3946" s="19"/>
      <c r="AG3946" s="16"/>
    </row>
    <row r="3947" spans="2:33">
      <c r="B3947" s="19"/>
      <c r="P3947" s="16"/>
      <c r="Q3947" s="36" t="s">
        <v>45</v>
      </c>
      <c r="R3947" s="13">
        <v>0</v>
      </c>
      <c r="S3947" s="13">
        <v>1785</v>
      </c>
      <c r="T3947" s="13">
        <v>1449</v>
      </c>
      <c r="U3947" s="13">
        <v>0</v>
      </c>
      <c r="V3947" s="13">
        <v>0</v>
      </c>
      <c r="W3947" s="37">
        <v>461</v>
      </c>
      <c r="X3947" s="19"/>
      <c r="AG3947" s="16"/>
    </row>
    <row r="3948" spans="2:33" ht="15" thickBot="1">
      <c r="B3948" s="20"/>
      <c r="C3948" s="15"/>
      <c r="D3948" s="15"/>
      <c r="E3948" s="15"/>
      <c r="F3948" s="15"/>
      <c r="G3948" s="15"/>
      <c r="H3948" s="15"/>
      <c r="I3948" s="15"/>
      <c r="J3948" s="15"/>
      <c r="K3948" s="15"/>
      <c r="L3948" s="15"/>
      <c r="M3948" s="15"/>
      <c r="N3948" s="15"/>
      <c r="O3948" s="15"/>
      <c r="P3948" s="17"/>
      <c r="Q3948" s="36" t="s">
        <v>46</v>
      </c>
      <c r="R3948" s="13">
        <v>2192</v>
      </c>
      <c r="S3948" s="13">
        <v>1595</v>
      </c>
      <c r="T3948" s="13">
        <v>0</v>
      </c>
      <c r="U3948" s="13">
        <v>0</v>
      </c>
      <c r="V3948" s="13">
        <v>0</v>
      </c>
      <c r="W3948" s="37">
        <v>664</v>
      </c>
      <c r="X3948" s="20"/>
      <c r="Y3948" s="15"/>
      <c r="Z3948" s="15"/>
      <c r="AA3948" s="15"/>
      <c r="AB3948" s="15"/>
      <c r="AC3948" s="15"/>
      <c r="AD3948" s="15"/>
      <c r="AE3948" s="15"/>
      <c r="AF3948" s="15"/>
      <c r="AG3948" s="17"/>
    </row>
    <row r="3950" spans="2:33" ht="15" thickBot="1">
      <c r="B3950" s="25" t="s">
        <v>1912</v>
      </c>
      <c r="C3950" s="26" t="s">
        <v>1913</v>
      </c>
      <c r="D3950" s="26" t="s">
        <v>1948</v>
      </c>
      <c r="E3950" s="26" t="s">
        <v>1949</v>
      </c>
      <c r="F3950" s="26" t="s">
        <v>1950</v>
      </c>
      <c r="G3950" s="26" t="s">
        <v>469</v>
      </c>
      <c r="H3950" s="27" t="s">
        <v>469</v>
      </c>
      <c r="I3950" s="26" t="s">
        <v>1951</v>
      </c>
      <c r="J3950" s="27" t="s">
        <v>87</v>
      </c>
      <c r="K3950" s="29">
        <v>10</v>
      </c>
      <c r="L3950" s="29">
        <v>10</v>
      </c>
      <c r="M3950" s="29">
        <v>10</v>
      </c>
      <c r="N3950" s="29">
        <v>10</v>
      </c>
      <c r="O3950" s="29">
        <v>10</v>
      </c>
      <c r="P3950" s="40">
        <v>90</v>
      </c>
      <c r="Q3950" s="1" t="s">
        <v>35</v>
      </c>
      <c r="R3950" s="2">
        <v>542</v>
      </c>
      <c r="S3950" s="2">
        <v>501</v>
      </c>
      <c r="T3950" s="2">
        <v>0</v>
      </c>
      <c r="U3950" s="2">
        <v>0</v>
      </c>
      <c r="V3950" s="2">
        <v>0</v>
      </c>
      <c r="W3950" s="2">
        <v>799</v>
      </c>
      <c r="X3950" s="43">
        <f>SUM(R3950:W3962)</f>
        <v>31473</v>
      </c>
      <c r="Y3950" s="10">
        <v>46204</v>
      </c>
      <c r="Z3950" s="11">
        <v>0.21919235148020305</v>
      </c>
      <c r="AA3950" s="11">
        <v>0.18278252950868873</v>
      </c>
      <c r="AB3950" s="11">
        <v>0.14730848520871084</v>
      </c>
      <c r="AC3950" s="11">
        <v>0.12879037718868644</v>
      </c>
      <c r="AD3950" s="11">
        <v>0.11451881259976519</v>
      </c>
      <c r="AE3950" s="11">
        <v>0.13153841003497066</v>
      </c>
      <c r="AF3950" s="11">
        <v>0.3</v>
      </c>
      <c r="AG3950" s="11">
        <v>0.23899999999999999</v>
      </c>
    </row>
    <row r="3951" spans="2:33">
      <c r="B3951" s="18"/>
      <c r="C3951" s="14"/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35"/>
      <c r="Q3951" s="36" t="s">
        <v>36</v>
      </c>
      <c r="R3951" s="13">
        <v>610</v>
      </c>
      <c r="S3951" s="13">
        <v>494</v>
      </c>
      <c r="T3951" s="13">
        <v>0</v>
      </c>
      <c r="U3951" s="13">
        <v>0</v>
      </c>
      <c r="V3951" s="13">
        <v>0</v>
      </c>
      <c r="W3951" s="37">
        <v>771</v>
      </c>
      <c r="X3951" s="18"/>
      <c r="Y3951" s="14"/>
      <c r="Z3951" s="14"/>
      <c r="AA3951" s="14"/>
      <c r="AB3951" s="14"/>
      <c r="AC3951" s="14"/>
      <c r="AD3951" s="14"/>
      <c r="AE3951" s="14"/>
      <c r="AF3951" s="14"/>
      <c r="AG3951" s="35"/>
    </row>
    <row r="3952" spans="2:33">
      <c r="B3952" s="19"/>
      <c r="P3952" s="16"/>
      <c r="Q3952" s="36" t="s">
        <v>37</v>
      </c>
      <c r="R3952" s="13">
        <v>0</v>
      </c>
      <c r="S3952" s="13">
        <v>862</v>
      </c>
      <c r="T3952" s="13">
        <v>550</v>
      </c>
      <c r="U3952" s="13">
        <v>0</v>
      </c>
      <c r="V3952" s="13">
        <v>0</v>
      </c>
      <c r="W3952" s="37">
        <v>847</v>
      </c>
      <c r="X3952" s="19"/>
      <c r="AG3952" s="16"/>
    </row>
    <row r="3953" spans="2:33">
      <c r="B3953" s="19"/>
      <c r="P3953" s="16"/>
      <c r="Q3953" s="36" t="s">
        <v>1441</v>
      </c>
      <c r="R3953" s="13">
        <v>0</v>
      </c>
      <c r="S3953" s="13">
        <v>0</v>
      </c>
      <c r="T3953" s="13">
        <v>0</v>
      </c>
      <c r="U3953" s="13">
        <v>159</v>
      </c>
      <c r="V3953" s="13">
        <v>135</v>
      </c>
      <c r="W3953" s="37">
        <v>206</v>
      </c>
      <c r="X3953" s="19"/>
      <c r="AG3953" s="16"/>
    </row>
    <row r="3954" spans="2:33">
      <c r="B3954" s="19"/>
      <c r="P3954" s="16"/>
      <c r="Q3954" s="36" t="s">
        <v>1442</v>
      </c>
      <c r="R3954" s="13">
        <v>0</v>
      </c>
      <c r="S3954" s="13">
        <v>0</v>
      </c>
      <c r="T3954" s="13">
        <v>0</v>
      </c>
      <c r="U3954" s="13">
        <v>423</v>
      </c>
      <c r="V3954" s="13">
        <v>357</v>
      </c>
      <c r="W3954" s="37">
        <v>601</v>
      </c>
      <c r="X3954" s="19"/>
      <c r="AG3954" s="16"/>
    </row>
    <row r="3955" spans="2:33">
      <c r="B3955" s="19"/>
      <c r="P3955" s="16"/>
      <c r="Q3955" s="36" t="s">
        <v>39</v>
      </c>
      <c r="R3955" s="13">
        <v>0</v>
      </c>
      <c r="S3955" s="13">
        <v>0</v>
      </c>
      <c r="T3955" s="13">
        <v>0</v>
      </c>
      <c r="U3955" s="13">
        <v>785</v>
      </c>
      <c r="V3955" s="13">
        <v>827</v>
      </c>
      <c r="W3955" s="37">
        <v>1145</v>
      </c>
      <c r="X3955" s="19"/>
      <c r="AG3955" s="16"/>
    </row>
    <row r="3956" spans="2:33">
      <c r="B3956" s="19"/>
      <c r="P3956" s="16"/>
      <c r="Q3956" s="36" t="s">
        <v>40</v>
      </c>
      <c r="R3956" s="13">
        <v>0</v>
      </c>
      <c r="S3956" s="13">
        <v>0</v>
      </c>
      <c r="T3956" s="13">
        <v>963</v>
      </c>
      <c r="U3956" s="13">
        <v>864</v>
      </c>
      <c r="V3956" s="13">
        <v>0</v>
      </c>
      <c r="W3956" s="37">
        <v>970</v>
      </c>
      <c r="X3956" s="19"/>
      <c r="AG3956" s="16"/>
    </row>
    <row r="3957" spans="2:33">
      <c r="B3957" s="19"/>
      <c r="P3957" s="16"/>
      <c r="Q3957" s="36" t="s">
        <v>41</v>
      </c>
      <c r="R3957" s="13">
        <v>957</v>
      </c>
      <c r="S3957" s="13">
        <v>1056</v>
      </c>
      <c r="T3957" s="13">
        <v>0</v>
      </c>
      <c r="U3957" s="13">
        <v>0</v>
      </c>
      <c r="V3957" s="13">
        <v>0</v>
      </c>
      <c r="W3957" s="37">
        <v>920</v>
      </c>
      <c r="X3957" s="19"/>
      <c r="AG3957" s="16"/>
    </row>
    <row r="3958" spans="2:33">
      <c r="B3958" s="19"/>
      <c r="P3958" s="16"/>
      <c r="Q3958" s="36" t="s">
        <v>42</v>
      </c>
      <c r="R3958" s="13">
        <v>0</v>
      </c>
      <c r="S3958" s="13">
        <v>0</v>
      </c>
      <c r="T3958" s="13">
        <v>789</v>
      </c>
      <c r="U3958" s="13">
        <v>850</v>
      </c>
      <c r="V3958" s="13">
        <v>0</v>
      </c>
      <c r="W3958" s="37">
        <v>921</v>
      </c>
      <c r="X3958" s="19"/>
      <c r="AG3958" s="16"/>
    </row>
    <row r="3959" spans="2:33">
      <c r="B3959" s="19"/>
      <c r="P3959" s="16"/>
      <c r="Q3959" s="36" t="s">
        <v>43</v>
      </c>
      <c r="R3959" s="13">
        <v>0</v>
      </c>
      <c r="S3959" s="13">
        <v>0</v>
      </c>
      <c r="T3959" s="13">
        <v>1043</v>
      </c>
      <c r="U3959" s="13">
        <v>945</v>
      </c>
      <c r="V3959" s="13">
        <v>0</v>
      </c>
      <c r="W3959" s="37">
        <v>1175</v>
      </c>
      <c r="X3959" s="19"/>
      <c r="AG3959" s="16"/>
    </row>
    <row r="3960" spans="2:33">
      <c r="B3960" s="19"/>
      <c r="P3960" s="16"/>
      <c r="Q3960" s="36" t="s">
        <v>44</v>
      </c>
      <c r="R3960" s="13">
        <v>0</v>
      </c>
      <c r="S3960" s="13">
        <v>0</v>
      </c>
      <c r="T3960" s="13">
        <v>0</v>
      </c>
      <c r="U3960" s="13">
        <v>1133</v>
      </c>
      <c r="V3960" s="13">
        <v>1097</v>
      </c>
      <c r="W3960" s="37">
        <v>1197</v>
      </c>
      <c r="X3960" s="19"/>
      <c r="AG3960" s="16"/>
    </row>
    <row r="3961" spans="2:33">
      <c r="B3961" s="19"/>
      <c r="P3961" s="16"/>
      <c r="Q3961" s="36" t="s">
        <v>45</v>
      </c>
      <c r="R3961" s="13">
        <v>0</v>
      </c>
      <c r="S3961" s="13">
        <v>955</v>
      </c>
      <c r="T3961" s="13">
        <v>833</v>
      </c>
      <c r="U3961" s="13">
        <v>0</v>
      </c>
      <c r="V3961" s="13">
        <v>0</v>
      </c>
      <c r="W3961" s="37">
        <v>1127</v>
      </c>
      <c r="X3961" s="19"/>
      <c r="AG3961" s="16"/>
    </row>
    <row r="3962" spans="2:33" ht="15" thickBot="1">
      <c r="B3962" s="20"/>
      <c r="C3962" s="15"/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  <c r="N3962" s="15"/>
      <c r="O3962" s="15"/>
      <c r="P3962" s="17"/>
      <c r="Q3962" s="36" t="s">
        <v>46</v>
      </c>
      <c r="R3962" s="13">
        <v>924</v>
      </c>
      <c r="S3962" s="13">
        <v>896</v>
      </c>
      <c r="T3962" s="13">
        <v>0</v>
      </c>
      <c r="U3962" s="13">
        <v>0</v>
      </c>
      <c r="V3962" s="13">
        <v>0</v>
      </c>
      <c r="W3962" s="37">
        <v>1244</v>
      </c>
      <c r="X3962" s="20"/>
      <c r="Y3962" s="15"/>
      <c r="Z3962" s="15"/>
      <c r="AA3962" s="15"/>
      <c r="AB3962" s="15"/>
      <c r="AC3962" s="15"/>
      <c r="AD3962" s="15"/>
      <c r="AE3962" s="15"/>
      <c r="AF3962" s="15"/>
      <c r="AG3962" s="17"/>
    </row>
    <row r="3964" spans="2:33" ht="15" thickBot="1">
      <c r="B3964" s="25" t="s">
        <v>1912</v>
      </c>
      <c r="C3964" s="26" t="s">
        <v>1913</v>
      </c>
      <c r="D3964" s="26" t="s">
        <v>1952</v>
      </c>
      <c r="E3964" s="26" t="s">
        <v>1953</v>
      </c>
      <c r="F3964" s="26" t="s">
        <v>1954</v>
      </c>
      <c r="G3964" s="26" t="s">
        <v>821</v>
      </c>
      <c r="H3964" s="27" t="s">
        <v>821</v>
      </c>
      <c r="I3964" s="26" t="s">
        <v>1955</v>
      </c>
      <c r="J3964" s="27" t="s">
        <v>87</v>
      </c>
      <c r="K3964" s="29">
        <v>42</v>
      </c>
      <c r="L3964" s="29">
        <v>42</v>
      </c>
      <c r="M3964" s="29">
        <v>42</v>
      </c>
      <c r="N3964" s="29">
        <v>42</v>
      </c>
      <c r="O3964" s="29">
        <v>42</v>
      </c>
      <c r="P3964" s="40">
        <v>42</v>
      </c>
      <c r="Q3964" s="1" t="s">
        <v>35</v>
      </c>
      <c r="R3964" s="2">
        <v>0</v>
      </c>
      <c r="S3964" s="2">
        <v>2949</v>
      </c>
      <c r="T3964" s="2">
        <v>0</v>
      </c>
      <c r="U3964" s="2">
        <v>2168</v>
      </c>
      <c r="V3964" s="2">
        <v>0</v>
      </c>
      <c r="W3964" s="2">
        <v>982</v>
      </c>
      <c r="X3964" s="43">
        <f>SUM(R3964:W3976)</f>
        <v>80124</v>
      </c>
      <c r="Y3964" s="10">
        <v>46204</v>
      </c>
      <c r="Z3964" s="11">
        <v>0.21919235148020305</v>
      </c>
      <c r="AA3964" s="11">
        <v>0.18278252950868873</v>
      </c>
      <c r="AB3964" s="11">
        <v>0.14730848520871084</v>
      </c>
      <c r="AC3964" s="11">
        <v>0.12879037718868644</v>
      </c>
      <c r="AD3964" s="11">
        <v>0.11451881259976519</v>
      </c>
      <c r="AE3964" s="11">
        <v>0.13153841003497066</v>
      </c>
      <c r="AF3964" s="11">
        <v>0.3</v>
      </c>
      <c r="AG3964" s="11">
        <v>0.23899999999999999</v>
      </c>
    </row>
    <row r="3965" spans="2:33">
      <c r="B3965" s="18"/>
      <c r="C3965" s="14"/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35"/>
      <c r="Q3965" s="36" t="s">
        <v>1918</v>
      </c>
      <c r="R3965" s="13">
        <v>0</v>
      </c>
      <c r="S3965" s="13">
        <v>2980</v>
      </c>
      <c r="T3965" s="13">
        <v>0</v>
      </c>
      <c r="U3965" s="13">
        <v>2110</v>
      </c>
      <c r="V3965" s="13">
        <v>0</v>
      </c>
      <c r="W3965" s="37">
        <v>888</v>
      </c>
      <c r="X3965" s="18"/>
      <c r="Y3965" s="14"/>
      <c r="Z3965" s="14"/>
      <c r="AA3965" s="14"/>
      <c r="AB3965" s="14"/>
      <c r="AC3965" s="14"/>
      <c r="AD3965" s="14"/>
      <c r="AE3965" s="14"/>
      <c r="AF3965" s="14"/>
      <c r="AG3965" s="35"/>
    </row>
    <row r="3966" spans="2:33">
      <c r="B3966" s="19"/>
      <c r="P3966" s="16"/>
      <c r="Q3966" s="36" t="s">
        <v>37</v>
      </c>
      <c r="R3966" s="13">
        <v>0</v>
      </c>
      <c r="S3966" s="13">
        <v>2671</v>
      </c>
      <c r="T3966" s="13">
        <v>0</v>
      </c>
      <c r="U3966" s="13">
        <v>1905</v>
      </c>
      <c r="V3966" s="13">
        <v>0</v>
      </c>
      <c r="W3966" s="37">
        <v>873</v>
      </c>
      <c r="X3966" s="19"/>
      <c r="AG3966" s="16"/>
    </row>
    <row r="3967" spans="2:33">
      <c r="B3967" s="19"/>
      <c r="P3967" s="16"/>
      <c r="Q3967" s="36" t="s">
        <v>1441</v>
      </c>
      <c r="R3967" s="13">
        <v>0</v>
      </c>
      <c r="S3967" s="13">
        <v>0</v>
      </c>
      <c r="T3967" s="13">
        <v>0</v>
      </c>
      <c r="U3967" s="13">
        <v>689</v>
      </c>
      <c r="V3967" s="13">
        <v>562</v>
      </c>
      <c r="W3967" s="37">
        <v>242</v>
      </c>
      <c r="X3967" s="19"/>
      <c r="AG3967" s="16"/>
    </row>
    <row r="3968" spans="2:33">
      <c r="B3968" s="19"/>
      <c r="P3968" s="16"/>
      <c r="Q3968" s="36" t="s">
        <v>1442</v>
      </c>
      <c r="R3968" s="13">
        <v>0</v>
      </c>
      <c r="S3968" s="13">
        <v>0</v>
      </c>
      <c r="T3968" s="13">
        <v>0</v>
      </c>
      <c r="U3968" s="13">
        <v>1827</v>
      </c>
      <c r="V3968" s="13">
        <v>1479</v>
      </c>
      <c r="W3968" s="37">
        <v>709</v>
      </c>
      <c r="X3968" s="19"/>
      <c r="AG3968" s="16"/>
    </row>
    <row r="3969" spans="2:33">
      <c r="B3969" s="19"/>
      <c r="P3969" s="16"/>
      <c r="Q3969" s="36" t="s">
        <v>39</v>
      </c>
      <c r="R3969" s="13">
        <v>0</v>
      </c>
      <c r="S3969" s="13">
        <v>0</v>
      </c>
      <c r="T3969" s="13">
        <v>0</v>
      </c>
      <c r="U3969" s="13">
        <v>3103</v>
      </c>
      <c r="V3969" s="13">
        <v>2227</v>
      </c>
      <c r="W3969" s="37">
        <v>992</v>
      </c>
      <c r="X3969" s="19"/>
      <c r="AG3969" s="16"/>
    </row>
    <row r="3970" spans="2:33">
      <c r="B3970" s="19"/>
      <c r="P3970" s="16"/>
      <c r="Q3970" s="36" t="s">
        <v>40</v>
      </c>
      <c r="R3970" s="13">
        <v>0</v>
      </c>
      <c r="S3970" s="13">
        <v>0</v>
      </c>
      <c r="T3970" s="13">
        <v>0</v>
      </c>
      <c r="U3970" s="13">
        <v>3091</v>
      </c>
      <c r="V3970" s="13">
        <v>2109</v>
      </c>
      <c r="W3970" s="37">
        <v>954</v>
      </c>
      <c r="X3970" s="19"/>
      <c r="AG3970" s="16"/>
    </row>
    <row r="3971" spans="2:33">
      <c r="B3971" s="19"/>
      <c r="P3971" s="16"/>
      <c r="Q3971" s="36" t="s">
        <v>41</v>
      </c>
      <c r="R3971" s="13">
        <v>3813</v>
      </c>
      <c r="S3971" s="13">
        <v>0</v>
      </c>
      <c r="T3971" s="13">
        <v>2926</v>
      </c>
      <c r="U3971" s="13">
        <v>0</v>
      </c>
      <c r="V3971" s="13">
        <v>0</v>
      </c>
      <c r="W3971" s="37">
        <v>1284</v>
      </c>
      <c r="X3971" s="19"/>
      <c r="AG3971" s="16"/>
    </row>
    <row r="3972" spans="2:33">
      <c r="B3972" s="19"/>
      <c r="P3972" s="16"/>
      <c r="Q3972" s="36" t="s">
        <v>42</v>
      </c>
      <c r="R3972" s="13">
        <v>3592</v>
      </c>
      <c r="S3972" s="13">
        <v>0</v>
      </c>
      <c r="T3972" s="13">
        <v>2647</v>
      </c>
      <c r="U3972" s="13">
        <v>0</v>
      </c>
      <c r="V3972" s="13">
        <v>0</v>
      </c>
      <c r="W3972" s="37">
        <v>1134</v>
      </c>
      <c r="X3972" s="19"/>
      <c r="AG3972" s="16"/>
    </row>
    <row r="3973" spans="2:33">
      <c r="B3973" s="19"/>
      <c r="P3973" s="16"/>
      <c r="Q3973" s="36" t="s">
        <v>43</v>
      </c>
      <c r="R3973" s="13">
        <v>3439</v>
      </c>
      <c r="S3973" s="13">
        <v>0</v>
      </c>
      <c r="T3973" s="13">
        <v>2625</v>
      </c>
      <c r="U3973" s="13">
        <v>0</v>
      </c>
      <c r="V3973" s="13">
        <v>0</v>
      </c>
      <c r="W3973" s="37">
        <v>1096</v>
      </c>
      <c r="X3973" s="19"/>
      <c r="AG3973" s="16"/>
    </row>
    <row r="3974" spans="2:33">
      <c r="B3974" s="19"/>
      <c r="P3974" s="16"/>
      <c r="Q3974" s="36" t="s">
        <v>44</v>
      </c>
      <c r="R3974" s="13">
        <v>3996</v>
      </c>
      <c r="S3974" s="13">
        <v>0</v>
      </c>
      <c r="T3974" s="13">
        <v>2973</v>
      </c>
      <c r="U3974" s="13">
        <v>0</v>
      </c>
      <c r="V3974" s="13">
        <v>0</v>
      </c>
      <c r="W3974" s="37">
        <v>1169</v>
      </c>
      <c r="X3974" s="19"/>
      <c r="AG3974" s="16"/>
    </row>
    <row r="3975" spans="2:33">
      <c r="B3975" s="19"/>
      <c r="P3975" s="16"/>
      <c r="Q3975" s="36" t="s">
        <v>45</v>
      </c>
      <c r="R3975" s="13">
        <v>0</v>
      </c>
      <c r="S3975" s="13">
        <v>3432</v>
      </c>
      <c r="T3975" s="13">
        <v>2533</v>
      </c>
      <c r="U3975" s="13">
        <v>0</v>
      </c>
      <c r="V3975" s="13">
        <v>0</v>
      </c>
      <c r="W3975" s="37">
        <v>1147</v>
      </c>
      <c r="X3975" s="19"/>
      <c r="AG3975" s="16"/>
    </row>
    <row r="3976" spans="2:33" ht="15" thickBot="1">
      <c r="B3976" s="20"/>
      <c r="C3976" s="15"/>
      <c r="D3976" s="15"/>
      <c r="E3976" s="15"/>
      <c r="F3976" s="15"/>
      <c r="G3976" s="15"/>
      <c r="H3976" s="15"/>
      <c r="I3976" s="15"/>
      <c r="J3976" s="15"/>
      <c r="K3976" s="15"/>
      <c r="L3976" s="15"/>
      <c r="M3976" s="15"/>
      <c r="N3976" s="15"/>
      <c r="O3976" s="15"/>
      <c r="P3976" s="17"/>
      <c r="Q3976" s="36" t="s">
        <v>46</v>
      </c>
      <c r="R3976" s="13">
        <v>0</v>
      </c>
      <c r="S3976" s="13">
        <v>3113</v>
      </c>
      <c r="T3976" s="13">
        <v>2310</v>
      </c>
      <c r="U3976" s="13">
        <v>0</v>
      </c>
      <c r="V3976" s="13">
        <v>0</v>
      </c>
      <c r="W3976" s="37">
        <v>1385</v>
      </c>
      <c r="X3976" s="20"/>
      <c r="Y3976" s="15"/>
      <c r="Z3976" s="15"/>
      <c r="AA3976" s="15"/>
      <c r="AB3976" s="15"/>
      <c r="AC3976" s="15"/>
      <c r="AD3976" s="15"/>
      <c r="AE3976" s="15"/>
      <c r="AF3976" s="15"/>
      <c r="AG3976" s="17"/>
    </row>
    <row r="3978" spans="2:33" ht="15" thickBot="1">
      <c r="B3978" s="25" t="s">
        <v>1912</v>
      </c>
      <c r="C3978" s="26" t="s">
        <v>1913</v>
      </c>
      <c r="D3978" s="26" t="s">
        <v>1956</v>
      </c>
      <c r="E3978" s="26" t="s">
        <v>1957</v>
      </c>
      <c r="F3978" s="26" t="s">
        <v>1958</v>
      </c>
      <c r="G3978" s="26" t="s">
        <v>1959</v>
      </c>
      <c r="H3978" s="27" t="s">
        <v>662</v>
      </c>
      <c r="I3978" s="26" t="s">
        <v>1960</v>
      </c>
      <c r="J3978" s="27" t="s">
        <v>87</v>
      </c>
      <c r="K3978" s="29">
        <v>65</v>
      </c>
      <c r="L3978" s="29">
        <v>65</v>
      </c>
      <c r="M3978" s="29">
        <v>65</v>
      </c>
      <c r="N3978" s="29">
        <v>65</v>
      </c>
      <c r="O3978" s="29">
        <v>65</v>
      </c>
      <c r="P3978" s="40">
        <v>65</v>
      </c>
      <c r="Q3978" s="1" t="s">
        <v>35</v>
      </c>
      <c r="R3978" s="2">
        <v>2565</v>
      </c>
      <c r="S3978" s="2">
        <v>1371</v>
      </c>
      <c r="T3978" s="2">
        <v>0</v>
      </c>
      <c r="U3978" s="2">
        <v>0</v>
      </c>
      <c r="V3978" s="2">
        <v>0</v>
      </c>
      <c r="W3978" s="2">
        <v>1145</v>
      </c>
      <c r="X3978" s="43">
        <f>SUM(R3978:W3990)</f>
        <v>56738</v>
      </c>
      <c r="Y3978" s="10">
        <v>46204</v>
      </c>
      <c r="Z3978" s="11">
        <v>0.21919235148020305</v>
      </c>
      <c r="AA3978" s="11">
        <v>0.18278252950868873</v>
      </c>
      <c r="AB3978" s="11">
        <v>0.14730848520871084</v>
      </c>
      <c r="AC3978" s="11">
        <v>0.12879037718868644</v>
      </c>
      <c r="AD3978" s="11">
        <v>0.11451881259976519</v>
      </c>
      <c r="AE3978" s="11">
        <v>0.13153841003497066</v>
      </c>
      <c r="AF3978" s="11">
        <v>0.3</v>
      </c>
      <c r="AG3978" s="11">
        <v>0.23899999999999999</v>
      </c>
    </row>
    <row r="3979" spans="2:33">
      <c r="B3979" s="18"/>
      <c r="C3979" s="14"/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4"/>
      <c r="P3979" s="35"/>
      <c r="Q3979" s="36" t="s">
        <v>36</v>
      </c>
      <c r="R3979" s="13">
        <v>2239</v>
      </c>
      <c r="S3979" s="13">
        <v>1303</v>
      </c>
      <c r="T3979" s="13">
        <v>0</v>
      </c>
      <c r="U3979" s="13">
        <v>0</v>
      </c>
      <c r="V3979" s="13">
        <v>0</v>
      </c>
      <c r="W3979" s="37">
        <v>1009</v>
      </c>
      <c r="X3979" s="18"/>
      <c r="Y3979" s="14"/>
      <c r="Z3979" s="14"/>
      <c r="AA3979" s="14"/>
      <c r="AB3979" s="14"/>
      <c r="AC3979" s="14"/>
      <c r="AD3979" s="14"/>
      <c r="AE3979" s="14"/>
      <c r="AF3979" s="14"/>
      <c r="AG3979" s="35"/>
    </row>
    <row r="3980" spans="2:33">
      <c r="B3980" s="19"/>
      <c r="P3980" s="16"/>
      <c r="Q3980" s="36" t="s">
        <v>37</v>
      </c>
      <c r="R3980" s="13">
        <v>0</v>
      </c>
      <c r="S3980" s="13">
        <v>2884</v>
      </c>
      <c r="T3980" s="13">
        <v>1415</v>
      </c>
      <c r="U3980" s="13">
        <v>0</v>
      </c>
      <c r="V3980" s="13">
        <v>0</v>
      </c>
      <c r="W3980" s="37">
        <v>1272</v>
      </c>
      <c r="X3980" s="19"/>
      <c r="AG3980" s="16"/>
    </row>
    <row r="3981" spans="2:33">
      <c r="B3981" s="19"/>
      <c r="P3981" s="16"/>
      <c r="Q3981" s="36" t="s">
        <v>1441</v>
      </c>
      <c r="R3981" s="13">
        <v>0</v>
      </c>
      <c r="S3981" s="13">
        <v>0</v>
      </c>
      <c r="T3981" s="13">
        <v>0</v>
      </c>
      <c r="U3981" s="13">
        <v>722</v>
      </c>
      <c r="V3981" s="13">
        <v>321</v>
      </c>
      <c r="W3981" s="37">
        <v>259</v>
      </c>
      <c r="X3981" s="19"/>
      <c r="AG3981" s="16"/>
    </row>
    <row r="3982" spans="2:33">
      <c r="B3982" s="19"/>
      <c r="P3982" s="16"/>
      <c r="Q3982" s="36" t="s">
        <v>1442</v>
      </c>
      <c r="R3982" s="13">
        <v>0</v>
      </c>
      <c r="S3982" s="13">
        <v>0</v>
      </c>
      <c r="T3982" s="13">
        <v>0</v>
      </c>
      <c r="U3982" s="13">
        <v>1913</v>
      </c>
      <c r="V3982" s="13">
        <v>847</v>
      </c>
      <c r="W3982" s="37">
        <v>755</v>
      </c>
      <c r="X3982" s="19"/>
      <c r="AG3982" s="16"/>
    </row>
    <row r="3983" spans="2:33">
      <c r="B3983" s="19"/>
      <c r="P3983" s="16"/>
      <c r="Q3983" s="36" t="s">
        <v>39</v>
      </c>
      <c r="R3983" s="13">
        <v>0</v>
      </c>
      <c r="S3983" s="13">
        <v>0</v>
      </c>
      <c r="T3983" s="13">
        <v>0</v>
      </c>
      <c r="U3983" s="13">
        <v>2116</v>
      </c>
      <c r="V3983" s="13">
        <v>1311</v>
      </c>
      <c r="W3983" s="37">
        <v>850</v>
      </c>
      <c r="X3983" s="19"/>
      <c r="AG3983" s="16"/>
    </row>
    <row r="3984" spans="2:33">
      <c r="B3984" s="19"/>
      <c r="P3984" s="16"/>
      <c r="Q3984" s="36" t="s">
        <v>40</v>
      </c>
      <c r="R3984" s="13">
        <v>0</v>
      </c>
      <c r="S3984" s="13">
        <v>0</v>
      </c>
      <c r="T3984" s="13">
        <v>1491</v>
      </c>
      <c r="U3984" s="13">
        <v>1172</v>
      </c>
      <c r="V3984" s="13">
        <v>0</v>
      </c>
      <c r="W3984" s="37">
        <v>731</v>
      </c>
      <c r="X3984" s="19"/>
      <c r="AG3984" s="16"/>
    </row>
    <row r="3985" spans="2:33">
      <c r="B3985" s="19"/>
      <c r="P3985" s="16"/>
      <c r="Q3985" s="36" t="s">
        <v>41</v>
      </c>
      <c r="R3985" s="13">
        <v>1757</v>
      </c>
      <c r="S3985" s="13">
        <v>1149</v>
      </c>
      <c r="T3985" s="13">
        <v>0</v>
      </c>
      <c r="U3985" s="13">
        <v>0</v>
      </c>
      <c r="V3985" s="13">
        <v>0</v>
      </c>
      <c r="W3985" s="37">
        <v>687</v>
      </c>
      <c r="X3985" s="19"/>
      <c r="AG3985" s="16"/>
    </row>
    <row r="3986" spans="2:33">
      <c r="B3986" s="19"/>
      <c r="P3986" s="16"/>
      <c r="Q3986" s="36" t="s">
        <v>42</v>
      </c>
      <c r="R3986" s="13">
        <v>0</v>
      </c>
      <c r="S3986" s="13">
        <v>0</v>
      </c>
      <c r="T3986" s="13">
        <v>2315</v>
      </c>
      <c r="U3986" s="13">
        <v>1239</v>
      </c>
      <c r="V3986" s="13">
        <v>0</v>
      </c>
      <c r="W3986" s="37">
        <v>924</v>
      </c>
      <c r="X3986" s="19"/>
      <c r="AG3986" s="16"/>
    </row>
    <row r="3987" spans="2:33">
      <c r="B3987" s="19"/>
      <c r="P3987" s="16"/>
      <c r="Q3987" s="36" t="s">
        <v>43</v>
      </c>
      <c r="R3987" s="13">
        <v>0</v>
      </c>
      <c r="S3987" s="13">
        <v>0</v>
      </c>
      <c r="T3987" s="13">
        <v>2272</v>
      </c>
      <c r="U3987" s="13">
        <v>1387</v>
      </c>
      <c r="V3987" s="13">
        <v>0</v>
      </c>
      <c r="W3987" s="37">
        <v>918</v>
      </c>
      <c r="X3987" s="19"/>
      <c r="AG3987" s="16"/>
    </row>
    <row r="3988" spans="2:33">
      <c r="B3988" s="19"/>
      <c r="P3988" s="16"/>
      <c r="Q3988" s="36" t="s">
        <v>44</v>
      </c>
      <c r="R3988" s="13">
        <v>0</v>
      </c>
      <c r="S3988" s="13">
        <v>0</v>
      </c>
      <c r="T3988" s="13">
        <v>0</v>
      </c>
      <c r="U3988" s="13">
        <v>2710</v>
      </c>
      <c r="V3988" s="13">
        <v>1561</v>
      </c>
      <c r="W3988" s="37">
        <v>1006</v>
      </c>
      <c r="X3988" s="19"/>
      <c r="AG3988" s="16"/>
    </row>
    <row r="3989" spans="2:33">
      <c r="B3989" s="19"/>
      <c r="P3989" s="16"/>
      <c r="Q3989" s="36" t="s">
        <v>45</v>
      </c>
      <c r="R3989" s="13">
        <v>0</v>
      </c>
      <c r="S3989" s="13">
        <v>2584</v>
      </c>
      <c r="T3989" s="13">
        <v>1559</v>
      </c>
      <c r="U3989" s="13">
        <v>0</v>
      </c>
      <c r="V3989" s="13">
        <v>0</v>
      </c>
      <c r="W3989" s="37">
        <v>1044</v>
      </c>
      <c r="X3989" s="19"/>
      <c r="AG3989" s="16"/>
    </row>
    <row r="3990" spans="2:33" ht="15" thickBot="1">
      <c r="B3990" s="20"/>
      <c r="C3990" s="15"/>
      <c r="D3990" s="15"/>
      <c r="E3990" s="15"/>
      <c r="F3990" s="15"/>
      <c r="G3990" s="15"/>
      <c r="H3990" s="15"/>
      <c r="I3990" s="15"/>
      <c r="J3990" s="15"/>
      <c r="K3990" s="15"/>
      <c r="L3990" s="15"/>
      <c r="M3990" s="15"/>
      <c r="N3990" s="15"/>
      <c r="O3990" s="15"/>
      <c r="P3990" s="17"/>
      <c r="Q3990" s="36" t="s">
        <v>46</v>
      </c>
      <c r="R3990" s="13">
        <v>3127</v>
      </c>
      <c r="S3990" s="13">
        <v>1603</v>
      </c>
      <c r="T3990" s="13">
        <v>0</v>
      </c>
      <c r="U3990" s="13">
        <v>0</v>
      </c>
      <c r="V3990" s="13">
        <v>0</v>
      </c>
      <c r="W3990" s="37">
        <v>1205</v>
      </c>
      <c r="X3990" s="20"/>
      <c r="Y3990" s="15"/>
      <c r="Z3990" s="15"/>
      <c r="AA3990" s="15"/>
      <c r="AB3990" s="15"/>
      <c r="AC3990" s="15"/>
      <c r="AD3990" s="15"/>
      <c r="AE3990" s="15"/>
      <c r="AF3990" s="15"/>
      <c r="AG3990" s="17"/>
    </row>
    <row r="3992" spans="2:33" ht="15" thickBot="1">
      <c r="B3992" s="25" t="s">
        <v>1912</v>
      </c>
      <c r="C3992" s="26" t="s">
        <v>1913</v>
      </c>
      <c r="D3992" s="26" t="s">
        <v>1961</v>
      </c>
      <c r="E3992" s="26" t="s">
        <v>1962</v>
      </c>
      <c r="F3992" s="26" t="s">
        <v>1963</v>
      </c>
      <c r="G3992" s="26" t="s">
        <v>1964</v>
      </c>
      <c r="H3992" s="27" t="s">
        <v>984</v>
      </c>
      <c r="I3992" s="26" t="s">
        <v>1965</v>
      </c>
      <c r="J3992" s="27" t="s">
        <v>87</v>
      </c>
      <c r="K3992" s="29">
        <v>48</v>
      </c>
      <c r="L3992" s="29">
        <v>48</v>
      </c>
      <c r="M3992" s="29">
        <v>48</v>
      </c>
      <c r="N3992" s="29">
        <v>48</v>
      </c>
      <c r="O3992" s="29">
        <v>48</v>
      </c>
      <c r="P3992" s="40">
        <v>48</v>
      </c>
      <c r="Q3992" s="1" t="s">
        <v>1571</v>
      </c>
      <c r="R3992" s="2">
        <v>0</v>
      </c>
      <c r="S3992" s="2">
        <v>0</v>
      </c>
      <c r="T3992" s="2">
        <v>817</v>
      </c>
      <c r="U3992" s="2">
        <v>467</v>
      </c>
      <c r="V3992" s="2">
        <v>0</v>
      </c>
      <c r="W3992" s="2">
        <v>220</v>
      </c>
      <c r="X3992" s="43">
        <f>SUM(R3992:W4001)</f>
        <v>14729</v>
      </c>
      <c r="Y3992" s="10">
        <v>46204</v>
      </c>
      <c r="Z3992" s="11">
        <v>0.21919235148020305</v>
      </c>
      <c r="AA3992" s="11">
        <v>0.18278252950868873</v>
      </c>
      <c r="AB3992" s="11">
        <v>0.14730848520871084</v>
      </c>
      <c r="AC3992" s="11">
        <v>0.12879037718868644</v>
      </c>
      <c r="AD3992" s="11">
        <v>0.11451881259976519</v>
      </c>
      <c r="AE3992" s="11">
        <v>0.13153841003497066</v>
      </c>
      <c r="AF3992" s="11">
        <v>0.3</v>
      </c>
      <c r="AG3992" s="11">
        <v>0.23899999999999999</v>
      </c>
    </row>
    <row r="3993" spans="2:33">
      <c r="B3993" s="18"/>
      <c r="C3993" s="14"/>
      <c r="D3993" s="14"/>
      <c r="E3993" s="14"/>
      <c r="F3993" s="14"/>
      <c r="G3993" s="14"/>
      <c r="H3993" s="14"/>
      <c r="I3993" s="14"/>
      <c r="J3993" s="14"/>
      <c r="K3993" s="14"/>
      <c r="L3993" s="14"/>
      <c r="M3993" s="14"/>
      <c r="N3993" s="14"/>
      <c r="O3993" s="14"/>
      <c r="P3993" s="35"/>
      <c r="Q3993" s="36" t="s">
        <v>1966</v>
      </c>
      <c r="R3993" s="13">
        <v>0</v>
      </c>
      <c r="S3993" s="13">
        <v>0</v>
      </c>
      <c r="T3993" s="13">
        <v>382</v>
      </c>
      <c r="U3993" s="13">
        <v>584</v>
      </c>
      <c r="V3993" s="13">
        <v>223</v>
      </c>
      <c r="W3993" s="37">
        <v>226</v>
      </c>
      <c r="X3993" s="18"/>
      <c r="Y3993" s="14"/>
      <c r="Z3993" s="14"/>
      <c r="AA3993" s="14"/>
      <c r="AB3993" s="14"/>
      <c r="AC3993" s="14"/>
      <c r="AD3993" s="14"/>
      <c r="AE3993" s="14"/>
      <c r="AF3993" s="14"/>
      <c r="AG3993" s="35"/>
    </row>
    <row r="3994" spans="2:33">
      <c r="B3994" s="19"/>
      <c r="P3994" s="16"/>
      <c r="Q3994" s="36" t="s">
        <v>1967</v>
      </c>
      <c r="R3994" s="13">
        <v>0</v>
      </c>
      <c r="S3994" s="13">
        <v>0</v>
      </c>
      <c r="T3994" s="13">
        <v>0</v>
      </c>
      <c r="U3994" s="13">
        <v>467</v>
      </c>
      <c r="V3994" s="13">
        <v>298</v>
      </c>
      <c r="W3994" s="37">
        <v>160</v>
      </c>
      <c r="X3994" s="19"/>
      <c r="AG3994" s="16"/>
    </row>
    <row r="3995" spans="2:33">
      <c r="B3995" s="19"/>
      <c r="P3995" s="16"/>
      <c r="Q3995" s="36" t="s">
        <v>1968</v>
      </c>
      <c r="R3995" s="13">
        <v>0</v>
      </c>
      <c r="S3995" s="13">
        <v>0</v>
      </c>
      <c r="T3995" s="13">
        <v>0</v>
      </c>
      <c r="U3995" s="13">
        <v>214</v>
      </c>
      <c r="V3995" s="13">
        <v>152</v>
      </c>
      <c r="W3995" s="37">
        <v>47</v>
      </c>
      <c r="X3995" s="19"/>
      <c r="AG3995" s="16"/>
    </row>
    <row r="3996" spans="2:33">
      <c r="B3996" s="19"/>
      <c r="P3996" s="16"/>
      <c r="Q3996" s="36" t="s">
        <v>287</v>
      </c>
      <c r="R3996" s="13">
        <v>0</v>
      </c>
      <c r="S3996" s="13">
        <v>208</v>
      </c>
      <c r="T3996" s="13">
        <v>144</v>
      </c>
      <c r="U3996" s="13">
        <v>473</v>
      </c>
      <c r="V3996" s="13">
        <v>256</v>
      </c>
      <c r="W3996" s="37">
        <v>196</v>
      </c>
      <c r="X3996" s="19"/>
      <c r="AG3996" s="16"/>
    </row>
    <row r="3997" spans="2:33">
      <c r="B3997" s="19"/>
      <c r="P3997" s="16"/>
      <c r="Q3997" s="36" t="s">
        <v>1111</v>
      </c>
      <c r="R3997" s="13">
        <v>309</v>
      </c>
      <c r="S3997" s="13">
        <v>935</v>
      </c>
      <c r="T3997" s="13">
        <v>389</v>
      </c>
      <c r="U3997" s="13">
        <v>0</v>
      </c>
      <c r="V3997" s="13">
        <v>0</v>
      </c>
      <c r="W3997" s="37">
        <v>250</v>
      </c>
      <c r="X3997" s="19"/>
      <c r="AG3997" s="16"/>
    </row>
    <row r="3998" spans="2:33">
      <c r="B3998" s="19"/>
      <c r="P3998" s="16"/>
      <c r="Q3998" s="36" t="s">
        <v>1969</v>
      </c>
      <c r="R3998" s="13">
        <v>1187</v>
      </c>
      <c r="S3998" s="13">
        <v>618</v>
      </c>
      <c r="T3998" s="13">
        <v>0</v>
      </c>
      <c r="U3998" s="13">
        <v>0</v>
      </c>
      <c r="V3998" s="13">
        <v>0</v>
      </c>
      <c r="W3998" s="37">
        <v>309</v>
      </c>
      <c r="X3998" s="19"/>
      <c r="AG3998" s="16"/>
    </row>
    <row r="3999" spans="2:33">
      <c r="B3999" s="19"/>
      <c r="P3999" s="16"/>
      <c r="Q3999" s="36" t="s">
        <v>1970</v>
      </c>
      <c r="R3999" s="13">
        <v>1055</v>
      </c>
      <c r="S3999" s="13">
        <v>533</v>
      </c>
      <c r="T3999" s="13">
        <v>0</v>
      </c>
      <c r="U3999" s="13">
        <v>0</v>
      </c>
      <c r="V3999" s="13">
        <v>0</v>
      </c>
      <c r="W3999" s="37">
        <v>339</v>
      </c>
      <c r="X3999" s="19"/>
      <c r="AG3999" s="16"/>
    </row>
    <row r="4000" spans="2:33">
      <c r="B4000" s="19"/>
      <c r="P4000" s="16"/>
      <c r="Q4000" s="36" t="s">
        <v>1359</v>
      </c>
      <c r="R4000" s="13">
        <v>886</v>
      </c>
      <c r="S4000" s="13">
        <v>477</v>
      </c>
      <c r="T4000" s="13">
        <v>0</v>
      </c>
      <c r="U4000" s="13">
        <v>0</v>
      </c>
      <c r="V4000" s="13">
        <v>0</v>
      </c>
      <c r="W4000" s="37">
        <v>294</v>
      </c>
      <c r="X4000" s="19"/>
      <c r="AG4000" s="16"/>
    </row>
    <row r="4001" spans="2:33" ht="15" thickBot="1">
      <c r="B4001" s="20"/>
      <c r="C4001" s="15"/>
      <c r="D4001" s="15"/>
      <c r="E4001" s="15"/>
      <c r="F4001" s="15"/>
      <c r="G4001" s="15"/>
      <c r="H4001" s="15"/>
      <c r="I4001" s="15"/>
      <c r="J4001" s="15"/>
      <c r="K4001" s="15"/>
      <c r="L4001" s="15"/>
      <c r="M4001" s="15"/>
      <c r="N4001" s="15"/>
      <c r="O4001" s="15"/>
      <c r="P4001" s="17"/>
      <c r="Q4001" s="36" t="s">
        <v>1494</v>
      </c>
      <c r="R4001" s="13">
        <v>538</v>
      </c>
      <c r="S4001" s="13">
        <v>593</v>
      </c>
      <c r="T4001" s="13">
        <v>204</v>
      </c>
      <c r="U4001" s="13">
        <v>0</v>
      </c>
      <c r="V4001" s="13">
        <v>0</v>
      </c>
      <c r="W4001" s="37">
        <v>279</v>
      </c>
      <c r="X4001" s="20"/>
      <c r="Y4001" s="15"/>
      <c r="Z4001" s="15"/>
      <c r="AA4001" s="15"/>
      <c r="AB4001" s="15"/>
      <c r="AC4001" s="15"/>
      <c r="AD4001" s="15"/>
      <c r="AE4001" s="15"/>
      <c r="AF4001" s="15"/>
      <c r="AG4001" s="17"/>
    </row>
    <row r="4003" spans="2:33" ht="15" thickBot="1">
      <c r="B4003" s="25" t="s">
        <v>1912</v>
      </c>
      <c r="C4003" s="26" t="s">
        <v>1913</v>
      </c>
      <c r="D4003" s="26" t="s">
        <v>1971</v>
      </c>
      <c r="E4003" s="26" t="s">
        <v>1972</v>
      </c>
      <c r="F4003" s="26" t="s">
        <v>1973</v>
      </c>
      <c r="G4003" s="26" t="s">
        <v>1974</v>
      </c>
      <c r="H4003" s="27" t="s">
        <v>469</v>
      </c>
      <c r="I4003" s="26" t="s">
        <v>1975</v>
      </c>
      <c r="J4003" s="27" t="s">
        <v>87</v>
      </c>
      <c r="K4003" s="29">
        <v>19.899999618530298</v>
      </c>
      <c r="L4003" s="29">
        <v>19.899999618530298</v>
      </c>
      <c r="M4003" s="29">
        <v>19.899999618530298</v>
      </c>
      <c r="N4003" s="29">
        <v>19.899999618530298</v>
      </c>
      <c r="O4003" s="29">
        <v>19.899999618530298</v>
      </c>
      <c r="P4003" s="40">
        <v>19.899999618530298</v>
      </c>
      <c r="Q4003" s="1" t="s">
        <v>35</v>
      </c>
      <c r="R4003" s="2">
        <v>1662</v>
      </c>
      <c r="S4003" s="2">
        <v>1496</v>
      </c>
      <c r="T4003" s="2">
        <v>0</v>
      </c>
      <c r="U4003" s="2">
        <v>0</v>
      </c>
      <c r="V4003" s="2">
        <v>0</v>
      </c>
      <c r="W4003" s="2">
        <v>1086</v>
      </c>
      <c r="X4003" s="43">
        <f>SUM(R4003:W4015)</f>
        <v>38805</v>
      </c>
      <c r="Y4003" s="10">
        <v>46204</v>
      </c>
      <c r="Z4003" s="11">
        <v>0.21919235148020305</v>
      </c>
      <c r="AA4003" s="11">
        <v>0.18278252950868873</v>
      </c>
      <c r="AB4003" s="11">
        <v>0.14730848520871084</v>
      </c>
      <c r="AC4003" s="11">
        <v>0.12879037718868644</v>
      </c>
      <c r="AD4003" s="11">
        <v>0.11451881259976519</v>
      </c>
      <c r="AE4003" s="11">
        <v>0.13153841003497066</v>
      </c>
      <c r="AF4003" s="11">
        <v>0.3</v>
      </c>
      <c r="AG4003" s="11">
        <v>0.23899999999999999</v>
      </c>
    </row>
    <row r="4004" spans="2:33">
      <c r="B4004" s="18"/>
      <c r="C4004" s="14"/>
      <c r="D4004" s="14"/>
      <c r="E4004" s="14"/>
      <c r="F4004" s="14"/>
      <c r="G4004" s="14"/>
      <c r="H4004" s="14"/>
      <c r="I4004" s="14"/>
      <c r="J4004" s="14"/>
      <c r="K4004" s="14"/>
      <c r="L4004" s="14"/>
      <c r="M4004" s="14"/>
      <c r="N4004" s="14"/>
      <c r="O4004" s="14"/>
      <c r="P4004" s="35"/>
      <c r="Q4004" s="36" t="s">
        <v>36</v>
      </c>
      <c r="R4004" s="13">
        <v>1785</v>
      </c>
      <c r="S4004" s="13">
        <v>1482</v>
      </c>
      <c r="T4004" s="13">
        <v>0</v>
      </c>
      <c r="U4004" s="13">
        <v>0</v>
      </c>
      <c r="V4004" s="13">
        <v>0</v>
      </c>
      <c r="W4004" s="37">
        <v>1078</v>
      </c>
      <c r="X4004" s="18"/>
      <c r="Y4004" s="14"/>
      <c r="Z4004" s="14"/>
      <c r="AA4004" s="14"/>
      <c r="AB4004" s="14"/>
      <c r="AC4004" s="14"/>
      <c r="AD4004" s="14"/>
      <c r="AE4004" s="14"/>
      <c r="AF4004" s="14"/>
      <c r="AG4004" s="35"/>
    </row>
    <row r="4005" spans="2:33">
      <c r="B4005" s="19"/>
      <c r="P4005" s="16"/>
      <c r="Q4005" s="36" t="s">
        <v>37</v>
      </c>
      <c r="R4005" s="13">
        <v>0</v>
      </c>
      <c r="S4005" s="13">
        <v>2058</v>
      </c>
      <c r="T4005" s="13">
        <v>1409</v>
      </c>
      <c r="U4005" s="13">
        <v>0</v>
      </c>
      <c r="V4005" s="13">
        <v>0</v>
      </c>
      <c r="W4005" s="37">
        <v>1019</v>
      </c>
      <c r="X4005" s="19"/>
      <c r="AG4005" s="16"/>
    </row>
    <row r="4006" spans="2:33">
      <c r="B4006" s="19"/>
      <c r="P4006" s="16"/>
      <c r="Q4006" s="36" t="s">
        <v>1441</v>
      </c>
      <c r="R4006" s="13">
        <v>0</v>
      </c>
      <c r="S4006" s="13">
        <v>0</v>
      </c>
      <c r="T4006" s="13">
        <v>0</v>
      </c>
      <c r="U4006" s="13">
        <v>493</v>
      </c>
      <c r="V4006" s="13">
        <v>381</v>
      </c>
      <c r="W4006" s="37">
        <v>302</v>
      </c>
      <c r="X4006" s="19"/>
      <c r="AG4006" s="16"/>
    </row>
    <row r="4007" spans="2:33">
      <c r="B4007" s="19"/>
      <c r="P4007" s="16"/>
      <c r="Q4007" s="36" t="s">
        <v>1442</v>
      </c>
      <c r="R4007" s="13">
        <v>0</v>
      </c>
      <c r="S4007" s="13">
        <v>0</v>
      </c>
      <c r="T4007" s="13">
        <v>0</v>
      </c>
      <c r="U4007" s="13">
        <v>654</v>
      </c>
      <c r="V4007" s="13">
        <v>729</v>
      </c>
      <c r="W4007" s="37">
        <v>573</v>
      </c>
      <c r="X4007" s="19"/>
      <c r="AG4007" s="16"/>
    </row>
    <row r="4008" spans="2:33">
      <c r="B4008" s="19"/>
      <c r="P4008" s="16"/>
      <c r="Q4008" s="36" t="s">
        <v>39</v>
      </c>
      <c r="R4008" s="13">
        <v>0</v>
      </c>
      <c r="S4008" s="13">
        <v>0</v>
      </c>
      <c r="T4008" s="13">
        <v>0</v>
      </c>
      <c r="U4008" s="13">
        <v>1060</v>
      </c>
      <c r="V4008" s="13">
        <v>825</v>
      </c>
      <c r="W4008" s="37">
        <v>649</v>
      </c>
      <c r="X4008" s="19"/>
      <c r="AG4008" s="16"/>
    </row>
    <row r="4009" spans="2:33">
      <c r="B4009" s="19"/>
      <c r="P4009" s="16"/>
      <c r="Q4009" s="36" t="s">
        <v>40</v>
      </c>
      <c r="R4009" s="13">
        <v>0</v>
      </c>
      <c r="S4009" s="13">
        <v>0</v>
      </c>
      <c r="T4009" s="13">
        <v>736</v>
      </c>
      <c r="U4009" s="13">
        <v>727</v>
      </c>
      <c r="V4009" s="13">
        <v>0</v>
      </c>
      <c r="W4009" s="37">
        <v>583</v>
      </c>
      <c r="X4009" s="19"/>
      <c r="AG4009" s="16"/>
    </row>
    <row r="4010" spans="2:33">
      <c r="B4010" s="19"/>
      <c r="P4010" s="16"/>
      <c r="Q4010" s="36" t="s">
        <v>41</v>
      </c>
      <c r="R4010" s="13">
        <v>442</v>
      </c>
      <c r="S4010" s="13">
        <v>1234</v>
      </c>
      <c r="T4010" s="13">
        <v>0</v>
      </c>
      <c r="U4010" s="13">
        <v>0</v>
      </c>
      <c r="V4010" s="13">
        <v>0</v>
      </c>
      <c r="W4010" s="37">
        <v>881</v>
      </c>
      <c r="X4010" s="19"/>
      <c r="AG4010" s="16"/>
    </row>
    <row r="4011" spans="2:33">
      <c r="B4011" s="19"/>
      <c r="P4011" s="16"/>
      <c r="Q4011" s="36" t="s">
        <v>42</v>
      </c>
      <c r="R4011" s="13">
        <v>0</v>
      </c>
      <c r="S4011" s="13">
        <v>0</v>
      </c>
      <c r="T4011" s="13">
        <v>455</v>
      </c>
      <c r="U4011" s="13">
        <v>1250</v>
      </c>
      <c r="V4011" s="13">
        <v>0</v>
      </c>
      <c r="W4011" s="37">
        <v>710</v>
      </c>
      <c r="X4011" s="19"/>
      <c r="AG4011" s="16"/>
    </row>
    <row r="4012" spans="2:33">
      <c r="B4012" s="19"/>
      <c r="P4012" s="16"/>
      <c r="Q4012" s="36" t="s">
        <v>43</v>
      </c>
      <c r="R4012" s="13">
        <v>0</v>
      </c>
      <c r="S4012" s="13">
        <v>0</v>
      </c>
      <c r="T4012" s="13">
        <v>914</v>
      </c>
      <c r="U4012" s="13">
        <v>1075</v>
      </c>
      <c r="V4012" s="13">
        <v>0</v>
      </c>
      <c r="W4012" s="37">
        <v>929</v>
      </c>
      <c r="X4012" s="19"/>
      <c r="AG4012" s="16"/>
    </row>
    <row r="4013" spans="2:33">
      <c r="B4013" s="19"/>
      <c r="P4013" s="16"/>
      <c r="Q4013" s="36" t="s">
        <v>44</v>
      </c>
      <c r="R4013" s="13">
        <v>0</v>
      </c>
      <c r="S4013" s="13">
        <v>0</v>
      </c>
      <c r="T4013" s="13">
        <v>0</v>
      </c>
      <c r="U4013" s="13">
        <v>1037</v>
      </c>
      <c r="V4013" s="13">
        <v>1365</v>
      </c>
      <c r="W4013" s="37">
        <v>1130</v>
      </c>
      <c r="X4013" s="19"/>
      <c r="AG4013" s="16"/>
    </row>
    <row r="4014" spans="2:33">
      <c r="B4014" s="19"/>
      <c r="P4014" s="16"/>
      <c r="Q4014" s="36" t="s">
        <v>45</v>
      </c>
      <c r="R4014" s="13">
        <v>0</v>
      </c>
      <c r="S4014" s="13">
        <v>947</v>
      </c>
      <c r="T4014" s="13">
        <v>1129</v>
      </c>
      <c r="U4014" s="13">
        <v>0</v>
      </c>
      <c r="V4014" s="13">
        <v>0</v>
      </c>
      <c r="W4014" s="37">
        <v>1103</v>
      </c>
      <c r="X4014" s="19"/>
      <c r="AG4014" s="16"/>
    </row>
    <row r="4015" spans="2:33" ht="15" thickBot="1">
      <c r="B4015" s="20"/>
      <c r="C4015" s="15"/>
      <c r="D4015" s="15"/>
      <c r="E4015" s="15"/>
      <c r="F4015" s="15"/>
      <c r="G4015" s="15"/>
      <c r="H4015" s="15"/>
      <c r="I4015" s="15"/>
      <c r="J4015" s="15"/>
      <c r="K4015" s="15"/>
      <c r="L4015" s="15"/>
      <c r="M4015" s="15"/>
      <c r="N4015" s="15"/>
      <c r="O4015" s="15"/>
      <c r="P4015" s="17"/>
      <c r="Q4015" s="36" t="s">
        <v>46</v>
      </c>
      <c r="R4015" s="13">
        <v>1011</v>
      </c>
      <c r="S4015" s="13">
        <v>1177</v>
      </c>
      <c r="T4015" s="13">
        <v>0</v>
      </c>
      <c r="U4015" s="13">
        <v>0</v>
      </c>
      <c r="V4015" s="13">
        <v>0</v>
      </c>
      <c r="W4015" s="37">
        <v>1229</v>
      </c>
      <c r="X4015" s="20"/>
      <c r="Y4015" s="15"/>
      <c r="Z4015" s="15"/>
      <c r="AA4015" s="15"/>
      <c r="AB4015" s="15"/>
      <c r="AC4015" s="15"/>
      <c r="AD4015" s="15"/>
      <c r="AE4015" s="15"/>
      <c r="AF4015" s="15"/>
      <c r="AG4015" s="17"/>
    </row>
    <row r="4016" spans="2:33" ht="15" thickBot="1"/>
    <row r="4017" spans="2:33" ht="15" thickBot="1">
      <c r="B4017" s="53" t="s">
        <v>2189</v>
      </c>
      <c r="C4017" s="26" t="s">
        <v>1976</v>
      </c>
      <c r="D4017" s="26" t="s">
        <v>1977</v>
      </c>
      <c r="E4017" s="26" t="s">
        <v>1978</v>
      </c>
      <c r="F4017" s="26" t="s">
        <v>91</v>
      </c>
      <c r="G4017" s="26" t="s">
        <v>33</v>
      </c>
      <c r="H4017" s="27" t="s">
        <v>33</v>
      </c>
      <c r="I4017" s="26" t="s">
        <v>1979</v>
      </c>
      <c r="J4017" s="27" t="s">
        <v>56</v>
      </c>
      <c r="K4017" s="29">
        <v>11</v>
      </c>
      <c r="L4017" s="29">
        <v>11</v>
      </c>
      <c r="M4017" s="29">
        <v>11</v>
      </c>
      <c r="N4017" s="29">
        <v>0</v>
      </c>
      <c r="O4017" s="29">
        <v>0</v>
      </c>
      <c r="P4017" s="40">
        <v>0</v>
      </c>
      <c r="Q4017" s="1" t="s">
        <v>54</v>
      </c>
      <c r="R4017" s="2">
        <v>1588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43">
        <f>SUM(R4017:W4023)</f>
        <v>12005</v>
      </c>
      <c r="Y4017" s="10">
        <v>46204</v>
      </c>
      <c r="Z4017" s="11">
        <v>0.23982933470114767</v>
      </c>
      <c r="AA4017" s="11">
        <v>0.16331488490945434</v>
      </c>
      <c r="AB4017" s="11">
        <v>0.13558926282684883</v>
      </c>
      <c r="AC4017" s="11"/>
      <c r="AD4017" s="11"/>
      <c r="AE4017" s="11"/>
      <c r="AF4017" s="11">
        <v>0.8</v>
      </c>
      <c r="AG4017" s="11">
        <v>0.23899999999999999</v>
      </c>
    </row>
    <row r="4018" spans="2:33">
      <c r="C4018" s="14"/>
      <c r="D4018" s="14"/>
      <c r="E4018" s="14"/>
      <c r="F4018" s="14"/>
      <c r="G4018" s="14"/>
      <c r="H4018" s="14"/>
      <c r="I4018" s="14"/>
      <c r="J4018" s="14"/>
      <c r="K4018" s="14"/>
      <c r="L4018" s="14"/>
      <c r="M4018" s="14"/>
      <c r="N4018" s="14"/>
      <c r="O4018" s="14"/>
      <c r="P4018" s="35"/>
      <c r="Q4018" s="36" t="s">
        <v>1980</v>
      </c>
      <c r="R4018" s="13">
        <v>1072</v>
      </c>
      <c r="S4018" s="13">
        <v>0</v>
      </c>
      <c r="T4018" s="13">
        <v>0</v>
      </c>
      <c r="U4018" s="13">
        <v>0</v>
      </c>
      <c r="V4018" s="13">
        <v>0</v>
      </c>
      <c r="W4018" s="37">
        <v>0</v>
      </c>
      <c r="X4018" s="18"/>
      <c r="Y4018" s="14"/>
      <c r="Z4018" s="14"/>
      <c r="AA4018" s="14"/>
      <c r="AB4018" s="14"/>
      <c r="AC4018" s="14"/>
      <c r="AD4018" s="14"/>
      <c r="AE4018" s="14"/>
      <c r="AF4018" s="14"/>
      <c r="AG4018" s="35"/>
    </row>
    <row r="4019" spans="2:33">
      <c r="B4019" s="19"/>
      <c r="P4019" s="16"/>
      <c r="Q4019" s="36" t="s">
        <v>1893</v>
      </c>
      <c r="R4019" s="13">
        <v>1146</v>
      </c>
      <c r="S4019" s="13">
        <v>0</v>
      </c>
      <c r="T4019" s="13">
        <v>0</v>
      </c>
      <c r="U4019" s="13">
        <v>0</v>
      </c>
      <c r="V4019" s="13">
        <v>0</v>
      </c>
      <c r="W4019" s="37">
        <v>0</v>
      </c>
      <c r="X4019" s="19"/>
      <c r="AG4019" s="16"/>
    </row>
    <row r="4020" spans="2:33">
      <c r="B4020" s="19"/>
      <c r="P4020" s="16"/>
      <c r="Q4020" s="36" t="s">
        <v>1894</v>
      </c>
      <c r="R4020" s="13">
        <v>2151</v>
      </c>
      <c r="S4020" s="13">
        <v>0</v>
      </c>
      <c r="T4020" s="13">
        <v>0</v>
      </c>
      <c r="U4020" s="13">
        <v>0</v>
      </c>
      <c r="V4020" s="13">
        <v>0</v>
      </c>
      <c r="W4020" s="37">
        <v>0</v>
      </c>
      <c r="X4020" s="19"/>
      <c r="AG4020" s="16"/>
    </row>
    <row r="4021" spans="2:33">
      <c r="B4021" s="19"/>
      <c r="P4021" s="16"/>
      <c r="Q4021" s="36" t="s">
        <v>1981</v>
      </c>
      <c r="R4021" s="13">
        <v>2336</v>
      </c>
      <c r="S4021" s="13">
        <v>0</v>
      </c>
      <c r="T4021" s="13">
        <v>0</v>
      </c>
      <c r="U4021" s="13">
        <v>0</v>
      </c>
      <c r="V4021" s="13">
        <v>0</v>
      </c>
      <c r="W4021" s="37">
        <v>0</v>
      </c>
      <c r="X4021" s="19"/>
      <c r="AG4021" s="16"/>
    </row>
    <row r="4022" spans="2:33">
      <c r="B4022" s="19"/>
      <c r="P4022" s="16"/>
      <c r="Q4022" s="36" t="s">
        <v>1982</v>
      </c>
      <c r="R4022" s="13">
        <v>1837</v>
      </c>
      <c r="S4022" s="13">
        <v>0</v>
      </c>
      <c r="T4022" s="13">
        <v>0</v>
      </c>
      <c r="U4022" s="13">
        <v>0</v>
      </c>
      <c r="V4022" s="13">
        <v>0</v>
      </c>
      <c r="W4022" s="37">
        <v>0</v>
      </c>
      <c r="X4022" s="19"/>
      <c r="AG4022" s="16"/>
    </row>
    <row r="4023" spans="2:33" ht="15" thickBot="1">
      <c r="B4023" s="20"/>
      <c r="C4023" s="15"/>
      <c r="D4023" s="15"/>
      <c r="E4023" s="15"/>
      <c r="F4023" s="15"/>
      <c r="G4023" s="15"/>
      <c r="H4023" s="15"/>
      <c r="I4023" s="15"/>
      <c r="J4023" s="15"/>
      <c r="K4023" s="15"/>
      <c r="L4023" s="15"/>
      <c r="M4023" s="15"/>
      <c r="N4023" s="15"/>
      <c r="O4023" s="15"/>
      <c r="P4023" s="17"/>
      <c r="Q4023" s="36" t="s">
        <v>206</v>
      </c>
      <c r="R4023" s="13">
        <v>1875</v>
      </c>
      <c r="S4023" s="13">
        <v>0</v>
      </c>
      <c r="T4023" s="13">
        <v>0</v>
      </c>
      <c r="U4023" s="13">
        <v>0</v>
      </c>
      <c r="V4023" s="13">
        <v>0</v>
      </c>
      <c r="W4023" s="37">
        <v>0</v>
      </c>
      <c r="X4023" s="20"/>
      <c r="Y4023" s="15"/>
      <c r="Z4023" s="15"/>
      <c r="AA4023" s="15"/>
      <c r="AB4023" s="15"/>
      <c r="AC4023" s="15"/>
      <c r="AD4023" s="15"/>
      <c r="AE4023" s="15"/>
      <c r="AF4023" s="15"/>
      <c r="AG4023" s="17"/>
    </row>
    <row r="4024" spans="2:33">
      <c r="Q4024" s="36"/>
      <c r="W4024" s="37"/>
    </row>
    <row r="4025" spans="2:33" ht="15" thickBot="1">
      <c r="B4025" s="25" t="s">
        <v>1983</v>
      </c>
      <c r="C4025" s="26" t="s">
        <v>1592</v>
      </c>
      <c r="D4025" s="26" t="s">
        <v>1593</v>
      </c>
      <c r="E4025" s="26" t="s">
        <v>1594</v>
      </c>
      <c r="F4025" s="26" t="s">
        <v>1595</v>
      </c>
      <c r="G4025" s="26" t="s">
        <v>1596</v>
      </c>
      <c r="H4025" s="27" t="s">
        <v>33</v>
      </c>
      <c r="I4025" s="26" t="s">
        <v>1597</v>
      </c>
      <c r="J4025" s="27" t="s">
        <v>87</v>
      </c>
      <c r="K4025" s="29">
        <v>12</v>
      </c>
      <c r="L4025" s="29">
        <v>12</v>
      </c>
      <c r="M4025" s="29">
        <v>12</v>
      </c>
      <c r="N4025" s="29">
        <v>12</v>
      </c>
      <c r="O4025" s="29">
        <v>12</v>
      </c>
      <c r="P4025" s="40">
        <v>15.0100002288818</v>
      </c>
      <c r="Q4025" s="1" t="s">
        <v>35</v>
      </c>
      <c r="R4025" s="2">
        <v>865.90997314453125</v>
      </c>
      <c r="S4025" s="2">
        <v>665.07000732421875</v>
      </c>
      <c r="T4025" s="2">
        <v>0</v>
      </c>
      <c r="U4025" s="2">
        <v>0</v>
      </c>
      <c r="V4025" s="2">
        <v>0</v>
      </c>
      <c r="W4025" s="2">
        <v>1770.8800048828125</v>
      </c>
      <c r="X4025" s="43">
        <f>SUM(R4025:W4038)</f>
        <v>21638.990081787109</v>
      </c>
      <c r="Y4025" s="10">
        <v>46204</v>
      </c>
      <c r="Z4025" s="11">
        <v>0.22006544792690355</v>
      </c>
      <c r="AA4025" s="11">
        <v>0.18365562595538923</v>
      </c>
      <c r="AB4025" s="11">
        <v>0.14818158165541137</v>
      </c>
      <c r="AC4025" s="11">
        <v>0.12966347363538697</v>
      </c>
      <c r="AD4025" s="11">
        <v>0.11539190904646569</v>
      </c>
      <c r="AE4025" s="11">
        <v>0.13241150648167116</v>
      </c>
      <c r="AF4025" s="11">
        <v>1.1100000000000001</v>
      </c>
      <c r="AG4025" s="11">
        <v>0.23899999999999999</v>
      </c>
    </row>
    <row r="4026" spans="2:33">
      <c r="B4026" s="18"/>
      <c r="C4026" s="14"/>
      <c r="D4026" s="14"/>
      <c r="E4026" s="14"/>
      <c r="F4026" s="14"/>
      <c r="G4026" s="14"/>
      <c r="H4026" s="14"/>
      <c r="I4026" s="14"/>
      <c r="J4026" s="14"/>
      <c r="K4026" s="14"/>
      <c r="L4026" s="14"/>
      <c r="M4026" s="14"/>
      <c r="N4026" s="14"/>
      <c r="O4026" s="14"/>
      <c r="P4026" s="35"/>
      <c r="Q4026" s="36" t="s">
        <v>36</v>
      </c>
      <c r="R4026" s="13">
        <v>504.29998779296875</v>
      </c>
      <c r="S4026" s="13">
        <v>359.67999267578125</v>
      </c>
      <c r="T4026" s="13">
        <v>0</v>
      </c>
      <c r="U4026" s="13">
        <v>0</v>
      </c>
      <c r="V4026" s="13">
        <v>0</v>
      </c>
      <c r="W4026" s="37">
        <v>1112.6400146484375</v>
      </c>
      <c r="X4026" s="18"/>
      <c r="Y4026" s="14"/>
      <c r="Z4026" s="14"/>
      <c r="AA4026" s="14"/>
      <c r="AB4026" s="14"/>
      <c r="AC4026" s="14"/>
      <c r="AD4026" s="14"/>
      <c r="AE4026" s="14"/>
      <c r="AF4026" s="14"/>
      <c r="AG4026" s="35"/>
    </row>
    <row r="4027" spans="2:33">
      <c r="B4027" s="19"/>
      <c r="P4027" s="16"/>
      <c r="Q4027" s="36" t="s">
        <v>37</v>
      </c>
      <c r="R4027" s="13">
        <v>0</v>
      </c>
      <c r="S4027" s="13">
        <v>608.20001220703125</v>
      </c>
      <c r="T4027" s="13">
        <v>520.32000732421875</v>
      </c>
      <c r="U4027" s="13">
        <v>0</v>
      </c>
      <c r="V4027" s="13">
        <v>0</v>
      </c>
      <c r="W4027" s="37">
        <v>1372.800048828125</v>
      </c>
      <c r="X4027" s="19"/>
      <c r="AG4027" s="16"/>
    </row>
    <row r="4028" spans="2:33">
      <c r="B4028" s="19"/>
      <c r="P4028" s="16"/>
      <c r="Q4028" s="36" t="s">
        <v>38</v>
      </c>
      <c r="R4028" s="13">
        <v>0</v>
      </c>
      <c r="S4028" s="13">
        <v>0</v>
      </c>
      <c r="T4028" s="13">
        <v>0</v>
      </c>
      <c r="U4028" s="13">
        <v>371.95999145507813</v>
      </c>
      <c r="V4028" s="13">
        <v>258.239990234375</v>
      </c>
      <c r="W4028" s="37">
        <v>699.71002197265625</v>
      </c>
      <c r="X4028" s="19"/>
      <c r="AG4028" s="16"/>
    </row>
    <row r="4029" spans="2:33">
      <c r="B4029" s="19"/>
      <c r="P4029" s="16"/>
      <c r="Q4029" s="36" t="s">
        <v>39</v>
      </c>
      <c r="R4029" s="13">
        <v>0</v>
      </c>
      <c r="S4029" s="13">
        <v>0</v>
      </c>
      <c r="T4029" s="13">
        <v>0</v>
      </c>
      <c r="U4029" s="13">
        <v>280.3699951171875</v>
      </c>
      <c r="V4029" s="13">
        <v>231.07000732421875</v>
      </c>
      <c r="W4029" s="37">
        <v>750.84002685546875</v>
      </c>
      <c r="X4029" s="19"/>
      <c r="AG4029" s="16"/>
    </row>
    <row r="4030" spans="2:33">
      <c r="B4030" s="19"/>
      <c r="P4030" s="16"/>
      <c r="Q4030" s="36" t="s">
        <v>1598</v>
      </c>
      <c r="R4030" s="13">
        <v>0</v>
      </c>
      <c r="S4030" s="13">
        <v>0</v>
      </c>
      <c r="T4030" s="13">
        <v>178</v>
      </c>
      <c r="U4030" s="13">
        <v>157</v>
      </c>
      <c r="V4030" s="13">
        <v>0</v>
      </c>
      <c r="W4030" s="37">
        <v>521</v>
      </c>
      <c r="X4030" s="19"/>
      <c r="AG4030" s="16"/>
    </row>
    <row r="4031" spans="2:33">
      <c r="B4031" s="19"/>
      <c r="P4031" s="16"/>
      <c r="Q4031" s="36" t="s">
        <v>1599</v>
      </c>
      <c r="R4031" s="13">
        <v>0</v>
      </c>
      <c r="S4031" s="13">
        <v>0</v>
      </c>
      <c r="T4031" s="13">
        <v>37</v>
      </c>
      <c r="U4031" s="13">
        <v>41</v>
      </c>
      <c r="V4031" s="13">
        <v>0</v>
      </c>
      <c r="W4031" s="37">
        <v>129</v>
      </c>
      <c r="X4031" s="19"/>
      <c r="AG4031" s="16"/>
    </row>
    <row r="4032" spans="2:33">
      <c r="B4032" s="19"/>
      <c r="P4032" s="16"/>
      <c r="Q4032" s="36" t="s">
        <v>41</v>
      </c>
      <c r="R4032" s="13">
        <v>136</v>
      </c>
      <c r="S4032" s="13">
        <v>132</v>
      </c>
      <c r="T4032" s="13">
        <v>0</v>
      </c>
      <c r="U4032" s="13">
        <v>0</v>
      </c>
      <c r="V4032" s="13">
        <v>0</v>
      </c>
      <c r="W4032" s="37">
        <v>506</v>
      </c>
      <c r="X4032" s="19"/>
      <c r="AG4032" s="16"/>
    </row>
    <row r="4033" spans="2:33">
      <c r="B4033" s="19"/>
      <c r="P4033" s="16"/>
      <c r="Q4033" s="36" t="s">
        <v>42</v>
      </c>
      <c r="R4033" s="13">
        <v>0</v>
      </c>
      <c r="S4033" s="13">
        <v>0</v>
      </c>
      <c r="T4033" s="13">
        <v>122</v>
      </c>
      <c r="U4033" s="13">
        <v>127</v>
      </c>
      <c r="V4033" s="13">
        <v>0</v>
      </c>
      <c r="W4033" s="37">
        <v>399</v>
      </c>
      <c r="X4033" s="19"/>
      <c r="AG4033" s="16"/>
    </row>
    <row r="4034" spans="2:33">
      <c r="B4034" s="19"/>
      <c r="P4034" s="16"/>
      <c r="Q4034" s="36" t="s">
        <v>43</v>
      </c>
      <c r="R4034" s="13">
        <v>0</v>
      </c>
      <c r="S4034" s="13">
        <v>0</v>
      </c>
      <c r="T4034" s="13">
        <v>260</v>
      </c>
      <c r="U4034" s="13">
        <v>179</v>
      </c>
      <c r="V4034" s="13">
        <v>0</v>
      </c>
      <c r="W4034" s="37">
        <v>630</v>
      </c>
      <c r="X4034" s="19"/>
      <c r="AG4034" s="16"/>
    </row>
    <row r="4035" spans="2:33">
      <c r="B4035" s="19"/>
      <c r="P4035" s="16"/>
      <c r="Q4035" s="36" t="s">
        <v>44</v>
      </c>
      <c r="R4035" s="13">
        <v>0</v>
      </c>
      <c r="S4035" s="13">
        <v>0</v>
      </c>
      <c r="T4035" s="13">
        <v>0</v>
      </c>
      <c r="U4035" s="13">
        <v>450</v>
      </c>
      <c r="V4035" s="13">
        <v>295</v>
      </c>
      <c r="W4035" s="37">
        <v>606</v>
      </c>
      <c r="X4035" s="19"/>
      <c r="AG4035" s="16"/>
    </row>
    <row r="4036" spans="2:33">
      <c r="B4036" s="19"/>
      <c r="P4036" s="16"/>
      <c r="Q4036" s="36" t="s">
        <v>45</v>
      </c>
      <c r="R4036" s="13">
        <v>0</v>
      </c>
      <c r="S4036" s="13">
        <v>871</v>
      </c>
      <c r="T4036" s="13">
        <v>675</v>
      </c>
      <c r="U4036" s="13">
        <v>0</v>
      </c>
      <c r="V4036" s="13">
        <v>0</v>
      </c>
      <c r="W4036" s="37">
        <v>1449</v>
      </c>
      <c r="X4036" s="19"/>
      <c r="AG4036" s="16"/>
    </row>
    <row r="4037" spans="2:33">
      <c r="B4037" s="19"/>
      <c r="P4037" s="16"/>
      <c r="Q4037" s="36" t="s">
        <v>1600</v>
      </c>
      <c r="R4037" s="13">
        <v>165</v>
      </c>
      <c r="S4037" s="13">
        <v>154</v>
      </c>
      <c r="T4037" s="13">
        <v>0</v>
      </c>
      <c r="U4037" s="13">
        <v>0</v>
      </c>
      <c r="V4037" s="13">
        <v>0</v>
      </c>
      <c r="W4037" s="37">
        <v>141</v>
      </c>
      <c r="X4037" s="19"/>
      <c r="AG4037" s="16"/>
    </row>
    <row r="4038" spans="2:33" ht="15" thickBot="1">
      <c r="B4038" s="20"/>
      <c r="C4038" s="15"/>
      <c r="D4038" s="15"/>
      <c r="E4038" s="15"/>
      <c r="F4038" s="15"/>
      <c r="G4038" s="15"/>
      <c r="H4038" s="15"/>
      <c r="I4038" s="15"/>
      <c r="J4038" s="15"/>
      <c r="K4038" s="15"/>
      <c r="L4038" s="15"/>
      <c r="M4038" s="15"/>
      <c r="N4038" s="15"/>
      <c r="O4038" s="15"/>
      <c r="P4038" s="17"/>
      <c r="Q4038" s="36" t="s">
        <v>1601</v>
      </c>
      <c r="R4038" s="13">
        <v>900</v>
      </c>
      <c r="S4038" s="13">
        <v>632</v>
      </c>
      <c r="T4038" s="13">
        <v>0</v>
      </c>
      <c r="U4038" s="13">
        <v>0</v>
      </c>
      <c r="V4038" s="13">
        <v>0</v>
      </c>
      <c r="W4038" s="37">
        <v>1375</v>
      </c>
      <c r="X4038" s="20"/>
      <c r="Y4038" s="15"/>
      <c r="Z4038" s="15"/>
      <c r="AA4038" s="15"/>
      <c r="AB4038" s="15"/>
      <c r="AC4038" s="15"/>
      <c r="AD4038" s="15"/>
      <c r="AE4038" s="15"/>
      <c r="AF4038" s="15"/>
      <c r="AG4038" s="17"/>
    </row>
    <row r="4040" spans="2:33" ht="15" thickBot="1">
      <c r="B4040" s="25" t="s">
        <v>1983</v>
      </c>
      <c r="C4040" s="26" t="s">
        <v>1592</v>
      </c>
      <c r="D4040" s="26" t="s">
        <v>1984</v>
      </c>
      <c r="E4040" s="26" t="s">
        <v>1985</v>
      </c>
      <c r="F4040" s="26" t="s">
        <v>1986</v>
      </c>
      <c r="G4040" s="26" t="s">
        <v>106</v>
      </c>
      <c r="H4040" s="27" t="s">
        <v>33</v>
      </c>
      <c r="I4040" s="26" t="s">
        <v>1987</v>
      </c>
      <c r="J4040" s="27" t="s">
        <v>87</v>
      </c>
      <c r="K4040" s="29">
        <v>15</v>
      </c>
      <c r="L4040" s="29">
        <v>15</v>
      </c>
      <c r="M4040" s="29">
        <v>15</v>
      </c>
      <c r="N4040" s="29">
        <v>15</v>
      </c>
      <c r="O4040" s="29">
        <v>15</v>
      </c>
      <c r="P4040" s="40">
        <v>15.1000003814697</v>
      </c>
      <c r="Q4040" s="1" t="s">
        <v>35</v>
      </c>
      <c r="R4040" s="2">
        <v>1488</v>
      </c>
      <c r="S4040" s="2">
        <v>1008</v>
      </c>
      <c r="T4040" s="2">
        <v>0</v>
      </c>
      <c r="U4040" s="2">
        <v>0</v>
      </c>
      <c r="V4040" s="2">
        <v>0</v>
      </c>
      <c r="W4040" s="2">
        <v>2794</v>
      </c>
      <c r="X4040" s="43">
        <f>SUM(R4040:W4052)</f>
        <v>48905</v>
      </c>
      <c r="Y4040" s="10">
        <v>46204</v>
      </c>
      <c r="Z4040" s="11">
        <v>0.22006544792690355</v>
      </c>
      <c r="AA4040" s="11">
        <v>0.18365562595538923</v>
      </c>
      <c r="AB4040" s="11">
        <v>0.14818158165541137</v>
      </c>
      <c r="AC4040" s="11">
        <v>0.12966347363538697</v>
      </c>
      <c r="AD4040" s="11">
        <v>0.11539190904646569</v>
      </c>
      <c r="AE4040" s="11">
        <v>0.13241150648167116</v>
      </c>
      <c r="AF4040" s="11">
        <v>1.1100000000000001</v>
      </c>
      <c r="AG4040" s="11">
        <v>0.23899999999999999</v>
      </c>
    </row>
    <row r="4041" spans="2:33">
      <c r="B4041" s="18"/>
      <c r="C4041" s="14"/>
      <c r="D4041" s="14"/>
      <c r="E4041" s="14"/>
      <c r="F4041" s="14"/>
      <c r="G4041" s="14"/>
      <c r="H4041" s="14"/>
      <c r="I4041" s="14"/>
      <c r="J4041" s="14"/>
      <c r="K4041" s="14"/>
      <c r="L4041" s="14"/>
      <c r="M4041" s="14"/>
      <c r="N4041" s="14"/>
      <c r="O4041" s="14"/>
      <c r="P4041" s="35"/>
      <c r="Q4041" s="36" t="s">
        <v>36</v>
      </c>
      <c r="R4041" s="13">
        <v>1188</v>
      </c>
      <c r="S4041" s="13">
        <v>761</v>
      </c>
      <c r="T4041" s="13">
        <v>0</v>
      </c>
      <c r="U4041" s="13">
        <v>0</v>
      </c>
      <c r="V4041" s="13">
        <v>0</v>
      </c>
      <c r="W4041" s="37">
        <v>1883</v>
      </c>
      <c r="X4041" s="18"/>
      <c r="Y4041" s="14"/>
      <c r="Z4041" s="14"/>
      <c r="AA4041" s="14"/>
      <c r="AB4041" s="14"/>
      <c r="AC4041" s="14"/>
      <c r="AD4041" s="14"/>
      <c r="AE4041" s="14"/>
      <c r="AF4041" s="14"/>
      <c r="AG4041" s="35"/>
    </row>
    <row r="4042" spans="2:33">
      <c r="B4042" s="19"/>
      <c r="P4042" s="16"/>
      <c r="Q4042" s="36" t="s">
        <v>37</v>
      </c>
      <c r="R4042" s="13">
        <v>0</v>
      </c>
      <c r="S4042" s="13">
        <v>1170</v>
      </c>
      <c r="T4042" s="13">
        <v>778</v>
      </c>
      <c r="U4042" s="13">
        <v>0</v>
      </c>
      <c r="V4042" s="13">
        <v>0</v>
      </c>
      <c r="W4042" s="37">
        <v>2364</v>
      </c>
      <c r="X4042" s="19"/>
      <c r="AG4042" s="16"/>
    </row>
    <row r="4043" spans="2:33">
      <c r="B4043" s="19"/>
      <c r="P4043" s="16"/>
      <c r="Q4043" s="36" t="s">
        <v>38</v>
      </c>
      <c r="R4043" s="13">
        <v>0</v>
      </c>
      <c r="S4043" s="13">
        <v>0</v>
      </c>
      <c r="T4043" s="13">
        <v>0</v>
      </c>
      <c r="U4043" s="13">
        <v>979</v>
      </c>
      <c r="V4043" s="13">
        <v>688</v>
      </c>
      <c r="W4043" s="37">
        <v>1516</v>
      </c>
      <c r="X4043" s="19"/>
      <c r="AG4043" s="16"/>
    </row>
    <row r="4044" spans="2:33">
      <c r="B4044" s="19"/>
      <c r="P4044" s="16"/>
      <c r="Q4044" s="36" t="s">
        <v>39</v>
      </c>
      <c r="R4044" s="13">
        <v>0</v>
      </c>
      <c r="S4044" s="13">
        <v>0</v>
      </c>
      <c r="T4044" s="13">
        <v>0</v>
      </c>
      <c r="U4044" s="13">
        <v>920</v>
      </c>
      <c r="V4044" s="13">
        <v>671</v>
      </c>
      <c r="W4044" s="37">
        <v>1552</v>
      </c>
      <c r="X4044" s="19"/>
      <c r="AG4044" s="16"/>
    </row>
    <row r="4045" spans="2:33">
      <c r="B4045" s="19"/>
      <c r="P4045" s="16"/>
      <c r="Q4045" s="36" t="s">
        <v>1598</v>
      </c>
      <c r="R4045" s="13">
        <v>0</v>
      </c>
      <c r="S4045" s="13">
        <v>0</v>
      </c>
      <c r="T4045" s="13">
        <v>871</v>
      </c>
      <c r="U4045" s="13">
        <v>658</v>
      </c>
      <c r="V4045" s="13">
        <v>0</v>
      </c>
      <c r="W4045" s="37">
        <v>1459</v>
      </c>
      <c r="X4045" s="19"/>
      <c r="AG4045" s="16"/>
    </row>
    <row r="4046" spans="2:33">
      <c r="B4046" s="19"/>
      <c r="P4046" s="16"/>
      <c r="Q4046" s="36" t="s">
        <v>1599</v>
      </c>
      <c r="R4046" s="13">
        <v>0</v>
      </c>
      <c r="S4046" s="13">
        <v>0</v>
      </c>
      <c r="T4046" s="13">
        <v>391</v>
      </c>
      <c r="U4046" s="13">
        <v>302</v>
      </c>
      <c r="V4046" s="13">
        <v>0</v>
      </c>
      <c r="W4046" s="37">
        <v>572</v>
      </c>
      <c r="X4046" s="19"/>
      <c r="AG4046" s="16"/>
    </row>
    <row r="4047" spans="2:33">
      <c r="B4047" s="19"/>
      <c r="P4047" s="16"/>
      <c r="Q4047" s="36" t="s">
        <v>41</v>
      </c>
      <c r="R4047" s="13">
        <v>1506</v>
      </c>
      <c r="S4047" s="13">
        <v>1172</v>
      </c>
      <c r="T4047" s="13">
        <v>0</v>
      </c>
      <c r="U4047" s="13">
        <v>0</v>
      </c>
      <c r="V4047" s="13">
        <v>0</v>
      </c>
      <c r="W4047" s="37">
        <v>2057</v>
      </c>
      <c r="X4047" s="19"/>
      <c r="AG4047" s="16"/>
    </row>
    <row r="4048" spans="2:33">
      <c r="B4048" s="19"/>
      <c r="P4048" s="16"/>
      <c r="Q4048" s="36" t="s">
        <v>42</v>
      </c>
      <c r="R4048" s="13">
        <v>0</v>
      </c>
      <c r="S4048" s="13">
        <v>0</v>
      </c>
      <c r="T4048" s="13">
        <v>1382</v>
      </c>
      <c r="U4048" s="13">
        <v>1117</v>
      </c>
      <c r="V4048" s="13">
        <v>0</v>
      </c>
      <c r="W4048" s="37">
        <v>2660</v>
      </c>
      <c r="X4048" s="19"/>
      <c r="AG4048" s="16"/>
    </row>
    <row r="4049" spans="2:33">
      <c r="B4049" s="19"/>
      <c r="P4049" s="16"/>
      <c r="Q4049" s="36" t="s">
        <v>43</v>
      </c>
      <c r="R4049" s="13">
        <v>0</v>
      </c>
      <c r="S4049" s="13">
        <v>0</v>
      </c>
      <c r="T4049" s="13">
        <v>1106</v>
      </c>
      <c r="U4049" s="13">
        <v>860</v>
      </c>
      <c r="V4049" s="13">
        <v>0</v>
      </c>
      <c r="W4049" s="37">
        <v>1500</v>
      </c>
      <c r="X4049" s="19"/>
      <c r="AG4049" s="16"/>
    </row>
    <row r="4050" spans="2:33">
      <c r="B4050" s="19"/>
      <c r="P4050" s="16"/>
      <c r="Q4050" s="36" t="s">
        <v>44</v>
      </c>
      <c r="R4050" s="13">
        <v>0</v>
      </c>
      <c r="S4050" s="13">
        <v>0</v>
      </c>
      <c r="T4050" s="13">
        <v>0</v>
      </c>
      <c r="U4050" s="13">
        <v>966</v>
      </c>
      <c r="V4050" s="13">
        <v>725</v>
      </c>
      <c r="W4050" s="37">
        <v>1512</v>
      </c>
      <c r="X4050" s="19"/>
      <c r="AG4050" s="16"/>
    </row>
    <row r="4051" spans="2:33">
      <c r="B4051" s="19"/>
      <c r="P4051" s="16"/>
      <c r="Q4051" s="36" t="s">
        <v>45</v>
      </c>
      <c r="R4051" s="13">
        <v>0</v>
      </c>
      <c r="S4051" s="13">
        <v>1093</v>
      </c>
      <c r="T4051" s="13">
        <v>716</v>
      </c>
      <c r="U4051" s="13">
        <v>0</v>
      </c>
      <c r="V4051" s="13">
        <v>0</v>
      </c>
      <c r="W4051" s="37">
        <v>1772</v>
      </c>
      <c r="X4051" s="19"/>
      <c r="AG4051" s="16"/>
    </row>
    <row r="4052" spans="2:33" ht="15" thickBot="1">
      <c r="B4052" s="20"/>
      <c r="C4052" s="15"/>
      <c r="D4052" s="15"/>
      <c r="E4052" s="15"/>
      <c r="F4052" s="15"/>
      <c r="G4052" s="15"/>
      <c r="H4052" s="15"/>
      <c r="I4052" s="15"/>
      <c r="J4052" s="15"/>
      <c r="K4052" s="15"/>
      <c r="L4052" s="15"/>
      <c r="M4052" s="15"/>
      <c r="N4052" s="15"/>
      <c r="O4052" s="15"/>
      <c r="P4052" s="17"/>
      <c r="Q4052" s="36" t="s">
        <v>46</v>
      </c>
      <c r="R4052" s="13">
        <v>1332</v>
      </c>
      <c r="S4052" s="13">
        <v>908</v>
      </c>
      <c r="T4052" s="13">
        <v>0</v>
      </c>
      <c r="U4052" s="13">
        <v>0</v>
      </c>
      <c r="V4052" s="13">
        <v>0</v>
      </c>
      <c r="W4052" s="37">
        <v>2508</v>
      </c>
      <c r="X4052" s="20"/>
      <c r="Y4052" s="15"/>
      <c r="Z4052" s="15"/>
      <c r="AA4052" s="15"/>
      <c r="AB4052" s="15"/>
      <c r="AC4052" s="15"/>
      <c r="AD4052" s="15"/>
      <c r="AE4052" s="15"/>
      <c r="AF4052" s="15"/>
      <c r="AG4052" s="17"/>
    </row>
    <row r="4053" spans="2:33" ht="15" thickBot="1"/>
    <row r="4054" spans="2:33" ht="15" thickBot="1">
      <c r="B4054" s="53" t="s">
        <v>2191</v>
      </c>
      <c r="C4054" s="26" t="s">
        <v>1988</v>
      </c>
      <c r="D4054" s="26" t="s">
        <v>1989</v>
      </c>
      <c r="E4054" s="26" t="s">
        <v>1990</v>
      </c>
      <c r="F4054" s="26" t="s">
        <v>1991</v>
      </c>
      <c r="G4054" s="26" t="s">
        <v>1992</v>
      </c>
      <c r="H4054" s="27" t="s">
        <v>108</v>
      </c>
      <c r="I4054" s="26" t="s">
        <v>1993</v>
      </c>
      <c r="J4054" s="27" t="s">
        <v>87</v>
      </c>
      <c r="K4054" s="29">
        <v>35</v>
      </c>
      <c r="L4054" s="29">
        <v>35</v>
      </c>
      <c r="M4054" s="29">
        <v>35</v>
      </c>
      <c r="N4054" s="29">
        <v>35</v>
      </c>
      <c r="O4054" s="29">
        <v>35</v>
      </c>
      <c r="P4054" s="40">
        <v>75</v>
      </c>
      <c r="Q4054" s="1" t="s">
        <v>35</v>
      </c>
      <c r="R4054" s="2">
        <v>4932</v>
      </c>
      <c r="S4054" s="2">
        <v>3882</v>
      </c>
      <c r="T4054" s="2">
        <v>0</v>
      </c>
      <c r="U4054" s="2">
        <v>0</v>
      </c>
      <c r="V4054" s="2">
        <v>0</v>
      </c>
      <c r="W4054" s="2">
        <v>5981</v>
      </c>
      <c r="X4054" s="43">
        <f>SUM(R4054:W4068)</f>
        <v>187032</v>
      </c>
      <c r="Y4054" s="10">
        <v>46204</v>
      </c>
      <c r="Z4054" s="11">
        <v>0.21915174234314722</v>
      </c>
      <c r="AA4054" s="11">
        <v>0.18274192037163289</v>
      </c>
      <c r="AB4054" s="11">
        <v>0.14726787607165501</v>
      </c>
      <c r="AC4054" s="11">
        <v>0.1287497680516306</v>
      </c>
      <c r="AD4054" s="11">
        <v>0.11447820346270936</v>
      </c>
      <c r="AE4054" s="11">
        <v>0.13149780089791482</v>
      </c>
      <c r="AF4054" s="11">
        <v>0.3</v>
      </c>
      <c r="AG4054" s="11">
        <v>0.23899999999999999</v>
      </c>
    </row>
    <row r="4055" spans="2:33">
      <c r="C4055" s="14"/>
      <c r="D4055" s="14"/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4"/>
      <c r="P4055" s="35"/>
      <c r="Q4055" s="36" t="s">
        <v>36</v>
      </c>
      <c r="R4055" s="13">
        <v>4839</v>
      </c>
      <c r="S4055" s="13">
        <v>3914</v>
      </c>
      <c r="T4055" s="13">
        <v>0</v>
      </c>
      <c r="U4055" s="13">
        <v>0</v>
      </c>
      <c r="V4055" s="13">
        <v>0</v>
      </c>
      <c r="W4055" s="37">
        <v>6367</v>
      </c>
      <c r="X4055" s="18"/>
      <c r="Y4055" s="14"/>
      <c r="Z4055" s="14"/>
      <c r="AA4055" s="14"/>
      <c r="AB4055" s="14"/>
      <c r="AC4055" s="14"/>
      <c r="AD4055" s="14"/>
      <c r="AE4055" s="14"/>
      <c r="AF4055" s="14"/>
      <c r="AG4055" s="35"/>
    </row>
    <row r="4056" spans="2:33">
      <c r="B4056" s="19"/>
      <c r="P4056" s="16"/>
      <c r="Q4056" s="36" t="s">
        <v>37</v>
      </c>
      <c r="R4056" s="13">
        <v>0</v>
      </c>
      <c r="S4056" s="13">
        <v>4670</v>
      </c>
      <c r="T4056" s="13">
        <v>4148</v>
      </c>
      <c r="U4056" s="13">
        <v>0</v>
      </c>
      <c r="V4056" s="13">
        <v>0</v>
      </c>
      <c r="W4056" s="37">
        <v>7773</v>
      </c>
      <c r="X4056" s="19"/>
      <c r="AG4056" s="16"/>
    </row>
    <row r="4057" spans="2:33">
      <c r="B4057" s="19"/>
      <c r="P4057" s="16"/>
      <c r="Q4057" s="36" t="s">
        <v>38</v>
      </c>
      <c r="R4057" s="13">
        <v>0</v>
      </c>
      <c r="S4057" s="13">
        <v>0</v>
      </c>
      <c r="T4057" s="13">
        <v>0</v>
      </c>
      <c r="U4057" s="13">
        <v>3921</v>
      </c>
      <c r="V4057" s="13">
        <v>3301</v>
      </c>
      <c r="W4057" s="37">
        <v>6357</v>
      </c>
      <c r="X4057" s="19"/>
      <c r="AG4057" s="16"/>
    </row>
    <row r="4058" spans="2:33">
      <c r="B4058" s="19"/>
      <c r="P4058" s="16"/>
      <c r="Q4058" s="36" t="s">
        <v>39</v>
      </c>
      <c r="R4058" s="13">
        <v>0</v>
      </c>
      <c r="S4058" s="13">
        <v>0</v>
      </c>
      <c r="T4058" s="13">
        <v>0</v>
      </c>
      <c r="U4058" s="13">
        <v>3965</v>
      </c>
      <c r="V4058" s="13">
        <v>3473</v>
      </c>
      <c r="W4058" s="37">
        <v>7050</v>
      </c>
      <c r="X4058" s="19"/>
      <c r="AG4058" s="16"/>
    </row>
    <row r="4059" spans="2:33">
      <c r="B4059" s="19"/>
      <c r="P4059" s="16"/>
      <c r="Q4059" s="36" t="s">
        <v>40</v>
      </c>
      <c r="R4059" s="13">
        <v>0</v>
      </c>
      <c r="S4059" s="13">
        <v>0</v>
      </c>
      <c r="T4059" s="13">
        <v>4596</v>
      </c>
      <c r="U4059" s="13">
        <v>4136</v>
      </c>
      <c r="V4059" s="13">
        <v>0</v>
      </c>
      <c r="W4059" s="37">
        <v>7610</v>
      </c>
      <c r="X4059" s="19"/>
      <c r="AG4059" s="16"/>
    </row>
    <row r="4060" spans="2:33">
      <c r="B4060" s="19"/>
      <c r="P4060" s="16"/>
      <c r="Q4060" s="36" t="s">
        <v>438</v>
      </c>
      <c r="R4060" s="13">
        <v>2282</v>
      </c>
      <c r="S4060" s="13">
        <v>1948</v>
      </c>
      <c r="T4060" s="13">
        <v>0</v>
      </c>
      <c r="U4060" s="13">
        <v>0</v>
      </c>
      <c r="V4060" s="13">
        <v>0</v>
      </c>
      <c r="W4060" s="37">
        <v>2612</v>
      </c>
      <c r="X4060" s="19"/>
      <c r="AG4060" s="16"/>
    </row>
    <row r="4061" spans="2:33">
      <c r="B4061" s="19"/>
      <c r="P4061" s="16"/>
      <c r="Q4061" s="36" t="s">
        <v>447</v>
      </c>
      <c r="R4061" s="13">
        <v>3225</v>
      </c>
      <c r="S4061" s="13">
        <v>2933</v>
      </c>
      <c r="T4061" s="13">
        <v>0</v>
      </c>
      <c r="U4061" s="13">
        <v>0</v>
      </c>
      <c r="V4061" s="13">
        <v>0</v>
      </c>
      <c r="W4061" s="37">
        <v>5032</v>
      </c>
      <c r="X4061" s="19"/>
      <c r="AG4061" s="16"/>
    </row>
    <row r="4062" spans="2:33">
      <c r="B4062" s="19"/>
      <c r="P4062" s="16"/>
      <c r="Q4062" s="36" t="s">
        <v>42</v>
      </c>
      <c r="R4062" s="13">
        <v>0</v>
      </c>
      <c r="S4062" s="13">
        <v>0</v>
      </c>
      <c r="T4062" s="13">
        <v>4441</v>
      </c>
      <c r="U4062" s="13">
        <v>4110</v>
      </c>
      <c r="V4062" s="13">
        <v>0</v>
      </c>
      <c r="W4062" s="37">
        <v>7567</v>
      </c>
      <c r="X4062" s="19"/>
      <c r="AG4062" s="16"/>
    </row>
    <row r="4063" spans="2:33">
      <c r="B4063" s="19"/>
      <c r="P4063" s="16"/>
      <c r="Q4063" s="36" t="s">
        <v>1994</v>
      </c>
      <c r="R4063" s="13">
        <v>0</v>
      </c>
      <c r="S4063" s="13">
        <v>0</v>
      </c>
      <c r="T4063" s="13">
        <v>4487</v>
      </c>
      <c r="U4063" s="13">
        <v>4369</v>
      </c>
      <c r="V4063" s="13">
        <v>0</v>
      </c>
      <c r="W4063" s="37">
        <v>6812</v>
      </c>
      <c r="X4063" s="19"/>
      <c r="AG4063" s="16"/>
    </row>
    <row r="4064" spans="2:33">
      <c r="B4064" s="19"/>
      <c r="P4064" s="16"/>
      <c r="Q4064" s="36" t="s">
        <v>1995</v>
      </c>
      <c r="R4064" s="13">
        <v>0</v>
      </c>
      <c r="S4064" s="13">
        <v>0</v>
      </c>
      <c r="T4064" s="13">
        <v>174</v>
      </c>
      <c r="U4064" s="13">
        <v>195</v>
      </c>
      <c r="V4064" s="13">
        <v>0</v>
      </c>
      <c r="W4064" s="37">
        <v>180</v>
      </c>
      <c r="X4064" s="19"/>
      <c r="AG4064" s="16"/>
    </row>
    <row r="4065" spans="2:33">
      <c r="B4065" s="19"/>
      <c r="P4065" s="16"/>
      <c r="Q4065" s="36" t="s">
        <v>1996</v>
      </c>
      <c r="R4065" s="13">
        <v>0</v>
      </c>
      <c r="S4065" s="13">
        <v>0</v>
      </c>
      <c r="T4065" s="13">
        <v>0</v>
      </c>
      <c r="U4065" s="13">
        <v>3288</v>
      </c>
      <c r="V4065" s="13">
        <v>3117</v>
      </c>
      <c r="W4065" s="37">
        <v>4758</v>
      </c>
      <c r="X4065" s="19"/>
      <c r="AG4065" s="16"/>
    </row>
    <row r="4066" spans="2:33">
      <c r="B4066" s="19"/>
      <c r="P4066" s="16"/>
      <c r="Q4066" s="36" t="s">
        <v>1997</v>
      </c>
      <c r="R4066" s="13">
        <v>0</v>
      </c>
      <c r="S4066" s="13">
        <v>0</v>
      </c>
      <c r="T4066" s="13">
        <v>0</v>
      </c>
      <c r="U4066" s="13">
        <v>1382</v>
      </c>
      <c r="V4066" s="13">
        <v>1327</v>
      </c>
      <c r="W4066" s="37">
        <v>1762</v>
      </c>
      <c r="X4066" s="19"/>
      <c r="AG4066" s="16"/>
    </row>
    <row r="4067" spans="2:33">
      <c r="B4067" s="19"/>
      <c r="P4067" s="16"/>
      <c r="Q4067" s="36" t="s">
        <v>45</v>
      </c>
      <c r="R4067" s="13">
        <v>0</v>
      </c>
      <c r="S4067" s="13">
        <v>4257</v>
      </c>
      <c r="T4067" s="13">
        <v>3809</v>
      </c>
      <c r="U4067" s="13">
        <v>0</v>
      </c>
      <c r="V4067" s="13">
        <v>0</v>
      </c>
      <c r="W4067" s="37">
        <v>6086</v>
      </c>
      <c r="X4067" s="19"/>
      <c r="AG4067" s="16"/>
    </row>
    <row r="4068" spans="2:33" ht="15" thickBot="1">
      <c r="B4068" s="20"/>
      <c r="C4068" s="15"/>
      <c r="D4068" s="15"/>
      <c r="E4068" s="15"/>
      <c r="F4068" s="15"/>
      <c r="G4068" s="15"/>
      <c r="H4068" s="15"/>
      <c r="I4068" s="15"/>
      <c r="J4068" s="15"/>
      <c r="K4068" s="15"/>
      <c r="L4068" s="15"/>
      <c r="M4068" s="15"/>
      <c r="N4068" s="15"/>
      <c r="O4068" s="15"/>
      <c r="P4068" s="17"/>
      <c r="Q4068" s="36" t="s">
        <v>46</v>
      </c>
      <c r="R4068" s="13">
        <v>4786</v>
      </c>
      <c r="S4068" s="13">
        <v>4299</v>
      </c>
      <c r="T4068" s="13">
        <v>0</v>
      </c>
      <c r="U4068" s="13">
        <v>0</v>
      </c>
      <c r="V4068" s="13">
        <v>0</v>
      </c>
      <c r="W4068" s="37">
        <v>6879</v>
      </c>
      <c r="X4068" s="20"/>
      <c r="Y4068" s="15"/>
      <c r="Z4068" s="15"/>
      <c r="AA4068" s="15"/>
      <c r="AB4068" s="15"/>
      <c r="AC4068" s="15"/>
      <c r="AD4068" s="15"/>
      <c r="AE4068" s="15"/>
      <c r="AF4068" s="15"/>
      <c r="AG4068" s="17"/>
    </row>
    <row r="4069" spans="2:33" ht="15" thickBot="1"/>
    <row r="4070" spans="2:33" ht="15" thickBot="1">
      <c r="B4070" s="53" t="s">
        <v>2191</v>
      </c>
      <c r="C4070" s="26" t="s">
        <v>1988</v>
      </c>
      <c r="D4070" s="26" t="s">
        <v>1998</v>
      </c>
      <c r="E4070" s="26" t="s">
        <v>1999</v>
      </c>
      <c r="F4070" s="26" t="s">
        <v>2000</v>
      </c>
      <c r="G4070" s="26" t="s">
        <v>2001</v>
      </c>
      <c r="H4070" s="27" t="s">
        <v>1642</v>
      </c>
      <c r="I4070" s="26" t="s">
        <v>2002</v>
      </c>
      <c r="J4070" s="27" t="s">
        <v>87</v>
      </c>
      <c r="K4070" s="29">
        <v>15</v>
      </c>
      <c r="L4070" s="29">
        <v>15</v>
      </c>
      <c r="M4070" s="29">
        <v>15</v>
      </c>
      <c r="N4070" s="29">
        <v>15</v>
      </c>
      <c r="O4070" s="29">
        <v>15</v>
      </c>
      <c r="P4070" s="40">
        <v>19.799999237060501</v>
      </c>
      <c r="Q4070" s="1" t="s">
        <v>35</v>
      </c>
      <c r="R4070" s="2">
        <v>373</v>
      </c>
      <c r="S4070" s="2">
        <v>331</v>
      </c>
      <c r="T4070" s="2">
        <v>0</v>
      </c>
      <c r="U4070" s="2">
        <v>0</v>
      </c>
      <c r="V4070" s="2">
        <v>0</v>
      </c>
      <c r="W4070" s="2">
        <v>860</v>
      </c>
      <c r="X4070" s="43">
        <f>SUM(R4070:W4082)</f>
        <v>16370</v>
      </c>
      <c r="Y4070" s="10">
        <v>46204</v>
      </c>
      <c r="Z4070" s="11">
        <v>0.21915174234314722</v>
      </c>
      <c r="AA4070" s="11">
        <v>0.18274192037163289</v>
      </c>
      <c r="AB4070" s="11">
        <v>0.14726787607165501</v>
      </c>
      <c r="AC4070" s="11">
        <v>0.1287497680516306</v>
      </c>
      <c r="AD4070" s="11">
        <v>0.11447820346270936</v>
      </c>
      <c r="AE4070" s="11">
        <v>0.13149780089791482</v>
      </c>
      <c r="AF4070" s="11">
        <v>0.3</v>
      </c>
      <c r="AG4070" s="11">
        <v>0.23899999999999999</v>
      </c>
    </row>
    <row r="4071" spans="2:33">
      <c r="C4071" s="14"/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35"/>
      <c r="Q4071" s="36" t="s">
        <v>36</v>
      </c>
      <c r="R4071" s="13">
        <v>387</v>
      </c>
      <c r="S4071" s="13">
        <v>280</v>
      </c>
      <c r="T4071" s="13">
        <v>0</v>
      </c>
      <c r="U4071" s="13">
        <v>0</v>
      </c>
      <c r="V4071" s="13">
        <v>0</v>
      </c>
      <c r="W4071" s="37">
        <v>874</v>
      </c>
      <c r="X4071" s="18"/>
      <c r="Y4071" s="14"/>
      <c r="Z4071" s="14"/>
      <c r="AA4071" s="14"/>
      <c r="AB4071" s="14"/>
      <c r="AC4071" s="14"/>
      <c r="AD4071" s="14"/>
      <c r="AE4071" s="14"/>
      <c r="AF4071" s="14"/>
      <c r="AG4071" s="35"/>
    </row>
    <row r="4072" spans="2:33">
      <c r="B4072" s="19"/>
      <c r="P4072" s="16"/>
      <c r="Q4072" s="36" t="s">
        <v>37</v>
      </c>
      <c r="R4072" s="13">
        <v>0</v>
      </c>
      <c r="S4072" s="13">
        <v>417</v>
      </c>
      <c r="T4072" s="13">
        <v>325</v>
      </c>
      <c r="U4072" s="13">
        <v>0</v>
      </c>
      <c r="V4072" s="13">
        <v>0</v>
      </c>
      <c r="W4072" s="37">
        <v>831</v>
      </c>
      <c r="X4072" s="19"/>
      <c r="AG4072" s="16"/>
    </row>
    <row r="4073" spans="2:33">
      <c r="B4073" s="19"/>
      <c r="P4073" s="16"/>
      <c r="Q4073" s="36" t="s">
        <v>38</v>
      </c>
      <c r="R4073" s="13">
        <v>0</v>
      </c>
      <c r="S4073" s="13">
        <v>0</v>
      </c>
      <c r="T4073" s="13">
        <v>0</v>
      </c>
      <c r="U4073" s="13">
        <v>311</v>
      </c>
      <c r="V4073" s="13">
        <v>243</v>
      </c>
      <c r="W4073" s="37">
        <v>737</v>
      </c>
      <c r="X4073" s="19"/>
      <c r="AG4073" s="16"/>
    </row>
    <row r="4074" spans="2:33">
      <c r="B4074" s="19"/>
      <c r="P4074" s="16"/>
      <c r="Q4074" s="36" t="s">
        <v>39</v>
      </c>
      <c r="R4074" s="13">
        <v>0</v>
      </c>
      <c r="S4074" s="13">
        <v>0</v>
      </c>
      <c r="T4074" s="13">
        <v>0</v>
      </c>
      <c r="U4074" s="13">
        <v>237</v>
      </c>
      <c r="V4074" s="13">
        <v>209</v>
      </c>
      <c r="W4074" s="37">
        <v>815</v>
      </c>
      <c r="X4074" s="19"/>
      <c r="AG4074" s="16"/>
    </row>
    <row r="4075" spans="2:33">
      <c r="B4075" s="19"/>
      <c r="P4075" s="16"/>
      <c r="Q4075" s="36" t="s">
        <v>40</v>
      </c>
      <c r="R4075" s="13">
        <v>0</v>
      </c>
      <c r="S4075" s="13">
        <v>0</v>
      </c>
      <c r="T4075" s="13">
        <v>260</v>
      </c>
      <c r="U4075" s="13">
        <v>228</v>
      </c>
      <c r="V4075" s="13">
        <v>0</v>
      </c>
      <c r="W4075" s="37">
        <v>690</v>
      </c>
      <c r="X4075" s="19"/>
      <c r="AG4075" s="16"/>
    </row>
    <row r="4076" spans="2:33">
      <c r="B4076" s="19"/>
      <c r="P4076" s="16"/>
      <c r="Q4076" s="36" t="s">
        <v>446</v>
      </c>
      <c r="R4076" s="13">
        <v>115</v>
      </c>
      <c r="S4076" s="13">
        <v>118</v>
      </c>
      <c r="T4076" s="13">
        <v>0</v>
      </c>
      <c r="U4076" s="13">
        <v>0</v>
      </c>
      <c r="V4076" s="13">
        <v>0</v>
      </c>
      <c r="W4076" s="37">
        <v>284</v>
      </c>
      <c r="X4076" s="19"/>
      <c r="AG4076" s="16"/>
    </row>
    <row r="4077" spans="2:33">
      <c r="B4077" s="19"/>
      <c r="P4077" s="16"/>
      <c r="Q4077" s="36" t="s">
        <v>447</v>
      </c>
      <c r="R4077" s="13">
        <v>142</v>
      </c>
      <c r="S4077" s="13">
        <v>157</v>
      </c>
      <c r="T4077" s="13">
        <v>0</v>
      </c>
      <c r="U4077" s="13">
        <v>0</v>
      </c>
      <c r="V4077" s="13">
        <v>0</v>
      </c>
      <c r="W4077" s="37">
        <v>493</v>
      </c>
      <c r="X4077" s="19"/>
      <c r="AG4077" s="16"/>
    </row>
    <row r="4078" spans="2:33">
      <c r="B4078" s="19"/>
      <c r="P4078" s="16"/>
      <c r="Q4078" s="36" t="s">
        <v>42</v>
      </c>
      <c r="R4078" s="13">
        <v>0</v>
      </c>
      <c r="S4078" s="13">
        <v>0</v>
      </c>
      <c r="T4078" s="13">
        <v>217</v>
      </c>
      <c r="U4078" s="13">
        <v>222</v>
      </c>
      <c r="V4078" s="13">
        <v>0</v>
      </c>
      <c r="W4078" s="37">
        <v>766</v>
      </c>
      <c r="X4078" s="19"/>
      <c r="AG4078" s="16"/>
    </row>
    <row r="4079" spans="2:33">
      <c r="B4079" s="19"/>
      <c r="P4079" s="16"/>
      <c r="Q4079" s="36" t="s">
        <v>43</v>
      </c>
      <c r="R4079" s="13">
        <v>0</v>
      </c>
      <c r="S4079" s="13">
        <v>0</v>
      </c>
      <c r="T4079" s="13">
        <v>217</v>
      </c>
      <c r="U4079" s="13">
        <v>222</v>
      </c>
      <c r="V4079" s="13">
        <v>0</v>
      </c>
      <c r="W4079" s="37">
        <v>682</v>
      </c>
      <c r="X4079" s="19"/>
      <c r="AG4079" s="16"/>
    </row>
    <row r="4080" spans="2:33">
      <c r="B4080" s="19"/>
      <c r="P4080" s="16"/>
      <c r="Q4080" s="36" t="s">
        <v>44</v>
      </c>
      <c r="R4080" s="13">
        <v>0</v>
      </c>
      <c r="S4080" s="13">
        <v>0</v>
      </c>
      <c r="T4080" s="13">
        <v>0</v>
      </c>
      <c r="U4080" s="13">
        <v>288</v>
      </c>
      <c r="V4080" s="13">
        <v>257</v>
      </c>
      <c r="W4080" s="37">
        <v>756</v>
      </c>
      <c r="X4080" s="19"/>
      <c r="AG4080" s="16"/>
    </row>
    <row r="4081" spans="2:33">
      <c r="B4081" s="19"/>
      <c r="P4081" s="16"/>
      <c r="Q4081" s="36" t="s">
        <v>45</v>
      </c>
      <c r="R4081" s="13">
        <v>0</v>
      </c>
      <c r="S4081" s="13">
        <v>331</v>
      </c>
      <c r="T4081" s="13">
        <v>326</v>
      </c>
      <c r="U4081" s="13">
        <v>0</v>
      </c>
      <c r="V4081" s="13">
        <v>0</v>
      </c>
      <c r="W4081" s="37">
        <v>819</v>
      </c>
      <c r="X4081" s="19"/>
      <c r="AG4081" s="16"/>
    </row>
    <row r="4082" spans="2:33" ht="15" thickBot="1">
      <c r="B4082" s="20"/>
      <c r="C4082" s="15"/>
      <c r="D4082" s="15"/>
      <c r="E4082" s="15"/>
      <c r="F4082" s="15"/>
      <c r="G4082" s="15"/>
      <c r="H4082" s="15"/>
      <c r="I4082" s="15"/>
      <c r="J4082" s="15"/>
      <c r="K4082" s="15"/>
      <c r="L4082" s="15"/>
      <c r="M4082" s="15"/>
      <c r="N4082" s="15"/>
      <c r="O4082" s="15"/>
      <c r="P4082" s="17"/>
      <c r="Q4082" s="36" t="s">
        <v>46</v>
      </c>
      <c r="R4082" s="13">
        <v>395</v>
      </c>
      <c r="S4082" s="13">
        <v>343</v>
      </c>
      <c r="T4082" s="13">
        <v>0</v>
      </c>
      <c r="U4082" s="13">
        <v>0</v>
      </c>
      <c r="V4082" s="13">
        <v>0</v>
      </c>
      <c r="W4082" s="37">
        <v>812</v>
      </c>
      <c r="X4082" s="20"/>
      <c r="Y4082" s="15"/>
      <c r="Z4082" s="15"/>
      <c r="AA4082" s="15"/>
      <c r="AB4082" s="15"/>
      <c r="AC4082" s="15"/>
      <c r="AD4082" s="15"/>
      <c r="AE4082" s="15"/>
      <c r="AF4082" s="15"/>
      <c r="AG4082" s="17"/>
    </row>
    <row r="4083" spans="2:33" ht="15" thickBot="1"/>
    <row r="4084" spans="2:33" ht="15" thickBot="1">
      <c r="B4084" s="53" t="s">
        <v>2191</v>
      </c>
      <c r="C4084" s="26" t="s">
        <v>1988</v>
      </c>
      <c r="D4084" s="26" t="s">
        <v>2003</v>
      </c>
      <c r="E4084" s="26" t="s">
        <v>2004</v>
      </c>
      <c r="F4084" s="26" t="s">
        <v>2005</v>
      </c>
      <c r="G4084" s="26" t="s">
        <v>2006</v>
      </c>
      <c r="H4084" s="27" t="s">
        <v>991</v>
      </c>
      <c r="I4084" s="26" t="s">
        <v>2007</v>
      </c>
      <c r="J4084" s="27" t="s">
        <v>87</v>
      </c>
      <c r="K4084" s="29">
        <v>15</v>
      </c>
      <c r="L4084" s="29">
        <v>20</v>
      </c>
      <c r="M4084" s="29">
        <v>20</v>
      </c>
      <c r="N4084" s="29">
        <v>20</v>
      </c>
      <c r="O4084" s="29">
        <v>20</v>
      </c>
      <c r="P4084" s="40">
        <v>45</v>
      </c>
      <c r="Q4084" s="1" t="s">
        <v>35</v>
      </c>
      <c r="R4084" s="2">
        <v>1278</v>
      </c>
      <c r="S4084" s="2">
        <v>1053</v>
      </c>
      <c r="T4084" s="2">
        <v>0</v>
      </c>
      <c r="U4084" s="2">
        <v>0</v>
      </c>
      <c r="V4084" s="2">
        <v>0</v>
      </c>
      <c r="W4084" s="2">
        <v>3765</v>
      </c>
      <c r="X4084" s="43">
        <f>SUM(R4084:W4096)</f>
        <v>53918</v>
      </c>
      <c r="Y4084" s="10">
        <v>46204</v>
      </c>
      <c r="Z4084" s="11">
        <v>0.21915174234314722</v>
      </c>
      <c r="AA4084" s="11">
        <v>0.18274192037163289</v>
      </c>
      <c r="AB4084" s="11">
        <v>0.14726787607165501</v>
      </c>
      <c r="AC4084" s="11">
        <v>0.1287497680516306</v>
      </c>
      <c r="AD4084" s="11">
        <v>0.11447820346270936</v>
      </c>
      <c r="AE4084" s="11">
        <v>0.13149780089791482</v>
      </c>
      <c r="AF4084" s="11">
        <v>0.3</v>
      </c>
      <c r="AG4084" s="11">
        <v>0.23899999999999999</v>
      </c>
    </row>
    <row r="4085" spans="2:33">
      <c r="C4085" s="14"/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/>
      <c r="O4085" s="14"/>
      <c r="P4085" s="35"/>
      <c r="Q4085" s="36" t="s">
        <v>36</v>
      </c>
      <c r="R4085" s="13">
        <v>1003</v>
      </c>
      <c r="S4085" s="13">
        <v>934</v>
      </c>
      <c r="T4085" s="13">
        <v>0</v>
      </c>
      <c r="U4085" s="13">
        <v>0</v>
      </c>
      <c r="V4085" s="13">
        <v>0</v>
      </c>
      <c r="W4085" s="37">
        <v>3418</v>
      </c>
      <c r="X4085" s="18"/>
      <c r="Y4085" s="14"/>
      <c r="Z4085" s="14"/>
      <c r="AA4085" s="14"/>
      <c r="AB4085" s="14"/>
      <c r="AC4085" s="14"/>
      <c r="AD4085" s="14"/>
      <c r="AE4085" s="14"/>
      <c r="AF4085" s="14"/>
      <c r="AG4085" s="35"/>
    </row>
    <row r="4086" spans="2:33">
      <c r="B4086" s="19"/>
      <c r="P4086" s="16"/>
      <c r="Q4086" s="36" t="s">
        <v>37</v>
      </c>
      <c r="R4086" s="13">
        <v>0</v>
      </c>
      <c r="S4086" s="13">
        <v>970</v>
      </c>
      <c r="T4086" s="13">
        <v>979</v>
      </c>
      <c r="U4086" s="13">
        <v>0</v>
      </c>
      <c r="V4086" s="13">
        <v>0</v>
      </c>
      <c r="W4086" s="37">
        <v>3452</v>
      </c>
      <c r="X4086" s="19"/>
      <c r="AG4086" s="16"/>
    </row>
    <row r="4087" spans="2:33">
      <c r="B4087" s="19"/>
      <c r="P4087" s="16"/>
      <c r="Q4087" s="36" t="s">
        <v>38</v>
      </c>
      <c r="R4087" s="13">
        <v>0</v>
      </c>
      <c r="S4087" s="13">
        <v>0</v>
      </c>
      <c r="T4087" s="13">
        <v>0</v>
      </c>
      <c r="U4087" s="13">
        <v>785</v>
      </c>
      <c r="V4087" s="13">
        <v>684</v>
      </c>
      <c r="W4087" s="37">
        <v>2523</v>
      </c>
      <c r="X4087" s="19"/>
      <c r="AG4087" s="16"/>
    </row>
    <row r="4088" spans="2:33">
      <c r="B4088" s="19"/>
      <c r="P4088" s="16"/>
      <c r="Q4088" s="36" t="s">
        <v>39</v>
      </c>
      <c r="R4088" s="13">
        <v>0</v>
      </c>
      <c r="S4088" s="13">
        <v>0</v>
      </c>
      <c r="T4088" s="13">
        <v>0</v>
      </c>
      <c r="U4088" s="13">
        <v>752</v>
      </c>
      <c r="V4088" s="13">
        <v>702</v>
      </c>
      <c r="W4088" s="37">
        <v>2393</v>
      </c>
      <c r="X4088" s="19"/>
      <c r="AG4088" s="16"/>
    </row>
    <row r="4089" spans="2:33">
      <c r="B4089" s="19"/>
      <c r="P4089" s="16"/>
      <c r="Q4089" s="36" t="s">
        <v>40</v>
      </c>
      <c r="R4089" s="13">
        <v>0</v>
      </c>
      <c r="S4089" s="13">
        <v>0</v>
      </c>
      <c r="T4089" s="13">
        <v>920</v>
      </c>
      <c r="U4089" s="13">
        <v>848</v>
      </c>
      <c r="V4089" s="13">
        <v>0</v>
      </c>
      <c r="W4089" s="37">
        <v>2498</v>
      </c>
      <c r="X4089" s="19"/>
      <c r="AG4089" s="16"/>
    </row>
    <row r="4090" spans="2:33">
      <c r="B4090" s="19"/>
      <c r="P4090" s="16"/>
      <c r="Q4090" s="36" t="s">
        <v>438</v>
      </c>
      <c r="R4090" s="13">
        <v>408</v>
      </c>
      <c r="S4090" s="13">
        <v>370</v>
      </c>
      <c r="T4090" s="13">
        <v>0</v>
      </c>
      <c r="U4090" s="13">
        <v>0</v>
      </c>
      <c r="V4090" s="13">
        <v>0</v>
      </c>
      <c r="W4090" s="37">
        <v>934</v>
      </c>
      <c r="X4090" s="19"/>
      <c r="AG4090" s="16"/>
    </row>
    <row r="4091" spans="2:33">
      <c r="B4091" s="19"/>
      <c r="P4091" s="16"/>
      <c r="Q4091" s="36" t="s">
        <v>447</v>
      </c>
      <c r="R4091" s="13">
        <v>770</v>
      </c>
      <c r="S4091" s="13">
        <v>587</v>
      </c>
      <c r="T4091" s="13">
        <v>0</v>
      </c>
      <c r="U4091" s="13">
        <v>0</v>
      </c>
      <c r="V4091" s="13">
        <v>0</v>
      </c>
      <c r="W4091" s="37">
        <v>1643</v>
      </c>
      <c r="X4091" s="19"/>
      <c r="AG4091" s="16"/>
    </row>
    <row r="4092" spans="2:33">
      <c r="B4092" s="19"/>
      <c r="P4092" s="16"/>
      <c r="Q4092" s="36" t="s">
        <v>42</v>
      </c>
      <c r="R4092" s="13">
        <v>0</v>
      </c>
      <c r="S4092" s="13">
        <v>0</v>
      </c>
      <c r="T4092" s="13">
        <v>746</v>
      </c>
      <c r="U4092" s="13">
        <v>715</v>
      </c>
      <c r="V4092" s="13">
        <v>0</v>
      </c>
      <c r="W4092" s="37">
        <v>2332</v>
      </c>
      <c r="X4092" s="19"/>
      <c r="AG4092" s="16"/>
    </row>
    <row r="4093" spans="2:33">
      <c r="B4093" s="19"/>
      <c r="P4093" s="16"/>
      <c r="Q4093" s="36" t="s">
        <v>43</v>
      </c>
      <c r="R4093" s="13">
        <v>0</v>
      </c>
      <c r="S4093" s="13">
        <v>0</v>
      </c>
      <c r="T4093" s="13">
        <v>782</v>
      </c>
      <c r="U4093" s="13">
        <v>680</v>
      </c>
      <c r="V4093" s="13">
        <v>0</v>
      </c>
      <c r="W4093" s="37">
        <v>2081</v>
      </c>
      <c r="X4093" s="19"/>
      <c r="AG4093" s="16"/>
    </row>
    <row r="4094" spans="2:33">
      <c r="B4094" s="19"/>
      <c r="P4094" s="16"/>
      <c r="Q4094" s="36" t="s">
        <v>44</v>
      </c>
      <c r="R4094" s="13">
        <v>0</v>
      </c>
      <c r="S4094" s="13">
        <v>0</v>
      </c>
      <c r="T4094" s="13">
        <v>0</v>
      </c>
      <c r="U4094" s="13">
        <v>721</v>
      </c>
      <c r="V4094" s="13">
        <v>683</v>
      </c>
      <c r="W4094" s="37">
        <v>2209</v>
      </c>
      <c r="X4094" s="19"/>
      <c r="AG4094" s="16"/>
    </row>
    <row r="4095" spans="2:33">
      <c r="B4095" s="19"/>
      <c r="P4095" s="16"/>
      <c r="Q4095" s="36" t="s">
        <v>45</v>
      </c>
      <c r="R4095" s="13">
        <v>0</v>
      </c>
      <c r="S4095" s="13">
        <v>706</v>
      </c>
      <c r="T4095" s="13">
        <v>670</v>
      </c>
      <c r="U4095" s="13">
        <v>0</v>
      </c>
      <c r="V4095" s="13">
        <v>0</v>
      </c>
      <c r="W4095" s="37">
        <v>2551</v>
      </c>
      <c r="X4095" s="19"/>
      <c r="AG4095" s="16"/>
    </row>
    <row r="4096" spans="2:33" ht="15" thickBot="1">
      <c r="B4096" s="20"/>
      <c r="C4096" s="15"/>
      <c r="D4096" s="15"/>
      <c r="E4096" s="15"/>
      <c r="F4096" s="15"/>
      <c r="G4096" s="15"/>
      <c r="H4096" s="15"/>
      <c r="I4096" s="15"/>
      <c r="J4096" s="15"/>
      <c r="K4096" s="15"/>
      <c r="L4096" s="15"/>
      <c r="M4096" s="15"/>
      <c r="N4096" s="15"/>
      <c r="O4096" s="15"/>
      <c r="P4096" s="17"/>
      <c r="Q4096" s="36" t="s">
        <v>46</v>
      </c>
      <c r="R4096" s="13">
        <v>1050</v>
      </c>
      <c r="S4096" s="13">
        <v>835</v>
      </c>
      <c r="T4096" s="13">
        <v>0</v>
      </c>
      <c r="U4096" s="13">
        <v>0</v>
      </c>
      <c r="V4096" s="13">
        <v>0</v>
      </c>
      <c r="W4096" s="37">
        <v>3488</v>
      </c>
      <c r="X4096" s="20"/>
      <c r="Y4096" s="15"/>
      <c r="Z4096" s="15"/>
      <c r="AA4096" s="15"/>
      <c r="AB4096" s="15"/>
      <c r="AC4096" s="15"/>
      <c r="AD4096" s="15"/>
      <c r="AE4096" s="15"/>
      <c r="AF4096" s="15"/>
      <c r="AG4096" s="17"/>
    </row>
    <row r="4097" spans="2:33" ht="15" thickBot="1"/>
    <row r="4098" spans="2:33" ht="15" thickBot="1">
      <c r="B4098" s="53" t="s">
        <v>2191</v>
      </c>
      <c r="C4098" s="26" t="s">
        <v>1988</v>
      </c>
      <c r="D4098" s="26" t="s">
        <v>2008</v>
      </c>
      <c r="E4098" s="26" t="s">
        <v>2009</v>
      </c>
      <c r="F4098" s="26" t="s">
        <v>2010</v>
      </c>
      <c r="G4098" s="26" t="s">
        <v>2011</v>
      </c>
      <c r="H4098" s="27" t="s">
        <v>33</v>
      </c>
      <c r="I4098" s="26" t="s">
        <v>2012</v>
      </c>
      <c r="J4098" s="27" t="s">
        <v>34</v>
      </c>
      <c r="K4098" s="29">
        <v>235</v>
      </c>
      <c r="L4098" s="29">
        <v>290</v>
      </c>
      <c r="M4098" s="29">
        <v>290</v>
      </c>
      <c r="N4098" s="29">
        <v>290</v>
      </c>
      <c r="O4098" s="29">
        <v>290</v>
      </c>
      <c r="P4098" s="40">
        <v>295</v>
      </c>
      <c r="Q4098" s="1" t="s">
        <v>35</v>
      </c>
      <c r="R4098" s="2">
        <v>29024</v>
      </c>
      <c r="S4098" s="2">
        <v>24622</v>
      </c>
      <c r="T4098" s="2">
        <v>0</v>
      </c>
      <c r="U4098" s="2">
        <v>0</v>
      </c>
      <c r="V4098" s="2">
        <v>0</v>
      </c>
      <c r="W4098" s="2">
        <v>49191</v>
      </c>
      <c r="X4098" s="43">
        <f>SUM(R4098:W4110)</f>
        <v>826980</v>
      </c>
      <c r="Y4098" s="10">
        <v>46204</v>
      </c>
      <c r="Z4098" s="11">
        <v>0.18962454052312397</v>
      </c>
      <c r="AA4098" s="11">
        <v>0.15853632235818399</v>
      </c>
      <c r="AB4098" s="11">
        <v>0.13130366614667105</v>
      </c>
      <c r="AC4098" s="11">
        <v>0.11730241147211601</v>
      </c>
      <c r="AD4098" s="11">
        <v>0.10638825231856879</v>
      </c>
      <c r="AE4098" s="11">
        <v>0.12205898654316046</v>
      </c>
      <c r="AF4098" s="11">
        <v>0.3</v>
      </c>
      <c r="AG4098" s="11">
        <v>0.23899999999999999</v>
      </c>
    </row>
    <row r="4099" spans="2:33">
      <c r="C4099" s="14"/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35"/>
      <c r="Q4099" s="36" t="s">
        <v>36</v>
      </c>
      <c r="R4099" s="13">
        <v>24293</v>
      </c>
      <c r="S4099" s="13">
        <v>20658</v>
      </c>
      <c r="T4099" s="13">
        <v>0</v>
      </c>
      <c r="U4099" s="13">
        <v>0</v>
      </c>
      <c r="V4099" s="13">
        <v>0</v>
      </c>
      <c r="W4099" s="37">
        <v>41375</v>
      </c>
      <c r="X4099" s="18"/>
      <c r="Y4099" s="14"/>
      <c r="Z4099" s="14"/>
      <c r="AA4099" s="14"/>
      <c r="AB4099" s="14"/>
      <c r="AC4099" s="14"/>
      <c r="AD4099" s="14"/>
      <c r="AE4099" s="14"/>
      <c r="AF4099" s="14"/>
      <c r="AG4099" s="35"/>
    </row>
    <row r="4100" spans="2:33">
      <c r="B4100" s="19"/>
      <c r="P4100" s="16"/>
      <c r="Q4100" s="36" t="s">
        <v>37</v>
      </c>
      <c r="R4100" s="13">
        <v>0</v>
      </c>
      <c r="S4100" s="13">
        <v>25019</v>
      </c>
      <c r="T4100" s="13">
        <v>22406</v>
      </c>
      <c r="U4100" s="13">
        <v>0</v>
      </c>
      <c r="V4100" s="13">
        <v>0</v>
      </c>
      <c r="W4100" s="37">
        <v>45469</v>
      </c>
      <c r="X4100" s="19"/>
      <c r="AG4100" s="16"/>
    </row>
    <row r="4101" spans="2:33">
      <c r="B4101" s="19"/>
      <c r="P4101" s="16"/>
      <c r="Q4101" s="36" t="s">
        <v>38</v>
      </c>
      <c r="R4101" s="13">
        <v>0</v>
      </c>
      <c r="S4101" s="13">
        <v>0</v>
      </c>
      <c r="T4101" s="13">
        <v>0</v>
      </c>
      <c r="U4101" s="13">
        <v>11819</v>
      </c>
      <c r="V4101" s="13">
        <v>12770</v>
      </c>
      <c r="W4101" s="37">
        <v>34480</v>
      </c>
      <c r="X4101" s="19"/>
      <c r="AG4101" s="16"/>
    </row>
    <row r="4102" spans="2:33">
      <c r="B4102" s="19"/>
      <c r="P4102" s="16"/>
      <c r="Q4102" s="36" t="s">
        <v>39</v>
      </c>
      <c r="R4102" s="13">
        <v>0</v>
      </c>
      <c r="S4102" s="13">
        <v>0</v>
      </c>
      <c r="T4102" s="13">
        <v>0</v>
      </c>
      <c r="U4102" s="13">
        <v>8005</v>
      </c>
      <c r="V4102" s="13">
        <v>10211</v>
      </c>
      <c r="W4102" s="37">
        <v>33252</v>
      </c>
      <c r="X4102" s="19"/>
      <c r="AG4102" s="16"/>
    </row>
    <row r="4103" spans="2:33">
      <c r="B4103" s="19"/>
      <c r="P4103" s="16"/>
      <c r="Q4103" s="36" t="s">
        <v>40</v>
      </c>
      <c r="R4103" s="13">
        <v>0</v>
      </c>
      <c r="S4103" s="13">
        <v>0</v>
      </c>
      <c r="T4103" s="13">
        <v>12955</v>
      </c>
      <c r="U4103" s="13">
        <v>13647</v>
      </c>
      <c r="V4103" s="13">
        <v>0</v>
      </c>
      <c r="W4103" s="37">
        <v>32632</v>
      </c>
      <c r="X4103" s="19"/>
      <c r="AG4103" s="16"/>
    </row>
    <row r="4104" spans="2:33">
      <c r="B4104" s="19"/>
      <c r="P4104" s="16"/>
      <c r="Q4104" s="36" t="s">
        <v>446</v>
      </c>
      <c r="R4104" s="13">
        <v>6079</v>
      </c>
      <c r="S4104" s="13">
        <v>5003</v>
      </c>
      <c r="T4104" s="13">
        <v>0</v>
      </c>
      <c r="U4104" s="13">
        <v>0</v>
      </c>
      <c r="V4104" s="13">
        <v>0</v>
      </c>
      <c r="W4104" s="37">
        <v>10813</v>
      </c>
      <c r="X4104" s="19"/>
      <c r="AG4104" s="16"/>
    </row>
    <row r="4105" spans="2:33">
      <c r="B4105" s="19"/>
      <c r="P4105" s="16"/>
      <c r="Q4105" s="36" t="s">
        <v>439</v>
      </c>
      <c r="R4105" s="13">
        <v>7787</v>
      </c>
      <c r="S4105" s="13">
        <v>7045</v>
      </c>
      <c r="T4105" s="13">
        <v>0</v>
      </c>
      <c r="U4105" s="13">
        <v>0</v>
      </c>
      <c r="V4105" s="13">
        <v>0</v>
      </c>
      <c r="W4105" s="37">
        <v>20278</v>
      </c>
      <c r="X4105" s="19"/>
      <c r="AG4105" s="16"/>
    </row>
    <row r="4106" spans="2:33">
      <c r="B4106" s="19"/>
      <c r="P4106" s="16"/>
      <c r="Q4106" s="36" t="s">
        <v>42</v>
      </c>
      <c r="R4106" s="13">
        <v>0</v>
      </c>
      <c r="S4106" s="13">
        <v>0</v>
      </c>
      <c r="T4106" s="13">
        <v>14724</v>
      </c>
      <c r="U4106" s="13">
        <v>11380</v>
      </c>
      <c r="V4106" s="13">
        <v>0</v>
      </c>
      <c r="W4106" s="37">
        <v>34484</v>
      </c>
      <c r="X4106" s="19"/>
      <c r="AG4106" s="16"/>
    </row>
    <row r="4107" spans="2:33">
      <c r="B4107" s="19"/>
      <c r="P4107" s="16"/>
      <c r="Q4107" s="36" t="s">
        <v>1995</v>
      </c>
      <c r="R4107" s="13">
        <v>0</v>
      </c>
      <c r="S4107" s="13">
        <v>0</v>
      </c>
      <c r="T4107" s="13">
        <v>1010</v>
      </c>
      <c r="U4107" s="13">
        <v>897</v>
      </c>
      <c r="V4107" s="13">
        <v>0</v>
      </c>
      <c r="W4107" s="37">
        <v>967</v>
      </c>
      <c r="X4107" s="19"/>
      <c r="AG4107" s="16"/>
    </row>
    <row r="4108" spans="2:33">
      <c r="B4108" s="19"/>
      <c r="P4108" s="16"/>
      <c r="Q4108" s="36" t="s">
        <v>44</v>
      </c>
      <c r="R4108" s="13">
        <v>0</v>
      </c>
      <c r="S4108" s="13">
        <v>0</v>
      </c>
      <c r="T4108" s="13">
        <v>0</v>
      </c>
      <c r="U4108" s="13">
        <v>22371</v>
      </c>
      <c r="V4108" s="13">
        <v>17058</v>
      </c>
      <c r="W4108" s="37">
        <v>34529</v>
      </c>
      <c r="X4108" s="19"/>
      <c r="AG4108" s="16"/>
    </row>
    <row r="4109" spans="2:33">
      <c r="B4109" s="19"/>
      <c r="P4109" s="16"/>
      <c r="Q4109" s="36" t="s">
        <v>45</v>
      </c>
      <c r="R4109" s="13">
        <v>0</v>
      </c>
      <c r="S4109" s="13">
        <v>22750</v>
      </c>
      <c r="T4109" s="13">
        <v>19744</v>
      </c>
      <c r="U4109" s="13">
        <v>0</v>
      </c>
      <c r="V4109" s="13">
        <v>0</v>
      </c>
      <c r="W4109" s="37">
        <v>43175</v>
      </c>
      <c r="X4109" s="19"/>
      <c r="AG4109" s="16"/>
    </row>
    <row r="4110" spans="2:33" ht="15" thickBot="1">
      <c r="B4110" s="20"/>
      <c r="C4110" s="15"/>
      <c r="D4110" s="15"/>
      <c r="E4110" s="15"/>
      <c r="F4110" s="15"/>
      <c r="G4110" s="15"/>
      <c r="H4110" s="15"/>
      <c r="I4110" s="15"/>
      <c r="J4110" s="15"/>
      <c r="K4110" s="15"/>
      <c r="L4110" s="15"/>
      <c r="M4110" s="15"/>
      <c r="N4110" s="15"/>
      <c r="O4110" s="15"/>
      <c r="P4110" s="17"/>
      <c r="Q4110" s="36" t="s">
        <v>46</v>
      </c>
      <c r="R4110" s="13">
        <v>27651</v>
      </c>
      <c r="S4110" s="13">
        <v>22141</v>
      </c>
      <c r="T4110" s="13">
        <v>0</v>
      </c>
      <c r="U4110" s="13">
        <v>0</v>
      </c>
      <c r="V4110" s="13">
        <v>0</v>
      </c>
      <c r="W4110" s="37">
        <v>45266</v>
      </c>
      <c r="X4110" s="20"/>
      <c r="Y4110" s="15"/>
      <c r="Z4110" s="15"/>
      <c r="AA4110" s="15"/>
      <c r="AB4110" s="15"/>
      <c r="AC4110" s="15"/>
      <c r="AD4110" s="15"/>
      <c r="AE4110" s="15"/>
      <c r="AF4110" s="15"/>
      <c r="AG4110" s="17"/>
    </row>
    <row r="4111" spans="2:33" ht="15" thickBot="1"/>
    <row r="4112" spans="2:33" ht="15" thickBot="1">
      <c r="B4112" s="53" t="s">
        <v>2191</v>
      </c>
      <c r="C4112" s="26" t="s">
        <v>1988</v>
      </c>
      <c r="D4112" s="26" t="s">
        <v>2013</v>
      </c>
      <c r="E4112" s="26" t="s">
        <v>2014</v>
      </c>
      <c r="F4112" s="26" t="s">
        <v>2015</v>
      </c>
      <c r="G4112" s="26" t="s">
        <v>95</v>
      </c>
      <c r="H4112" s="27" t="s">
        <v>95</v>
      </c>
      <c r="I4112" s="26" t="s">
        <v>2016</v>
      </c>
      <c r="J4112" s="27" t="s">
        <v>87</v>
      </c>
      <c r="K4112" s="29">
        <v>18</v>
      </c>
      <c r="L4112" s="29">
        <v>18</v>
      </c>
      <c r="M4112" s="29">
        <v>18</v>
      </c>
      <c r="N4112" s="29">
        <v>18</v>
      </c>
      <c r="O4112" s="29">
        <v>18</v>
      </c>
      <c r="P4112" s="40">
        <v>18</v>
      </c>
      <c r="Q4112" s="1" t="s">
        <v>35</v>
      </c>
      <c r="R4112" s="2">
        <v>727</v>
      </c>
      <c r="S4112" s="2">
        <v>669</v>
      </c>
      <c r="T4112" s="2">
        <v>0</v>
      </c>
      <c r="U4112" s="2">
        <v>0</v>
      </c>
      <c r="V4112" s="2">
        <v>0</v>
      </c>
      <c r="W4112" s="2">
        <v>1571</v>
      </c>
      <c r="X4112" s="43">
        <f>SUM(R4112:W4124)</f>
        <v>24443</v>
      </c>
      <c r="Y4112" s="10">
        <v>46204</v>
      </c>
      <c r="Z4112" s="11">
        <v>0.21915174234314722</v>
      </c>
      <c r="AA4112" s="11">
        <v>0.18274192037163289</v>
      </c>
      <c r="AB4112" s="11">
        <v>0.14726787607165501</v>
      </c>
      <c r="AC4112" s="11">
        <v>0.1287497680516306</v>
      </c>
      <c r="AD4112" s="11">
        <v>0.11447820346270936</v>
      </c>
      <c r="AE4112" s="11">
        <v>0.13149780089791482</v>
      </c>
      <c r="AF4112" s="11">
        <v>0.3</v>
      </c>
      <c r="AG4112" s="11">
        <v>0.23899999999999999</v>
      </c>
    </row>
    <row r="4113" spans="2:33">
      <c r="C4113" s="14"/>
      <c r="D4113" s="14"/>
      <c r="E4113" s="14"/>
      <c r="F4113" s="14"/>
      <c r="G4113" s="14"/>
      <c r="H4113" s="14"/>
      <c r="I4113" s="14"/>
      <c r="J4113" s="14"/>
      <c r="K4113" s="14"/>
      <c r="L4113" s="14"/>
      <c r="M4113" s="14"/>
      <c r="N4113" s="14"/>
      <c r="O4113" s="14"/>
      <c r="P4113" s="35"/>
      <c r="Q4113" s="36" t="s">
        <v>36</v>
      </c>
      <c r="R4113" s="13">
        <v>614</v>
      </c>
      <c r="S4113" s="13">
        <v>594</v>
      </c>
      <c r="T4113" s="13">
        <v>0</v>
      </c>
      <c r="U4113" s="13">
        <v>0</v>
      </c>
      <c r="V4113" s="13">
        <v>0</v>
      </c>
      <c r="W4113" s="37">
        <v>1351</v>
      </c>
      <c r="X4113" s="18"/>
      <c r="Y4113" s="14"/>
      <c r="Z4113" s="14"/>
      <c r="AA4113" s="14"/>
      <c r="AB4113" s="14"/>
      <c r="AC4113" s="14"/>
      <c r="AD4113" s="14"/>
      <c r="AE4113" s="14"/>
      <c r="AF4113" s="14"/>
      <c r="AG4113" s="35"/>
    </row>
    <row r="4114" spans="2:33">
      <c r="B4114" s="19"/>
      <c r="P4114" s="16"/>
      <c r="Q4114" s="36" t="s">
        <v>37</v>
      </c>
      <c r="R4114" s="13">
        <v>0</v>
      </c>
      <c r="S4114" s="13">
        <v>630</v>
      </c>
      <c r="T4114" s="13">
        <v>543</v>
      </c>
      <c r="U4114" s="13">
        <v>0</v>
      </c>
      <c r="V4114" s="13">
        <v>0</v>
      </c>
      <c r="W4114" s="37">
        <v>1399</v>
      </c>
      <c r="X4114" s="19"/>
      <c r="AG4114" s="16"/>
    </row>
    <row r="4115" spans="2:33">
      <c r="B4115" s="19"/>
      <c r="P4115" s="16"/>
      <c r="Q4115" s="36" t="s">
        <v>38</v>
      </c>
      <c r="R4115" s="13">
        <v>0</v>
      </c>
      <c r="S4115" s="13">
        <v>0</v>
      </c>
      <c r="T4115" s="13">
        <v>0</v>
      </c>
      <c r="U4115" s="13">
        <v>411</v>
      </c>
      <c r="V4115" s="13">
        <v>444</v>
      </c>
      <c r="W4115" s="37">
        <v>934</v>
      </c>
      <c r="X4115" s="19"/>
      <c r="AG4115" s="16"/>
    </row>
    <row r="4116" spans="2:33">
      <c r="B4116" s="19"/>
      <c r="P4116" s="16"/>
      <c r="Q4116" s="36" t="s">
        <v>39</v>
      </c>
      <c r="R4116" s="13">
        <v>0</v>
      </c>
      <c r="S4116" s="13">
        <v>0</v>
      </c>
      <c r="T4116" s="13">
        <v>0</v>
      </c>
      <c r="U4116" s="13">
        <v>410</v>
      </c>
      <c r="V4116" s="13">
        <v>449</v>
      </c>
      <c r="W4116" s="37">
        <v>881</v>
      </c>
      <c r="X4116" s="19"/>
      <c r="AG4116" s="16"/>
    </row>
    <row r="4117" spans="2:33">
      <c r="B4117" s="19"/>
      <c r="P4117" s="16"/>
      <c r="Q4117" s="36" t="s">
        <v>40</v>
      </c>
      <c r="R4117" s="13">
        <v>0</v>
      </c>
      <c r="S4117" s="13">
        <v>0</v>
      </c>
      <c r="T4117" s="13">
        <v>358</v>
      </c>
      <c r="U4117" s="13">
        <v>497</v>
      </c>
      <c r="V4117" s="13">
        <v>0</v>
      </c>
      <c r="W4117" s="37">
        <v>761</v>
      </c>
      <c r="X4117" s="19"/>
      <c r="AG4117" s="16"/>
    </row>
    <row r="4118" spans="2:33">
      <c r="B4118" s="19"/>
      <c r="P4118" s="16"/>
      <c r="Q4118" s="36" t="s">
        <v>446</v>
      </c>
      <c r="R4118" s="13">
        <v>157</v>
      </c>
      <c r="S4118" s="13">
        <v>229</v>
      </c>
      <c r="T4118" s="13">
        <v>0</v>
      </c>
      <c r="U4118" s="13">
        <v>0</v>
      </c>
      <c r="V4118" s="13">
        <v>0</v>
      </c>
      <c r="W4118" s="37">
        <v>254</v>
      </c>
      <c r="X4118" s="19"/>
      <c r="AG4118" s="16"/>
    </row>
    <row r="4119" spans="2:33">
      <c r="B4119" s="19"/>
      <c r="P4119" s="16"/>
      <c r="Q4119" s="36" t="s">
        <v>447</v>
      </c>
      <c r="R4119" s="13">
        <v>249</v>
      </c>
      <c r="S4119" s="13">
        <v>319</v>
      </c>
      <c r="T4119" s="13">
        <v>0</v>
      </c>
      <c r="U4119" s="13">
        <v>0</v>
      </c>
      <c r="V4119" s="13">
        <v>0</v>
      </c>
      <c r="W4119" s="37">
        <v>469</v>
      </c>
      <c r="X4119" s="19"/>
      <c r="AG4119" s="16"/>
    </row>
    <row r="4120" spans="2:33">
      <c r="B4120" s="19"/>
      <c r="P4120" s="16"/>
      <c r="Q4120" s="36" t="s">
        <v>42</v>
      </c>
      <c r="R4120" s="13">
        <v>0</v>
      </c>
      <c r="S4120" s="13">
        <v>0</v>
      </c>
      <c r="T4120" s="13">
        <v>304</v>
      </c>
      <c r="U4120" s="13">
        <v>325</v>
      </c>
      <c r="V4120" s="13">
        <v>0</v>
      </c>
      <c r="W4120" s="37">
        <v>1025</v>
      </c>
      <c r="X4120" s="19"/>
      <c r="AG4120" s="16"/>
    </row>
    <row r="4121" spans="2:33">
      <c r="B4121" s="19"/>
      <c r="P4121" s="16"/>
      <c r="Q4121" s="36" t="s">
        <v>43</v>
      </c>
      <c r="R4121" s="13">
        <v>0</v>
      </c>
      <c r="S4121" s="13">
        <v>0</v>
      </c>
      <c r="T4121" s="13">
        <v>388</v>
      </c>
      <c r="U4121" s="13">
        <v>463</v>
      </c>
      <c r="V4121" s="13">
        <v>0</v>
      </c>
      <c r="W4121" s="37">
        <v>732</v>
      </c>
      <c r="X4121" s="19"/>
      <c r="AG4121" s="16"/>
    </row>
    <row r="4122" spans="2:33">
      <c r="B4122" s="19"/>
      <c r="P4122" s="16"/>
      <c r="Q4122" s="36" t="s">
        <v>44</v>
      </c>
      <c r="R4122" s="13">
        <v>0</v>
      </c>
      <c r="S4122" s="13">
        <v>0</v>
      </c>
      <c r="T4122" s="13">
        <v>0</v>
      </c>
      <c r="U4122" s="13">
        <v>481</v>
      </c>
      <c r="V4122" s="13">
        <v>512</v>
      </c>
      <c r="W4122" s="37">
        <v>885</v>
      </c>
      <c r="X4122" s="19"/>
      <c r="AG4122" s="16"/>
    </row>
    <row r="4123" spans="2:33">
      <c r="B4123" s="19"/>
      <c r="P4123" s="16"/>
      <c r="Q4123" s="36" t="s">
        <v>45</v>
      </c>
      <c r="R4123" s="13">
        <v>0</v>
      </c>
      <c r="S4123" s="13">
        <v>577</v>
      </c>
      <c r="T4123" s="13">
        <v>475</v>
      </c>
      <c r="U4123" s="13">
        <v>0</v>
      </c>
      <c r="V4123" s="13">
        <v>0</v>
      </c>
      <c r="W4123" s="37">
        <v>1080</v>
      </c>
      <c r="X4123" s="19"/>
      <c r="AG4123" s="16"/>
    </row>
    <row r="4124" spans="2:33" ht="15" thickBot="1">
      <c r="B4124" s="20"/>
      <c r="C4124" s="15"/>
      <c r="D4124" s="15"/>
      <c r="E4124" s="15"/>
      <c r="F4124" s="15"/>
      <c r="G4124" s="15"/>
      <c r="H4124" s="15"/>
      <c r="I4124" s="15"/>
      <c r="J4124" s="15"/>
      <c r="K4124" s="15"/>
      <c r="L4124" s="15"/>
      <c r="M4124" s="15"/>
      <c r="N4124" s="15"/>
      <c r="O4124" s="15"/>
      <c r="P4124" s="17"/>
      <c r="Q4124" s="36" t="s">
        <v>46</v>
      </c>
      <c r="R4124" s="13">
        <v>602</v>
      </c>
      <c r="S4124" s="13">
        <v>524</v>
      </c>
      <c r="T4124" s="13">
        <v>0</v>
      </c>
      <c r="U4124" s="13">
        <v>0</v>
      </c>
      <c r="V4124" s="13">
        <v>0</v>
      </c>
      <c r="W4124" s="37">
        <v>1150</v>
      </c>
      <c r="X4124" s="20"/>
      <c r="Y4124" s="15"/>
      <c r="Z4124" s="15"/>
      <c r="AA4124" s="15"/>
      <c r="AB4124" s="15"/>
      <c r="AC4124" s="15"/>
      <c r="AD4124" s="15"/>
      <c r="AE4124" s="15"/>
      <c r="AF4124" s="15"/>
      <c r="AG4124" s="17"/>
    </row>
    <row r="4125" spans="2:33" ht="15" thickBot="1"/>
    <row r="4126" spans="2:33" ht="15" thickBot="1">
      <c r="B4126" s="53" t="s">
        <v>2191</v>
      </c>
      <c r="C4126" s="26" t="s">
        <v>1988</v>
      </c>
      <c r="D4126" s="26" t="s">
        <v>2017</v>
      </c>
      <c r="E4126" s="26" t="s">
        <v>2018</v>
      </c>
      <c r="F4126" s="26" t="s">
        <v>2019</v>
      </c>
      <c r="G4126" s="26" t="s">
        <v>2020</v>
      </c>
      <c r="H4126" s="27" t="s">
        <v>86</v>
      </c>
      <c r="I4126" s="26" t="s">
        <v>2021</v>
      </c>
      <c r="J4126" s="27" t="s">
        <v>87</v>
      </c>
      <c r="K4126" s="29">
        <v>54</v>
      </c>
      <c r="L4126" s="29">
        <v>64</v>
      </c>
      <c r="M4126" s="29">
        <v>64</v>
      </c>
      <c r="N4126" s="29">
        <v>64</v>
      </c>
      <c r="O4126" s="29">
        <v>64</v>
      </c>
      <c r="P4126" s="40">
        <v>64</v>
      </c>
      <c r="Q4126" s="1" t="s">
        <v>35</v>
      </c>
      <c r="R4126" s="2">
        <v>6210</v>
      </c>
      <c r="S4126" s="2">
        <v>5136</v>
      </c>
      <c r="T4126" s="2">
        <v>0</v>
      </c>
      <c r="U4126" s="2">
        <v>0</v>
      </c>
      <c r="V4126" s="2">
        <v>0</v>
      </c>
      <c r="W4126" s="2">
        <v>8149</v>
      </c>
      <c r="X4126" s="43">
        <f>SUM(R4126:W4138)</f>
        <v>172701</v>
      </c>
      <c r="Y4126" s="10">
        <v>46204</v>
      </c>
      <c r="Z4126" s="11">
        <v>0.21915174234314722</v>
      </c>
      <c r="AA4126" s="11">
        <v>0.18274192037163289</v>
      </c>
      <c r="AB4126" s="11">
        <v>0.14726787607165501</v>
      </c>
      <c r="AC4126" s="11">
        <v>0.1287497680516306</v>
      </c>
      <c r="AD4126" s="11">
        <v>0.11447820346270936</v>
      </c>
      <c r="AE4126" s="11">
        <v>0.13149780089791482</v>
      </c>
      <c r="AF4126" s="11">
        <v>0.3</v>
      </c>
      <c r="AG4126" s="11">
        <v>0.23899999999999999</v>
      </c>
    </row>
    <row r="4127" spans="2:33">
      <c r="C4127" s="14"/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35"/>
      <c r="Q4127" s="36" t="s">
        <v>36</v>
      </c>
      <c r="R4127" s="13">
        <v>5163</v>
      </c>
      <c r="S4127" s="13">
        <v>3827</v>
      </c>
      <c r="T4127" s="13">
        <v>0</v>
      </c>
      <c r="U4127" s="13">
        <v>0</v>
      </c>
      <c r="V4127" s="13">
        <v>0</v>
      </c>
      <c r="W4127" s="37">
        <v>7804</v>
      </c>
      <c r="X4127" s="18"/>
      <c r="Y4127" s="14"/>
      <c r="Z4127" s="14"/>
      <c r="AA4127" s="14"/>
      <c r="AB4127" s="14"/>
      <c r="AC4127" s="14"/>
      <c r="AD4127" s="14"/>
      <c r="AE4127" s="14"/>
      <c r="AF4127" s="14"/>
      <c r="AG4127" s="35"/>
    </row>
    <row r="4128" spans="2:33">
      <c r="B4128" s="19"/>
      <c r="P4128" s="16"/>
      <c r="Q4128" s="36" t="s">
        <v>37</v>
      </c>
      <c r="R4128" s="13">
        <v>0</v>
      </c>
      <c r="S4128" s="13">
        <v>5036</v>
      </c>
      <c r="T4128" s="13">
        <v>4125</v>
      </c>
      <c r="U4128" s="13">
        <v>0</v>
      </c>
      <c r="V4128" s="13">
        <v>0</v>
      </c>
      <c r="W4128" s="37">
        <v>7595</v>
      </c>
      <c r="X4128" s="19"/>
      <c r="AG4128" s="16"/>
    </row>
    <row r="4129" spans="2:33">
      <c r="B4129" s="19"/>
      <c r="P4129" s="16"/>
      <c r="Q4129" s="36" t="s">
        <v>38</v>
      </c>
      <c r="R4129" s="13">
        <v>0</v>
      </c>
      <c r="S4129" s="13">
        <v>0</v>
      </c>
      <c r="T4129" s="13">
        <v>0</v>
      </c>
      <c r="U4129" s="13">
        <v>2768</v>
      </c>
      <c r="V4129" s="13">
        <v>2270</v>
      </c>
      <c r="W4129" s="37">
        <v>5184</v>
      </c>
      <c r="X4129" s="19"/>
      <c r="AG4129" s="16"/>
    </row>
    <row r="4130" spans="2:33">
      <c r="B4130" s="19"/>
      <c r="P4130" s="16"/>
      <c r="Q4130" s="36" t="s">
        <v>39</v>
      </c>
      <c r="R4130" s="13">
        <v>0</v>
      </c>
      <c r="S4130" s="13">
        <v>0</v>
      </c>
      <c r="T4130" s="13">
        <v>0</v>
      </c>
      <c r="U4130" s="13">
        <v>2331</v>
      </c>
      <c r="V4130" s="13">
        <v>1858</v>
      </c>
      <c r="W4130" s="37">
        <v>6763</v>
      </c>
      <c r="X4130" s="19"/>
      <c r="AG4130" s="16"/>
    </row>
    <row r="4131" spans="2:33">
      <c r="B4131" s="19"/>
      <c r="P4131" s="16"/>
      <c r="Q4131" s="36" t="s">
        <v>40</v>
      </c>
      <c r="R4131" s="13">
        <v>0</v>
      </c>
      <c r="S4131" s="13">
        <v>0</v>
      </c>
      <c r="T4131" s="13">
        <v>2518</v>
      </c>
      <c r="U4131" s="13">
        <v>2045</v>
      </c>
      <c r="V4131" s="13">
        <v>0</v>
      </c>
      <c r="W4131" s="37">
        <v>6171</v>
      </c>
      <c r="X4131" s="19"/>
      <c r="AG4131" s="16"/>
    </row>
    <row r="4132" spans="2:33">
      <c r="B4132" s="19"/>
      <c r="P4132" s="16"/>
      <c r="Q4132" s="36" t="s">
        <v>438</v>
      </c>
      <c r="R4132" s="13">
        <v>1270</v>
      </c>
      <c r="S4132" s="13">
        <v>947</v>
      </c>
      <c r="T4132" s="13">
        <v>0</v>
      </c>
      <c r="U4132" s="13">
        <v>0</v>
      </c>
      <c r="V4132" s="13">
        <v>0</v>
      </c>
      <c r="W4132" s="37">
        <v>2585</v>
      </c>
      <c r="X4132" s="19"/>
      <c r="AG4132" s="16"/>
    </row>
    <row r="4133" spans="2:33">
      <c r="B4133" s="19"/>
      <c r="P4133" s="16"/>
      <c r="Q4133" s="36" t="s">
        <v>447</v>
      </c>
      <c r="R4133" s="13">
        <v>1723</v>
      </c>
      <c r="S4133" s="13">
        <v>1267</v>
      </c>
      <c r="T4133" s="13">
        <v>0</v>
      </c>
      <c r="U4133" s="13">
        <v>0</v>
      </c>
      <c r="V4133" s="13">
        <v>0</v>
      </c>
      <c r="W4133" s="37">
        <v>4551</v>
      </c>
      <c r="X4133" s="19"/>
      <c r="AG4133" s="16"/>
    </row>
    <row r="4134" spans="2:33">
      <c r="B4134" s="19"/>
      <c r="P4134" s="16"/>
      <c r="Q4134" s="36" t="s">
        <v>42</v>
      </c>
      <c r="R4134" s="13">
        <v>0</v>
      </c>
      <c r="S4134" s="13">
        <v>0</v>
      </c>
      <c r="T4134" s="13">
        <v>2357</v>
      </c>
      <c r="U4134" s="13">
        <v>2230</v>
      </c>
      <c r="V4134" s="13">
        <v>0</v>
      </c>
      <c r="W4134" s="37">
        <v>6422</v>
      </c>
      <c r="X4134" s="19"/>
      <c r="AG4134" s="16"/>
    </row>
    <row r="4135" spans="2:33">
      <c r="B4135" s="19"/>
      <c r="P4135" s="16"/>
      <c r="Q4135" s="36" t="s">
        <v>43</v>
      </c>
      <c r="R4135" s="13">
        <v>0</v>
      </c>
      <c r="S4135" s="13">
        <v>0</v>
      </c>
      <c r="T4135" s="13">
        <v>3068</v>
      </c>
      <c r="U4135" s="13">
        <v>2748</v>
      </c>
      <c r="V4135" s="13">
        <v>0</v>
      </c>
      <c r="W4135" s="37">
        <v>6952</v>
      </c>
      <c r="X4135" s="19"/>
      <c r="AG4135" s="16"/>
    </row>
    <row r="4136" spans="2:33">
      <c r="B4136" s="19"/>
      <c r="P4136" s="16"/>
      <c r="Q4136" s="36" t="s">
        <v>44</v>
      </c>
      <c r="R4136" s="13">
        <v>0</v>
      </c>
      <c r="S4136" s="13">
        <v>0</v>
      </c>
      <c r="T4136" s="13">
        <v>0</v>
      </c>
      <c r="U4136" s="13">
        <v>4099</v>
      </c>
      <c r="V4136" s="13">
        <v>3850</v>
      </c>
      <c r="W4136" s="37">
        <v>7434</v>
      </c>
      <c r="X4136" s="19"/>
      <c r="AG4136" s="16"/>
    </row>
    <row r="4137" spans="2:33">
      <c r="B4137" s="19"/>
      <c r="P4137" s="16"/>
      <c r="Q4137" s="36" t="s">
        <v>45</v>
      </c>
      <c r="R4137" s="13">
        <v>0</v>
      </c>
      <c r="S4137" s="13">
        <v>5103</v>
      </c>
      <c r="T4137" s="13">
        <v>5103</v>
      </c>
      <c r="U4137" s="13">
        <v>0</v>
      </c>
      <c r="V4137" s="13">
        <v>0</v>
      </c>
      <c r="W4137" s="37">
        <v>7390</v>
      </c>
      <c r="X4137" s="19"/>
      <c r="AG4137" s="16"/>
    </row>
    <row r="4138" spans="2:33" ht="15" thickBot="1">
      <c r="B4138" s="20"/>
      <c r="C4138" s="15"/>
      <c r="D4138" s="15"/>
      <c r="E4138" s="15"/>
      <c r="F4138" s="15"/>
      <c r="G4138" s="15"/>
      <c r="H4138" s="15"/>
      <c r="I4138" s="15"/>
      <c r="J4138" s="15"/>
      <c r="K4138" s="15"/>
      <c r="L4138" s="15"/>
      <c r="M4138" s="15"/>
      <c r="N4138" s="15"/>
      <c r="O4138" s="15"/>
      <c r="P4138" s="17"/>
      <c r="Q4138" s="36" t="s">
        <v>46</v>
      </c>
      <c r="R4138" s="13">
        <v>5956</v>
      </c>
      <c r="S4138" s="13">
        <v>5128</v>
      </c>
      <c r="T4138" s="13">
        <v>0</v>
      </c>
      <c r="U4138" s="13">
        <v>0</v>
      </c>
      <c r="V4138" s="13">
        <v>0</v>
      </c>
      <c r="W4138" s="37">
        <v>7565</v>
      </c>
      <c r="X4138" s="20"/>
      <c r="Y4138" s="15"/>
      <c r="Z4138" s="15"/>
      <c r="AA4138" s="15"/>
      <c r="AB4138" s="15"/>
      <c r="AC4138" s="15"/>
      <c r="AD4138" s="15"/>
      <c r="AE4138" s="15"/>
      <c r="AF4138" s="15"/>
      <c r="AG4138" s="17"/>
    </row>
    <row r="4139" spans="2:33" ht="15" thickBot="1"/>
    <row r="4140" spans="2:33" ht="15" thickBot="1">
      <c r="B4140" s="53" t="s">
        <v>2191</v>
      </c>
      <c r="C4140" s="26" t="s">
        <v>1988</v>
      </c>
      <c r="D4140" s="26" t="s">
        <v>2022</v>
      </c>
      <c r="E4140" s="26" t="s">
        <v>2023</v>
      </c>
      <c r="F4140" s="26" t="s">
        <v>2024</v>
      </c>
      <c r="G4140" s="26" t="s">
        <v>2025</v>
      </c>
      <c r="H4140" s="27" t="s">
        <v>2026</v>
      </c>
      <c r="I4140" s="26" t="s">
        <v>2027</v>
      </c>
      <c r="J4140" s="27" t="s">
        <v>87</v>
      </c>
      <c r="K4140" s="29">
        <v>33</v>
      </c>
      <c r="L4140" s="29">
        <v>33</v>
      </c>
      <c r="M4140" s="29">
        <v>33</v>
      </c>
      <c r="N4140" s="29">
        <v>33</v>
      </c>
      <c r="O4140" s="29">
        <v>33</v>
      </c>
      <c r="P4140" s="40">
        <v>33</v>
      </c>
      <c r="Q4140" s="1" t="s">
        <v>1791</v>
      </c>
      <c r="R4140" s="2">
        <v>2039</v>
      </c>
      <c r="S4140" s="2">
        <v>1520</v>
      </c>
      <c r="T4140" s="2">
        <v>0</v>
      </c>
      <c r="U4140" s="2">
        <v>0</v>
      </c>
      <c r="V4140" s="2">
        <v>0</v>
      </c>
      <c r="W4140" s="2">
        <v>3425</v>
      </c>
      <c r="X4140" s="43">
        <f>SUM(R4140:W4147)</f>
        <v>55359</v>
      </c>
      <c r="Y4140" s="10">
        <v>46204</v>
      </c>
      <c r="Z4140" s="11">
        <v>0.21915174234314722</v>
      </c>
      <c r="AA4140" s="11">
        <v>0.18274192037163289</v>
      </c>
      <c r="AB4140" s="11">
        <v>0.14726787607165501</v>
      </c>
      <c r="AC4140" s="11">
        <v>0.1287497680516306</v>
      </c>
      <c r="AD4140" s="11">
        <v>0.11447820346270936</v>
      </c>
      <c r="AE4140" s="11">
        <v>0.13149780089791482</v>
      </c>
      <c r="AF4140" s="11">
        <v>0.3</v>
      </c>
      <c r="AG4140" s="11">
        <v>0.23899999999999999</v>
      </c>
    </row>
    <row r="4141" spans="2:33">
      <c r="C4141" s="14"/>
      <c r="D4141" s="14"/>
      <c r="E4141" s="14"/>
      <c r="F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35"/>
      <c r="Q4141" s="36" t="s">
        <v>59</v>
      </c>
      <c r="R4141" s="13">
        <v>1691</v>
      </c>
      <c r="S4141" s="13">
        <v>1472</v>
      </c>
      <c r="T4141" s="13">
        <v>60</v>
      </c>
      <c r="U4141" s="13">
        <v>0</v>
      </c>
      <c r="V4141" s="13">
        <v>0</v>
      </c>
      <c r="W4141" s="37">
        <v>3118</v>
      </c>
      <c r="X4141" s="18"/>
      <c r="Y4141" s="14"/>
      <c r="Z4141" s="14"/>
      <c r="AA4141" s="14"/>
      <c r="AB4141" s="14"/>
      <c r="AC4141" s="14"/>
      <c r="AD4141" s="14"/>
      <c r="AE4141" s="14"/>
      <c r="AF4141" s="14"/>
      <c r="AG4141" s="35"/>
    </row>
    <row r="4142" spans="2:33">
      <c r="B4142" s="19"/>
      <c r="P4142" s="16"/>
      <c r="Q4142" s="36" t="s">
        <v>2028</v>
      </c>
      <c r="R4142" s="13">
        <v>0</v>
      </c>
      <c r="S4142" s="13">
        <v>1850</v>
      </c>
      <c r="T4142" s="13">
        <v>1415</v>
      </c>
      <c r="U4142" s="13">
        <v>292</v>
      </c>
      <c r="V4142" s="13">
        <v>208</v>
      </c>
      <c r="W4142" s="37">
        <v>3547</v>
      </c>
      <c r="X4142" s="19"/>
      <c r="AG4142" s="16"/>
    </row>
    <row r="4143" spans="2:33">
      <c r="B4143" s="19"/>
      <c r="P4143" s="16"/>
      <c r="Q4143" s="36" t="s">
        <v>2029</v>
      </c>
      <c r="R4143" s="13">
        <v>0</v>
      </c>
      <c r="S4143" s="13">
        <v>0</v>
      </c>
      <c r="T4143" s="13">
        <v>0</v>
      </c>
      <c r="U4143" s="13">
        <v>1964</v>
      </c>
      <c r="V4143" s="13">
        <v>1436</v>
      </c>
      <c r="W4143" s="37">
        <v>3285</v>
      </c>
      <c r="X4143" s="19"/>
      <c r="AG4143" s="16"/>
    </row>
    <row r="4144" spans="2:33">
      <c r="B4144" s="19"/>
      <c r="P4144" s="16"/>
      <c r="Q4144" s="36" t="s">
        <v>2030</v>
      </c>
      <c r="R4144" s="13">
        <v>0</v>
      </c>
      <c r="S4144" s="13">
        <v>0</v>
      </c>
      <c r="T4144" s="13">
        <v>297</v>
      </c>
      <c r="U4144" s="13">
        <v>1843</v>
      </c>
      <c r="V4144" s="13">
        <v>1178</v>
      </c>
      <c r="W4144" s="37">
        <v>2860</v>
      </c>
      <c r="X4144" s="19"/>
      <c r="AG4144" s="16"/>
    </row>
    <row r="4145" spans="2:33">
      <c r="B4145" s="19"/>
      <c r="P4145" s="16"/>
      <c r="Q4145" s="36" t="s">
        <v>2031</v>
      </c>
      <c r="R4145" s="13">
        <v>510</v>
      </c>
      <c r="S4145" s="13">
        <v>354</v>
      </c>
      <c r="T4145" s="13">
        <v>1930</v>
      </c>
      <c r="U4145" s="13">
        <v>1436</v>
      </c>
      <c r="V4145" s="13">
        <v>0</v>
      </c>
      <c r="W4145" s="37">
        <v>3303</v>
      </c>
      <c r="X4145" s="19"/>
      <c r="AG4145" s="16"/>
    </row>
    <row r="4146" spans="2:33">
      <c r="B4146" s="19"/>
      <c r="P4146" s="16"/>
      <c r="Q4146" s="36" t="s">
        <v>2032</v>
      </c>
      <c r="R4146" s="13">
        <v>2108</v>
      </c>
      <c r="S4146" s="13">
        <v>1644</v>
      </c>
      <c r="T4146" s="13">
        <v>616</v>
      </c>
      <c r="U4146" s="13">
        <v>464</v>
      </c>
      <c r="V4146" s="13">
        <v>0</v>
      </c>
      <c r="W4146" s="37">
        <v>3429</v>
      </c>
      <c r="X4146" s="19"/>
      <c r="AG4146" s="16"/>
    </row>
    <row r="4147" spans="2:33" ht="15" thickBot="1">
      <c r="B4147" s="20"/>
      <c r="C4147" s="15"/>
      <c r="D4147" s="15"/>
      <c r="E4147" s="15"/>
      <c r="F4147" s="15"/>
      <c r="G4147" s="15"/>
      <c r="H4147" s="15"/>
      <c r="I4147" s="15"/>
      <c r="J4147" s="15"/>
      <c r="K4147" s="15"/>
      <c r="L4147" s="15"/>
      <c r="M4147" s="15"/>
      <c r="N4147" s="15"/>
      <c r="O4147" s="15"/>
      <c r="P4147" s="17"/>
      <c r="Q4147" s="36" t="s">
        <v>2033</v>
      </c>
      <c r="R4147" s="13">
        <v>0</v>
      </c>
      <c r="S4147" s="13">
        <v>0</v>
      </c>
      <c r="T4147" s="13">
        <v>1984</v>
      </c>
      <c r="U4147" s="13">
        <v>1444</v>
      </c>
      <c r="V4147" s="13">
        <v>0</v>
      </c>
      <c r="W4147" s="37">
        <v>2637</v>
      </c>
      <c r="X4147" s="20"/>
      <c r="Y4147" s="15"/>
      <c r="Z4147" s="15"/>
      <c r="AA4147" s="15"/>
      <c r="AB4147" s="15"/>
      <c r="AC4147" s="15"/>
      <c r="AD4147" s="15"/>
      <c r="AE4147" s="15"/>
      <c r="AF4147" s="15"/>
      <c r="AG4147" s="17"/>
    </row>
    <row r="4148" spans="2:33" ht="15" thickBot="1"/>
    <row r="4149" spans="2:33" ht="15" thickBot="1">
      <c r="B4149" s="53" t="s">
        <v>2191</v>
      </c>
      <c r="C4149" s="26" t="s">
        <v>1988</v>
      </c>
      <c r="D4149" s="26" t="s">
        <v>2034</v>
      </c>
      <c r="E4149" s="26" t="s">
        <v>2035</v>
      </c>
      <c r="F4149" s="26" t="s">
        <v>2024</v>
      </c>
      <c r="G4149" s="26" t="s">
        <v>2025</v>
      </c>
      <c r="H4149" s="27" t="s">
        <v>2026</v>
      </c>
      <c r="I4149" s="26" t="s">
        <v>2036</v>
      </c>
      <c r="J4149" s="27" t="s">
        <v>87</v>
      </c>
      <c r="K4149" s="29">
        <v>43.647998809814503</v>
      </c>
      <c r="L4149" s="29">
        <v>43.647998809814503</v>
      </c>
      <c r="M4149" s="29">
        <v>43.647998809814503</v>
      </c>
      <c r="N4149" s="29">
        <v>43.647998809814503</v>
      </c>
      <c r="O4149" s="29">
        <v>43.647998809814503</v>
      </c>
      <c r="P4149" s="40">
        <v>43.647998809814503</v>
      </c>
      <c r="Q4149" s="1" t="s">
        <v>35</v>
      </c>
      <c r="R4149" s="2">
        <v>898</v>
      </c>
      <c r="S4149" s="2">
        <v>668</v>
      </c>
      <c r="T4149" s="2">
        <v>0</v>
      </c>
      <c r="U4149" s="2">
        <v>0</v>
      </c>
      <c r="V4149" s="2">
        <v>0</v>
      </c>
      <c r="W4149" s="2">
        <v>1337</v>
      </c>
      <c r="X4149" s="43">
        <f>SUM(R4149:W4156)</f>
        <v>20184</v>
      </c>
      <c r="Y4149" s="10">
        <v>46204</v>
      </c>
      <c r="Z4149" s="11">
        <v>0.21915174234314722</v>
      </c>
      <c r="AA4149" s="11">
        <v>0.18274192037163289</v>
      </c>
      <c r="AB4149" s="11">
        <v>0.14726787607165501</v>
      </c>
      <c r="AC4149" s="11">
        <v>0.1287497680516306</v>
      </c>
      <c r="AD4149" s="11">
        <v>0.11447820346270936</v>
      </c>
      <c r="AE4149" s="11">
        <v>0.13149780089791482</v>
      </c>
      <c r="AF4149" s="11">
        <v>0.3</v>
      </c>
      <c r="AG4149" s="11">
        <v>0.23899999999999999</v>
      </c>
    </row>
    <row r="4150" spans="2:33">
      <c r="C4150" s="14"/>
      <c r="D4150" s="14"/>
      <c r="E4150" s="14"/>
      <c r="F4150" s="14"/>
      <c r="G4150" s="14"/>
      <c r="H4150" s="14"/>
      <c r="I4150" s="14"/>
      <c r="J4150" s="14"/>
      <c r="K4150" s="14"/>
      <c r="L4150" s="14"/>
      <c r="M4150" s="14"/>
      <c r="N4150" s="14"/>
      <c r="O4150" s="14"/>
      <c r="P4150" s="35"/>
      <c r="Q4150" s="36" t="s">
        <v>36</v>
      </c>
      <c r="R4150" s="13">
        <v>944</v>
      </c>
      <c r="S4150" s="13">
        <v>673</v>
      </c>
      <c r="T4150" s="13">
        <v>0</v>
      </c>
      <c r="U4150" s="13">
        <v>0</v>
      </c>
      <c r="V4150" s="13">
        <v>0</v>
      </c>
      <c r="W4150" s="37">
        <v>1345</v>
      </c>
      <c r="X4150" s="18"/>
      <c r="Y4150" s="14"/>
      <c r="Z4150" s="14"/>
      <c r="AA4150" s="14"/>
      <c r="AB4150" s="14"/>
      <c r="AC4150" s="14"/>
      <c r="AD4150" s="14"/>
      <c r="AE4150" s="14"/>
      <c r="AF4150" s="14"/>
      <c r="AG4150" s="35"/>
    </row>
    <row r="4151" spans="2:33">
      <c r="B4151" s="19"/>
      <c r="P4151" s="16"/>
      <c r="Q4151" s="36" t="s">
        <v>37</v>
      </c>
      <c r="R4151" s="13">
        <v>0</v>
      </c>
      <c r="S4151" s="13">
        <v>902</v>
      </c>
      <c r="T4151" s="13">
        <v>650</v>
      </c>
      <c r="U4151" s="13">
        <v>0</v>
      </c>
      <c r="V4151" s="13">
        <v>0</v>
      </c>
      <c r="W4151" s="37">
        <v>1503</v>
      </c>
      <c r="X4151" s="19"/>
      <c r="AG4151" s="16"/>
    </row>
    <row r="4152" spans="2:33">
      <c r="B4152" s="19"/>
      <c r="P4152" s="16"/>
      <c r="Q4152" s="36" t="s">
        <v>38</v>
      </c>
      <c r="R4152" s="13">
        <v>0</v>
      </c>
      <c r="S4152" s="13">
        <v>0</v>
      </c>
      <c r="T4152" s="13">
        <v>0</v>
      </c>
      <c r="U4152" s="13">
        <v>499</v>
      </c>
      <c r="V4152" s="13">
        <v>471</v>
      </c>
      <c r="W4152" s="37">
        <v>1220</v>
      </c>
      <c r="X4152" s="19"/>
      <c r="AG4152" s="16"/>
    </row>
    <row r="4153" spans="2:33">
      <c r="B4153" s="19"/>
      <c r="P4153" s="16"/>
      <c r="Q4153" s="36" t="s">
        <v>39</v>
      </c>
      <c r="R4153" s="13">
        <v>0</v>
      </c>
      <c r="S4153" s="13">
        <v>0</v>
      </c>
      <c r="T4153" s="13">
        <v>0</v>
      </c>
      <c r="U4153" s="13">
        <v>427</v>
      </c>
      <c r="V4153" s="13">
        <v>462</v>
      </c>
      <c r="W4153" s="37">
        <v>1393</v>
      </c>
      <c r="X4153" s="19"/>
      <c r="AG4153" s="16"/>
    </row>
    <row r="4154" spans="2:33">
      <c r="B4154" s="19"/>
      <c r="P4154" s="16"/>
      <c r="Q4154" s="36" t="s">
        <v>40</v>
      </c>
      <c r="R4154" s="13">
        <v>0</v>
      </c>
      <c r="S4154" s="13">
        <v>0</v>
      </c>
      <c r="T4154" s="13">
        <v>426</v>
      </c>
      <c r="U4154" s="13">
        <v>504</v>
      </c>
      <c r="V4154" s="13">
        <v>0</v>
      </c>
      <c r="W4154" s="37">
        <v>1292</v>
      </c>
      <c r="X4154" s="19"/>
      <c r="AG4154" s="16"/>
    </row>
    <row r="4155" spans="2:33">
      <c r="B4155" s="19"/>
      <c r="P4155" s="16"/>
      <c r="Q4155" s="36" t="s">
        <v>41</v>
      </c>
      <c r="R4155" s="13">
        <v>473</v>
      </c>
      <c r="S4155" s="13">
        <v>553</v>
      </c>
      <c r="T4155" s="13">
        <v>0</v>
      </c>
      <c r="U4155" s="13">
        <v>0</v>
      </c>
      <c r="V4155" s="13">
        <v>0</v>
      </c>
      <c r="W4155" s="37">
        <v>1386</v>
      </c>
      <c r="X4155" s="19"/>
      <c r="AG4155" s="16"/>
    </row>
    <row r="4156" spans="2:33" ht="15" thickBot="1">
      <c r="B4156" s="20"/>
      <c r="C4156" s="15"/>
      <c r="D4156" s="15"/>
      <c r="E4156" s="15"/>
      <c r="F4156" s="15"/>
      <c r="G4156" s="15"/>
      <c r="H4156" s="15"/>
      <c r="I4156" s="15"/>
      <c r="J4156" s="15"/>
      <c r="K4156" s="15"/>
      <c r="L4156" s="15"/>
      <c r="M4156" s="15"/>
      <c r="N4156" s="15"/>
      <c r="O4156" s="15"/>
      <c r="P4156" s="17"/>
      <c r="Q4156" s="36" t="s">
        <v>42</v>
      </c>
      <c r="R4156" s="13">
        <v>0</v>
      </c>
      <c r="S4156" s="13">
        <v>0</v>
      </c>
      <c r="T4156" s="13">
        <v>433</v>
      </c>
      <c r="U4156" s="13">
        <v>442</v>
      </c>
      <c r="V4156" s="13">
        <v>0</v>
      </c>
      <c r="W4156" s="37">
        <v>1283</v>
      </c>
      <c r="X4156" s="20"/>
      <c r="Y4156" s="15"/>
      <c r="Z4156" s="15"/>
      <c r="AA4156" s="15"/>
      <c r="AB4156" s="15"/>
      <c r="AC4156" s="15"/>
      <c r="AD4156" s="15"/>
      <c r="AE4156" s="15"/>
      <c r="AF4156" s="15"/>
      <c r="AG4156" s="17"/>
    </row>
    <row r="4157" spans="2:33" ht="15" thickBot="1"/>
    <row r="4158" spans="2:33" ht="15" thickBot="1">
      <c r="B4158" s="53" t="s">
        <v>2191</v>
      </c>
      <c r="C4158" s="26" t="s">
        <v>2037</v>
      </c>
      <c r="D4158" s="26" t="s">
        <v>2038</v>
      </c>
      <c r="E4158" s="26" t="s">
        <v>2039</v>
      </c>
      <c r="F4158" s="26" t="s">
        <v>2040</v>
      </c>
      <c r="G4158" s="26" t="s">
        <v>2041</v>
      </c>
      <c r="H4158" s="27" t="s">
        <v>821</v>
      </c>
      <c r="I4158" s="26" t="s">
        <v>2042</v>
      </c>
      <c r="J4158" s="27" t="s">
        <v>87</v>
      </c>
      <c r="K4158" s="29">
        <v>35</v>
      </c>
      <c r="L4158" s="29">
        <v>35</v>
      </c>
      <c r="M4158" s="29">
        <v>35</v>
      </c>
      <c r="N4158" s="29">
        <v>35</v>
      </c>
      <c r="O4158" s="29">
        <v>35</v>
      </c>
      <c r="P4158" s="40">
        <v>35</v>
      </c>
      <c r="Q4158" s="1" t="s">
        <v>35</v>
      </c>
      <c r="R4158" s="2">
        <v>0</v>
      </c>
      <c r="S4158" s="2">
        <v>89</v>
      </c>
      <c r="T4158" s="2">
        <v>0</v>
      </c>
      <c r="U4158" s="2">
        <v>59</v>
      </c>
      <c r="V4158" s="2">
        <v>0</v>
      </c>
      <c r="W4158" s="2">
        <v>21</v>
      </c>
      <c r="X4158" s="43">
        <f>SUM(R4158:W4165)</f>
        <v>783</v>
      </c>
      <c r="Y4158" s="10">
        <v>46204</v>
      </c>
      <c r="Z4158" s="11">
        <v>0.21915174234314722</v>
      </c>
      <c r="AA4158" s="11">
        <v>0.18274192037163289</v>
      </c>
      <c r="AB4158" s="11">
        <v>0.14726787607165501</v>
      </c>
      <c r="AC4158" s="11">
        <v>0.1287497680516306</v>
      </c>
      <c r="AD4158" s="11">
        <v>0.11447820346270936</v>
      </c>
      <c r="AE4158" s="11">
        <v>0.13149780089791482</v>
      </c>
      <c r="AF4158" s="11">
        <v>0.3</v>
      </c>
      <c r="AG4158" s="11">
        <v>0.23899999999999999</v>
      </c>
    </row>
    <row r="4159" spans="2:33">
      <c r="C4159" s="14"/>
      <c r="D4159" s="14"/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35"/>
      <c r="Q4159" s="36" t="s">
        <v>36</v>
      </c>
      <c r="R4159" s="13">
        <v>0</v>
      </c>
      <c r="S4159" s="13">
        <v>12</v>
      </c>
      <c r="T4159" s="13">
        <v>0</v>
      </c>
      <c r="U4159" s="13">
        <v>13</v>
      </c>
      <c r="V4159" s="13">
        <v>0</v>
      </c>
      <c r="W4159" s="37">
        <v>13</v>
      </c>
      <c r="X4159" s="18"/>
      <c r="Y4159" s="14"/>
      <c r="Z4159" s="14"/>
      <c r="AA4159" s="14"/>
      <c r="AB4159" s="14"/>
      <c r="AC4159" s="14"/>
      <c r="AD4159" s="14"/>
      <c r="AE4159" s="14"/>
      <c r="AF4159" s="14"/>
      <c r="AG4159" s="35"/>
    </row>
    <row r="4160" spans="2:33">
      <c r="B4160" s="19"/>
      <c r="P4160" s="16"/>
      <c r="Q4160" s="36" t="s">
        <v>37</v>
      </c>
      <c r="R4160" s="13">
        <v>0</v>
      </c>
      <c r="S4160" s="13">
        <v>54</v>
      </c>
      <c r="T4160" s="13">
        <v>0</v>
      </c>
      <c r="U4160" s="13">
        <v>27</v>
      </c>
      <c r="V4160" s="13">
        <v>0</v>
      </c>
      <c r="W4160" s="37">
        <v>19</v>
      </c>
      <c r="X4160" s="19"/>
      <c r="AG4160" s="16"/>
    </row>
    <row r="4161" spans="2:33">
      <c r="B4161" s="19"/>
      <c r="P4161" s="16"/>
      <c r="Q4161" s="36" t="s">
        <v>38</v>
      </c>
      <c r="R4161" s="13">
        <v>0</v>
      </c>
      <c r="S4161" s="13">
        <v>0</v>
      </c>
      <c r="T4161" s="13">
        <v>0</v>
      </c>
      <c r="U4161" s="13">
        <v>62</v>
      </c>
      <c r="V4161" s="13">
        <v>26</v>
      </c>
      <c r="W4161" s="37">
        <v>40</v>
      </c>
      <c r="X4161" s="19"/>
      <c r="AG4161" s="16"/>
    </row>
    <row r="4162" spans="2:33">
      <c r="B4162" s="19"/>
      <c r="P4162" s="16"/>
      <c r="Q4162" s="36" t="s">
        <v>39</v>
      </c>
      <c r="R4162" s="13">
        <v>0</v>
      </c>
      <c r="S4162" s="13">
        <v>0</v>
      </c>
      <c r="T4162" s="13">
        <v>0</v>
      </c>
      <c r="U4162" s="13">
        <v>71</v>
      </c>
      <c r="V4162" s="13">
        <v>43</v>
      </c>
      <c r="W4162" s="37">
        <v>63</v>
      </c>
      <c r="X4162" s="19"/>
      <c r="AG4162" s="16"/>
    </row>
    <row r="4163" spans="2:33">
      <c r="B4163" s="19"/>
      <c r="P4163" s="16"/>
      <c r="Q4163" s="36" t="s">
        <v>40</v>
      </c>
      <c r="R4163" s="13">
        <v>0</v>
      </c>
      <c r="S4163" s="13">
        <v>0</v>
      </c>
      <c r="T4163" s="13">
        <v>0</v>
      </c>
      <c r="U4163" s="13">
        <v>57</v>
      </c>
      <c r="V4163" s="13">
        <v>34</v>
      </c>
      <c r="W4163" s="37">
        <v>45</v>
      </c>
      <c r="X4163" s="19"/>
      <c r="AG4163" s="16"/>
    </row>
    <row r="4164" spans="2:33">
      <c r="B4164" s="19"/>
      <c r="P4164" s="16"/>
      <c r="Q4164" s="36" t="s">
        <v>1832</v>
      </c>
      <c r="R4164" s="13">
        <v>0</v>
      </c>
      <c r="S4164" s="13">
        <v>10</v>
      </c>
      <c r="T4164" s="13">
        <v>7</v>
      </c>
      <c r="U4164" s="13">
        <v>0</v>
      </c>
      <c r="V4164" s="13">
        <v>0</v>
      </c>
      <c r="W4164" s="37">
        <v>2</v>
      </c>
      <c r="X4164" s="19"/>
      <c r="AG4164" s="16"/>
    </row>
    <row r="4165" spans="2:33" ht="15" thickBot="1">
      <c r="B4165" s="20"/>
      <c r="C4165" s="15"/>
      <c r="D4165" s="15"/>
      <c r="E4165" s="15"/>
      <c r="F4165" s="15"/>
      <c r="G4165" s="15"/>
      <c r="H4165" s="15"/>
      <c r="I4165" s="15"/>
      <c r="J4165" s="15"/>
      <c r="K4165" s="15"/>
      <c r="L4165" s="15"/>
      <c r="M4165" s="15"/>
      <c r="N4165" s="15"/>
      <c r="O4165" s="15"/>
      <c r="P4165" s="17"/>
      <c r="Q4165" s="36" t="s">
        <v>46</v>
      </c>
      <c r="R4165" s="13">
        <v>0</v>
      </c>
      <c r="S4165" s="13">
        <v>3</v>
      </c>
      <c r="T4165" s="13">
        <v>6</v>
      </c>
      <c r="U4165" s="13">
        <v>0</v>
      </c>
      <c r="V4165" s="13">
        <v>0</v>
      </c>
      <c r="W4165" s="37">
        <v>7</v>
      </c>
      <c r="X4165" s="20"/>
      <c r="Y4165" s="15"/>
      <c r="Z4165" s="15"/>
      <c r="AA4165" s="15"/>
      <c r="AB4165" s="15"/>
      <c r="AC4165" s="15"/>
      <c r="AD4165" s="15"/>
      <c r="AE4165" s="15"/>
      <c r="AF4165" s="15"/>
      <c r="AG4165" s="17"/>
    </row>
    <row r="4167" spans="2:33" ht="15" thickBot="1">
      <c r="B4167" s="25" t="s">
        <v>2043</v>
      </c>
      <c r="C4167" s="26" t="s">
        <v>2044</v>
      </c>
      <c r="D4167" s="26" t="s">
        <v>2045</v>
      </c>
      <c r="E4167" s="26" t="s">
        <v>2046</v>
      </c>
      <c r="F4167" s="26" t="s">
        <v>2047</v>
      </c>
      <c r="G4167" s="26" t="s">
        <v>537</v>
      </c>
      <c r="H4167" s="27" t="s">
        <v>33</v>
      </c>
      <c r="I4167" s="26" t="s">
        <v>2048</v>
      </c>
      <c r="J4167" s="27" t="s">
        <v>87</v>
      </c>
      <c r="K4167" s="29">
        <v>115</v>
      </c>
      <c r="L4167" s="29">
        <v>115</v>
      </c>
      <c r="M4167" s="29">
        <v>115</v>
      </c>
      <c r="N4167" s="29">
        <v>115</v>
      </c>
      <c r="O4167" s="29">
        <v>115</v>
      </c>
      <c r="P4167" s="40">
        <v>229</v>
      </c>
      <c r="Q4167" s="1" t="s">
        <v>35</v>
      </c>
      <c r="R4167" s="2">
        <v>9036</v>
      </c>
      <c r="S4167" s="2">
        <v>5789</v>
      </c>
      <c r="T4167" s="2">
        <v>0</v>
      </c>
      <c r="U4167" s="2">
        <v>0</v>
      </c>
      <c r="V4167" s="2">
        <v>0</v>
      </c>
      <c r="W4167" s="2">
        <v>9334</v>
      </c>
      <c r="X4167" s="43">
        <f>SUM(R4167:W4178)</f>
        <v>193860</v>
      </c>
      <c r="Y4167" s="10">
        <v>46204</v>
      </c>
      <c r="Z4167" s="11">
        <v>0.21988270681015232</v>
      </c>
      <c r="AA4167" s="11">
        <v>0.18347288483863797</v>
      </c>
      <c r="AB4167" s="11">
        <v>0.14799884053866011</v>
      </c>
      <c r="AC4167" s="11">
        <v>0.1294807325186357</v>
      </c>
      <c r="AD4167" s="11">
        <v>0.11520916792971442</v>
      </c>
      <c r="AE4167" s="11">
        <v>0.1322287653649199</v>
      </c>
      <c r="AF4167" s="11">
        <v>1</v>
      </c>
      <c r="AG4167" s="11">
        <v>0.23899999999999999</v>
      </c>
    </row>
    <row r="4168" spans="2:33">
      <c r="B4168" s="53" t="s">
        <v>2197</v>
      </c>
      <c r="C4168" s="14"/>
      <c r="D4168" s="14"/>
      <c r="E4168" s="14"/>
      <c r="F4168" s="14"/>
      <c r="G4168" s="14"/>
      <c r="H4168" s="14"/>
      <c r="I4168" s="14"/>
      <c r="J4168" s="14"/>
      <c r="K4168" s="14"/>
      <c r="L4168" s="14"/>
      <c r="M4168" s="14"/>
      <c r="N4168" s="14"/>
      <c r="O4168" s="14"/>
      <c r="P4168" s="35"/>
      <c r="Q4168" s="36" t="s">
        <v>36</v>
      </c>
      <c r="R4168" s="13">
        <v>6714</v>
      </c>
      <c r="S4168" s="13">
        <v>4316</v>
      </c>
      <c r="T4168" s="13">
        <v>0</v>
      </c>
      <c r="U4168" s="13">
        <v>0</v>
      </c>
      <c r="V4168" s="13">
        <v>0</v>
      </c>
      <c r="W4168" s="37">
        <v>8025</v>
      </c>
      <c r="X4168" s="18"/>
      <c r="Y4168" s="14"/>
      <c r="Z4168" s="14"/>
      <c r="AA4168" s="14"/>
      <c r="AB4168" s="14"/>
      <c r="AC4168" s="14"/>
      <c r="AD4168" s="14"/>
      <c r="AE4168" s="14"/>
      <c r="AF4168" s="14"/>
      <c r="AG4168" s="35"/>
    </row>
    <row r="4169" spans="2:33">
      <c r="B4169" s="19"/>
      <c r="P4169" s="16"/>
      <c r="Q4169" s="36" t="s">
        <v>37</v>
      </c>
      <c r="R4169" s="13">
        <v>0</v>
      </c>
      <c r="S4169" s="13">
        <v>7482</v>
      </c>
      <c r="T4169" s="13">
        <v>4950</v>
      </c>
      <c r="U4169" s="13">
        <v>0</v>
      </c>
      <c r="V4169" s="13">
        <v>0</v>
      </c>
      <c r="W4169" s="37">
        <v>8482</v>
      </c>
      <c r="X4169" s="19"/>
      <c r="AG4169" s="16"/>
    </row>
    <row r="4170" spans="2:33">
      <c r="B4170" s="19"/>
      <c r="P4170" s="16"/>
      <c r="Q4170" s="36" t="s">
        <v>38</v>
      </c>
      <c r="R4170" s="13">
        <v>0</v>
      </c>
      <c r="S4170" s="13">
        <v>0</v>
      </c>
      <c r="T4170" s="13">
        <v>0</v>
      </c>
      <c r="U4170" s="13">
        <v>4636</v>
      </c>
      <c r="V4170" s="13">
        <v>3085</v>
      </c>
      <c r="W4170" s="37">
        <v>4560</v>
      </c>
      <c r="X4170" s="19"/>
      <c r="AG4170" s="16"/>
    </row>
    <row r="4171" spans="2:33">
      <c r="B4171" s="19"/>
      <c r="P4171" s="16"/>
      <c r="Q4171" s="36" t="s">
        <v>39</v>
      </c>
      <c r="R4171" s="13">
        <v>0</v>
      </c>
      <c r="S4171" s="13">
        <v>0</v>
      </c>
      <c r="T4171" s="13">
        <v>0</v>
      </c>
      <c r="U4171" s="13">
        <v>4696</v>
      </c>
      <c r="V4171" s="13">
        <v>3106</v>
      </c>
      <c r="W4171" s="37">
        <v>3474</v>
      </c>
      <c r="X4171" s="19"/>
      <c r="AG4171" s="16"/>
    </row>
    <row r="4172" spans="2:33">
      <c r="B4172" s="19"/>
      <c r="P4172" s="16"/>
      <c r="Q4172" s="36" t="s">
        <v>40</v>
      </c>
      <c r="R4172" s="13">
        <v>0</v>
      </c>
      <c r="S4172" s="13">
        <v>0</v>
      </c>
      <c r="T4172" s="13">
        <v>8633</v>
      </c>
      <c r="U4172" s="13">
        <v>5659</v>
      </c>
      <c r="V4172" s="13">
        <v>0</v>
      </c>
      <c r="W4172" s="37">
        <v>4130</v>
      </c>
      <c r="X4172" s="19"/>
      <c r="AG4172" s="16"/>
    </row>
    <row r="4173" spans="2:33">
      <c r="B4173" s="19"/>
      <c r="P4173" s="16"/>
      <c r="Q4173" s="36" t="s">
        <v>41</v>
      </c>
      <c r="R4173" s="13">
        <v>9945</v>
      </c>
      <c r="S4173" s="13">
        <v>6550</v>
      </c>
      <c r="T4173" s="13">
        <v>0</v>
      </c>
      <c r="U4173" s="13">
        <v>0</v>
      </c>
      <c r="V4173" s="13">
        <v>0</v>
      </c>
      <c r="W4173" s="37">
        <v>4429</v>
      </c>
      <c r="X4173" s="19"/>
      <c r="AG4173" s="16"/>
    </row>
    <row r="4174" spans="2:33">
      <c r="B4174" s="19"/>
      <c r="P4174" s="16"/>
      <c r="Q4174" s="36" t="s">
        <v>42</v>
      </c>
      <c r="R4174" s="13">
        <v>0</v>
      </c>
      <c r="S4174" s="13">
        <v>0</v>
      </c>
      <c r="T4174" s="13">
        <v>4564</v>
      </c>
      <c r="U4174" s="13">
        <v>3409</v>
      </c>
      <c r="V4174" s="13">
        <v>0</v>
      </c>
      <c r="W4174" s="37">
        <v>3761</v>
      </c>
      <c r="X4174" s="19"/>
      <c r="AG4174" s="16"/>
    </row>
    <row r="4175" spans="2:33">
      <c r="B4175" s="19"/>
      <c r="P4175" s="16"/>
      <c r="Q4175" s="36" t="s">
        <v>43</v>
      </c>
      <c r="R4175" s="13">
        <v>0</v>
      </c>
      <c r="S4175" s="13">
        <v>0</v>
      </c>
      <c r="T4175" s="13">
        <v>4027</v>
      </c>
      <c r="U4175" s="13">
        <v>2962</v>
      </c>
      <c r="V4175" s="13">
        <v>0</v>
      </c>
      <c r="W4175" s="37">
        <v>3306</v>
      </c>
      <c r="X4175" s="19"/>
      <c r="AG4175" s="16"/>
    </row>
    <row r="4176" spans="2:33">
      <c r="B4176" s="19"/>
      <c r="P4176" s="16"/>
      <c r="Q4176" s="36" t="s">
        <v>44</v>
      </c>
      <c r="R4176" s="13">
        <v>0</v>
      </c>
      <c r="S4176" s="13">
        <v>0</v>
      </c>
      <c r="T4176" s="13">
        <v>0</v>
      </c>
      <c r="U4176" s="13">
        <v>3494</v>
      </c>
      <c r="V4176" s="13">
        <v>2260</v>
      </c>
      <c r="W4176" s="37">
        <v>1916</v>
      </c>
      <c r="X4176" s="19"/>
      <c r="AG4176" s="16"/>
    </row>
    <row r="4177" spans="2:33">
      <c r="B4177" s="19"/>
      <c r="P4177" s="16"/>
      <c r="Q4177" s="36" t="s">
        <v>45</v>
      </c>
      <c r="R4177" s="13">
        <v>0</v>
      </c>
      <c r="S4177" s="13">
        <v>5563</v>
      </c>
      <c r="T4177" s="13">
        <v>3754</v>
      </c>
      <c r="U4177" s="13">
        <v>0</v>
      </c>
      <c r="V4177" s="13">
        <v>0</v>
      </c>
      <c r="W4177" s="37">
        <v>6292</v>
      </c>
      <c r="X4177" s="19"/>
      <c r="AG4177" s="16"/>
    </row>
    <row r="4178" spans="2:33" ht="15" thickBot="1">
      <c r="B4178" s="20"/>
      <c r="C4178" s="15"/>
      <c r="D4178" s="15"/>
      <c r="E4178" s="15"/>
      <c r="F4178" s="15"/>
      <c r="G4178" s="15"/>
      <c r="H4178" s="15"/>
      <c r="I4178" s="15"/>
      <c r="J4178" s="15"/>
      <c r="K4178" s="15"/>
      <c r="L4178" s="15"/>
      <c r="M4178" s="15"/>
      <c r="N4178" s="15"/>
      <c r="O4178" s="15"/>
      <c r="P4178" s="17"/>
      <c r="Q4178" s="36" t="s">
        <v>46</v>
      </c>
      <c r="R4178" s="13">
        <v>7500</v>
      </c>
      <c r="S4178" s="13">
        <v>5250</v>
      </c>
      <c r="T4178" s="13">
        <v>0</v>
      </c>
      <c r="U4178" s="13">
        <v>0</v>
      </c>
      <c r="V4178" s="13">
        <v>2</v>
      </c>
      <c r="W4178" s="37">
        <v>8769</v>
      </c>
      <c r="X4178" s="20"/>
      <c r="Y4178" s="15"/>
      <c r="Z4178" s="15"/>
      <c r="AA4178" s="15"/>
      <c r="AB4178" s="15"/>
      <c r="AC4178" s="15"/>
      <c r="AD4178" s="15"/>
      <c r="AE4178" s="15"/>
      <c r="AF4178" s="15"/>
      <c r="AG4178" s="17"/>
    </row>
    <row r="4180" spans="2:33" ht="15" thickBot="1">
      <c r="B4180" s="25" t="s">
        <v>2049</v>
      </c>
      <c r="C4180" s="26" t="s">
        <v>1809</v>
      </c>
      <c r="D4180" s="26" t="s">
        <v>2050</v>
      </c>
      <c r="E4180" s="26" t="s">
        <v>2051</v>
      </c>
      <c r="F4180" s="26" t="s">
        <v>2052</v>
      </c>
      <c r="G4180" s="26" t="s">
        <v>2053</v>
      </c>
      <c r="H4180" s="27" t="s">
        <v>693</v>
      </c>
      <c r="I4180" s="26" t="s">
        <v>2054</v>
      </c>
      <c r="J4180" s="27" t="s">
        <v>87</v>
      </c>
      <c r="K4180" s="29">
        <v>105</v>
      </c>
      <c r="L4180" s="29">
        <v>105</v>
      </c>
      <c r="M4180" s="29">
        <v>105</v>
      </c>
      <c r="N4180" s="29">
        <v>105</v>
      </c>
      <c r="O4180" s="29">
        <v>105</v>
      </c>
      <c r="P4180" s="40">
        <v>115</v>
      </c>
      <c r="Q4180" s="1" t="s">
        <v>35</v>
      </c>
      <c r="R4180" s="2">
        <v>0</v>
      </c>
      <c r="S4180" s="2">
        <v>7802</v>
      </c>
      <c r="T4180" s="2">
        <v>0</v>
      </c>
      <c r="U4180" s="2">
        <v>5180</v>
      </c>
      <c r="V4180" s="2">
        <v>0</v>
      </c>
      <c r="W4180" s="2">
        <v>7059</v>
      </c>
      <c r="X4180" s="43">
        <f>SUM(R4180:W4191)</f>
        <v>310721</v>
      </c>
      <c r="Y4180" s="10">
        <v>46204</v>
      </c>
      <c r="Z4180" s="11">
        <v>0.21822774234314721</v>
      </c>
      <c r="AA4180" s="11">
        <v>0.19176892037163287</v>
      </c>
      <c r="AB4180" s="11">
        <v>0.16994687607165501</v>
      </c>
      <c r="AC4180" s="11">
        <v>0.13533276805163061</v>
      </c>
      <c r="AD4180" s="11">
        <v>0.11849120346270935</v>
      </c>
      <c r="AE4180" s="11">
        <v>0.13112980089791482</v>
      </c>
      <c r="AF4180" s="11">
        <v>0.2</v>
      </c>
      <c r="AG4180" s="11">
        <v>1.2709999999999999</v>
      </c>
    </row>
    <row r="4181" spans="2:33">
      <c r="B4181" s="18"/>
      <c r="C4181" s="14"/>
      <c r="D4181" s="14"/>
      <c r="E4181" s="14"/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35"/>
      <c r="Q4181" s="36" t="s">
        <v>36</v>
      </c>
      <c r="R4181" s="13">
        <v>0</v>
      </c>
      <c r="S4181" s="13">
        <v>7079</v>
      </c>
      <c r="T4181" s="13">
        <v>0</v>
      </c>
      <c r="U4181" s="13">
        <v>4618</v>
      </c>
      <c r="V4181" s="13">
        <v>0</v>
      </c>
      <c r="W4181" s="37">
        <v>5771</v>
      </c>
      <c r="X4181" s="18"/>
      <c r="Y4181" s="14"/>
      <c r="Z4181" s="14"/>
      <c r="AA4181" s="14"/>
      <c r="AB4181" s="14"/>
      <c r="AC4181" s="14"/>
      <c r="AD4181" s="14"/>
      <c r="AE4181" s="14"/>
      <c r="AF4181" s="14"/>
      <c r="AG4181" s="35"/>
    </row>
    <row r="4182" spans="2:33">
      <c r="B4182" s="19"/>
      <c r="P4182" s="16"/>
      <c r="Q4182" s="36" t="s">
        <v>37</v>
      </c>
      <c r="R4182" s="13">
        <v>0</v>
      </c>
      <c r="S4182" s="13">
        <v>8335</v>
      </c>
      <c r="T4182" s="13">
        <v>0</v>
      </c>
      <c r="U4182" s="13">
        <v>5338</v>
      </c>
      <c r="V4182" s="13">
        <v>0</v>
      </c>
      <c r="W4182" s="37">
        <v>7116</v>
      </c>
      <c r="X4182" s="19"/>
      <c r="AG4182" s="16"/>
    </row>
    <row r="4183" spans="2:33">
      <c r="B4183" s="19"/>
      <c r="P4183" s="16"/>
      <c r="Q4183" s="36" t="s">
        <v>38</v>
      </c>
      <c r="R4183" s="13">
        <v>0</v>
      </c>
      <c r="S4183" s="13">
        <v>0</v>
      </c>
      <c r="T4183" s="13">
        <v>0</v>
      </c>
      <c r="U4183" s="13">
        <v>9717</v>
      </c>
      <c r="V4183" s="13">
        <v>6121</v>
      </c>
      <c r="W4183" s="37">
        <v>6939</v>
      </c>
      <c r="X4183" s="19"/>
      <c r="AG4183" s="16"/>
    </row>
    <row r="4184" spans="2:33">
      <c r="B4184" s="19"/>
      <c r="P4184" s="16"/>
      <c r="Q4184" s="36" t="s">
        <v>39</v>
      </c>
      <c r="R4184" s="13">
        <v>0</v>
      </c>
      <c r="S4184" s="13">
        <v>0</v>
      </c>
      <c r="T4184" s="13">
        <v>0</v>
      </c>
      <c r="U4184" s="13">
        <v>10746</v>
      </c>
      <c r="V4184" s="13">
        <v>6357</v>
      </c>
      <c r="W4184" s="37">
        <v>8844</v>
      </c>
      <c r="X4184" s="19"/>
      <c r="AG4184" s="16"/>
    </row>
    <row r="4185" spans="2:33">
      <c r="B4185" s="19"/>
      <c r="P4185" s="16"/>
      <c r="Q4185" s="36" t="s">
        <v>40</v>
      </c>
      <c r="R4185" s="13">
        <v>0</v>
      </c>
      <c r="S4185" s="13">
        <v>0</v>
      </c>
      <c r="T4185" s="13">
        <v>0</v>
      </c>
      <c r="U4185" s="13">
        <v>12761</v>
      </c>
      <c r="V4185" s="13">
        <v>7192</v>
      </c>
      <c r="W4185" s="37">
        <v>9258</v>
      </c>
      <c r="X4185" s="19"/>
      <c r="AG4185" s="16"/>
    </row>
    <row r="4186" spans="2:33">
      <c r="B4186" s="19"/>
      <c r="P4186" s="16"/>
      <c r="Q4186" s="36" t="s">
        <v>41</v>
      </c>
      <c r="R4186" s="13">
        <v>16313</v>
      </c>
      <c r="S4186" s="13">
        <v>0</v>
      </c>
      <c r="T4186" s="13">
        <v>9236</v>
      </c>
      <c r="U4186" s="13">
        <v>0</v>
      </c>
      <c r="V4186" s="13">
        <v>0</v>
      </c>
      <c r="W4186" s="37">
        <v>9412</v>
      </c>
      <c r="X4186" s="19"/>
      <c r="AG4186" s="16"/>
    </row>
    <row r="4187" spans="2:33">
      <c r="B4187" s="19"/>
      <c r="P4187" s="16"/>
      <c r="Q4187" s="36" t="s">
        <v>42</v>
      </c>
      <c r="R4187" s="13">
        <v>14746</v>
      </c>
      <c r="S4187" s="13">
        <v>0</v>
      </c>
      <c r="T4187" s="13">
        <v>8074</v>
      </c>
      <c r="U4187" s="13">
        <v>0</v>
      </c>
      <c r="V4187" s="13">
        <v>0</v>
      </c>
      <c r="W4187" s="37">
        <v>12803</v>
      </c>
      <c r="X4187" s="19"/>
      <c r="AG4187" s="16"/>
    </row>
    <row r="4188" spans="2:33">
      <c r="B4188" s="19"/>
      <c r="P4188" s="16"/>
      <c r="Q4188" s="36" t="s">
        <v>43</v>
      </c>
      <c r="R4188" s="13">
        <v>13644</v>
      </c>
      <c r="S4188" s="13">
        <v>0</v>
      </c>
      <c r="T4188" s="13">
        <v>7832</v>
      </c>
      <c r="U4188" s="13">
        <v>0</v>
      </c>
      <c r="V4188" s="13">
        <v>0</v>
      </c>
      <c r="W4188" s="37">
        <v>9748</v>
      </c>
      <c r="X4188" s="19"/>
      <c r="AG4188" s="16"/>
    </row>
    <row r="4189" spans="2:33">
      <c r="B4189" s="19"/>
      <c r="P4189" s="16"/>
      <c r="Q4189" s="36" t="s">
        <v>44</v>
      </c>
      <c r="R4189" s="13">
        <v>12865</v>
      </c>
      <c r="S4189" s="13">
        <v>0</v>
      </c>
      <c r="T4189" s="13">
        <v>7512</v>
      </c>
      <c r="U4189" s="13">
        <v>0</v>
      </c>
      <c r="V4189" s="13">
        <v>0</v>
      </c>
      <c r="W4189" s="37">
        <v>8518</v>
      </c>
      <c r="X4189" s="19"/>
      <c r="AG4189" s="16"/>
    </row>
    <row r="4190" spans="2:33">
      <c r="B4190" s="19"/>
      <c r="P4190" s="16"/>
      <c r="Q4190" s="36" t="s">
        <v>45</v>
      </c>
      <c r="R4190" s="13">
        <v>0</v>
      </c>
      <c r="S4190" s="13">
        <v>9551</v>
      </c>
      <c r="T4190" s="13">
        <v>5564</v>
      </c>
      <c r="U4190" s="13">
        <v>0</v>
      </c>
      <c r="V4190" s="13">
        <v>0</v>
      </c>
      <c r="W4190" s="37">
        <v>8834</v>
      </c>
      <c r="X4190" s="19"/>
      <c r="AG4190" s="16"/>
    </row>
    <row r="4191" spans="2:33" ht="15" thickBot="1">
      <c r="B4191" s="20"/>
      <c r="C4191" s="15"/>
      <c r="D4191" s="15"/>
      <c r="E4191" s="15"/>
      <c r="F4191" s="15"/>
      <c r="G4191" s="15"/>
      <c r="H4191" s="15"/>
      <c r="I4191" s="15"/>
      <c r="J4191" s="15"/>
      <c r="K4191" s="15"/>
      <c r="L4191" s="15"/>
      <c r="M4191" s="15"/>
      <c r="N4191" s="15"/>
      <c r="O4191" s="15"/>
      <c r="P4191" s="17"/>
      <c r="Q4191" s="36" t="s">
        <v>46</v>
      </c>
      <c r="R4191" s="13">
        <v>0</v>
      </c>
      <c r="S4191" s="13">
        <v>7555</v>
      </c>
      <c r="T4191" s="13">
        <v>4824</v>
      </c>
      <c r="U4191" s="13">
        <v>0</v>
      </c>
      <c r="V4191" s="13">
        <v>0</v>
      </c>
      <c r="W4191" s="37">
        <v>7457</v>
      </c>
      <c r="X4191" s="20"/>
      <c r="Y4191" s="15"/>
      <c r="Z4191" s="15"/>
      <c r="AA4191" s="15"/>
      <c r="AB4191" s="15"/>
      <c r="AC4191" s="15"/>
      <c r="AD4191" s="15"/>
      <c r="AE4191" s="15"/>
      <c r="AF4191" s="15"/>
      <c r="AG4191" s="17"/>
    </row>
    <row r="4193" spans="2:33" ht="15" thickBot="1">
      <c r="B4193" s="25" t="s">
        <v>2049</v>
      </c>
      <c r="C4193" s="26" t="s">
        <v>1809</v>
      </c>
      <c r="D4193" s="26" t="s">
        <v>2055</v>
      </c>
      <c r="E4193" s="26" t="s">
        <v>2056</v>
      </c>
      <c r="F4193" s="26" t="s">
        <v>2057</v>
      </c>
      <c r="G4193" s="26" t="s">
        <v>2058</v>
      </c>
      <c r="H4193" s="27" t="s">
        <v>821</v>
      </c>
      <c r="I4193" s="26" t="s">
        <v>2059</v>
      </c>
      <c r="J4193" s="27" t="s">
        <v>87</v>
      </c>
      <c r="K4193" s="29">
        <v>120</v>
      </c>
      <c r="L4193" s="29">
        <v>120</v>
      </c>
      <c r="M4193" s="29">
        <v>120</v>
      </c>
      <c r="N4193" s="29">
        <v>120</v>
      </c>
      <c r="O4193" s="29">
        <v>120</v>
      </c>
      <c r="P4193" s="40">
        <v>150</v>
      </c>
      <c r="Q4193" s="1" t="s">
        <v>35</v>
      </c>
      <c r="R4193" s="2">
        <v>0</v>
      </c>
      <c r="S4193" s="2">
        <v>14907</v>
      </c>
      <c r="T4193" s="2">
        <v>0</v>
      </c>
      <c r="U4193" s="2">
        <v>8258</v>
      </c>
      <c r="V4193" s="2">
        <v>0</v>
      </c>
      <c r="W4193" s="2">
        <v>9576</v>
      </c>
      <c r="X4193" s="43">
        <f>SUM(R4193:W4205)</f>
        <v>384333</v>
      </c>
      <c r="Y4193" s="10">
        <v>46204</v>
      </c>
      <c r="Z4193" s="11">
        <v>0.21822774234314721</v>
      </c>
      <c r="AA4193" s="11">
        <v>0.19176892037163287</v>
      </c>
      <c r="AB4193" s="11">
        <v>0.16994687607165501</v>
      </c>
      <c r="AC4193" s="11">
        <v>0.13533276805163061</v>
      </c>
      <c r="AD4193" s="11">
        <v>0.11849120346270935</v>
      </c>
      <c r="AE4193" s="11">
        <v>0.13112980089791482</v>
      </c>
      <c r="AF4193" s="11">
        <v>0.2</v>
      </c>
      <c r="AG4193" s="11">
        <v>1.2709999999999999</v>
      </c>
    </row>
    <row r="4194" spans="2:33">
      <c r="B4194" s="18"/>
      <c r="C4194" s="14"/>
      <c r="D4194" s="14"/>
      <c r="E4194" s="14"/>
      <c r="F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35"/>
      <c r="Q4194" s="36" t="s">
        <v>36</v>
      </c>
      <c r="R4194" s="13">
        <v>0</v>
      </c>
      <c r="S4194" s="13">
        <v>12222</v>
      </c>
      <c r="T4194" s="13">
        <v>0</v>
      </c>
      <c r="U4194" s="13">
        <v>7516</v>
      </c>
      <c r="V4194" s="13">
        <v>0</v>
      </c>
      <c r="W4194" s="37">
        <v>10630</v>
      </c>
      <c r="X4194" s="18"/>
      <c r="Y4194" s="14"/>
      <c r="Z4194" s="14"/>
      <c r="AA4194" s="14"/>
      <c r="AB4194" s="14"/>
      <c r="AC4194" s="14"/>
      <c r="AD4194" s="14"/>
      <c r="AE4194" s="14"/>
      <c r="AF4194" s="14"/>
      <c r="AG4194" s="35"/>
    </row>
    <row r="4195" spans="2:33">
      <c r="B4195" s="19"/>
      <c r="P4195" s="16"/>
      <c r="Q4195" s="36" t="s">
        <v>37</v>
      </c>
      <c r="R4195" s="13">
        <v>0</v>
      </c>
      <c r="S4195" s="13">
        <v>12059</v>
      </c>
      <c r="T4195" s="13">
        <v>0</v>
      </c>
      <c r="U4195" s="13">
        <v>8525</v>
      </c>
      <c r="V4195" s="13">
        <v>0</v>
      </c>
      <c r="W4195" s="37">
        <v>19885</v>
      </c>
      <c r="X4195" s="19"/>
      <c r="AG4195" s="16"/>
    </row>
    <row r="4196" spans="2:33">
      <c r="B4196" s="19"/>
      <c r="P4196" s="16"/>
      <c r="Q4196" s="36" t="s">
        <v>38</v>
      </c>
      <c r="R4196" s="13">
        <v>0</v>
      </c>
      <c r="S4196" s="13">
        <v>0</v>
      </c>
      <c r="T4196" s="13">
        <v>0</v>
      </c>
      <c r="U4196" s="13">
        <v>12684</v>
      </c>
      <c r="V4196" s="13">
        <v>6765</v>
      </c>
      <c r="W4196" s="37">
        <v>7229</v>
      </c>
      <c r="X4196" s="19"/>
      <c r="AG4196" s="16"/>
    </row>
    <row r="4197" spans="2:33">
      <c r="B4197" s="19"/>
      <c r="P4197" s="16"/>
      <c r="Q4197" s="36" t="s">
        <v>39</v>
      </c>
      <c r="R4197" s="13">
        <v>0</v>
      </c>
      <c r="S4197" s="13">
        <v>0</v>
      </c>
      <c r="T4197" s="13">
        <v>0</v>
      </c>
      <c r="U4197" s="13">
        <v>14576</v>
      </c>
      <c r="V4197" s="13">
        <v>7400</v>
      </c>
      <c r="W4197" s="37">
        <v>8931</v>
      </c>
      <c r="X4197" s="19"/>
      <c r="AG4197" s="16"/>
    </row>
    <row r="4198" spans="2:33">
      <c r="B4198" s="19"/>
      <c r="P4198" s="16"/>
      <c r="Q4198" s="36" t="s">
        <v>40</v>
      </c>
      <c r="R4198" s="13">
        <v>0</v>
      </c>
      <c r="S4198" s="13">
        <v>0</v>
      </c>
      <c r="T4198" s="13">
        <v>0</v>
      </c>
      <c r="U4198" s="13">
        <v>15409</v>
      </c>
      <c r="V4198" s="13">
        <v>9613</v>
      </c>
      <c r="W4198" s="37">
        <v>17053</v>
      </c>
      <c r="X4198" s="19"/>
      <c r="AG4198" s="16"/>
    </row>
    <row r="4199" spans="2:33">
      <c r="B4199" s="19"/>
      <c r="P4199" s="16"/>
      <c r="Q4199" s="36" t="s">
        <v>41</v>
      </c>
      <c r="R4199" s="13">
        <v>18880</v>
      </c>
      <c r="S4199" s="13">
        <v>0</v>
      </c>
      <c r="T4199" s="13">
        <v>10249</v>
      </c>
      <c r="U4199" s="13">
        <v>0</v>
      </c>
      <c r="V4199" s="13">
        <v>0</v>
      </c>
      <c r="W4199" s="37">
        <v>7455</v>
      </c>
      <c r="X4199" s="19"/>
      <c r="AG4199" s="16"/>
    </row>
    <row r="4200" spans="2:33">
      <c r="B4200" s="19"/>
      <c r="P4200" s="16"/>
      <c r="Q4200" s="36" t="s">
        <v>42</v>
      </c>
      <c r="R4200" s="13">
        <v>15782</v>
      </c>
      <c r="S4200" s="13">
        <v>0</v>
      </c>
      <c r="T4200" s="13">
        <v>8214</v>
      </c>
      <c r="U4200" s="13">
        <v>0</v>
      </c>
      <c r="V4200" s="13">
        <v>0</v>
      </c>
      <c r="W4200" s="37">
        <v>9239</v>
      </c>
      <c r="X4200" s="19"/>
      <c r="AG4200" s="16"/>
    </row>
    <row r="4201" spans="2:33">
      <c r="B4201" s="19"/>
      <c r="P4201" s="16"/>
      <c r="Q4201" s="36" t="s">
        <v>43</v>
      </c>
      <c r="R4201" s="13">
        <v>19034</v>
      </c>
      <c r="S4201" s="13">
        <v>0</v>
      </c>
      <c r="T4201" s="13">
        <v>10086</v>
      </c>
      <c r="U4201" s="13">
        <v>0</v>
      </c>
      <c r="V4201" s="13">
        <v>0</v>
      </c>
      <c r="W4201" s="37">
        <v>7371</v>
      </c>
      <c r="X4201" s="19"/>
      <c r="AG4201" s="16"/>
    </row>
    <row r="4202" spans="2:33">
      <c r="B4202" s="19"/>
      <c r="P4202" s="16"/>
      <c r="Q4202" s="36" t="s">
        <v>44</v>
      </c>
      <c r="R4202" s="13">
        <v>17380</v>
      </c>
      <c r="S4202" s="13">
        <v>0</v>
      </c>
      <c r="T4202" s="13">
        <v>9397</v>
      </c>
      <c r="U4202" s="13">
        <v>0</v>
      </c>
      <c r="V4202" s="13">
        <v>0</v>
      </c>
      <c r="W4202" s="37">
        <v>7359</v>
      </c>
      <c r="X4202" s="19"/>
      <c r="AG4202" s="16"/>
    </row>
    <row r="4203" spans="2:33">
      <c r="B4203" s="19"/>
      <c r="P4203" s="16"/>
      <c r="Q4203" s="36" t="s">
        <v>554</v>
      </c>
      <c r="R4203" s="13">
        <v>0</v>
      </c>
      <c r="S4203" s="13">
        <v>8022</v>
      </c>
      <c r="T4203" s="13">
        <v>4601</v>
      </c>
      <c r="U4203" s="13">
        <v>0</v>
      </c>
      <c r="V4203" s="13">
        <v>0</v>
      </c>
      <c r="W4203" s="37">
        <v>5239</v>
      </c>
      <c r="X4203" s="19"/>
      <c r="AG4203" s="16"/>
    </row>
    <row r="4204" spans="2:33">
      <c r="B4204" s="19"/>
      <c r="P4204" s="16"/>
      <c r="Q4204" s="36" t="s">
        <v>641</v>
      </c>
      <c r="R4204" s="13">
        <v>0</v>
      </c>
      <c r="S4204" s="13">
        <v>1581</v>
      </c>
      <c r="T4204" s="13">
        <v>887</v>
      </c>
      <c r="U4204" s="13">
        <v>0</v>
      </c>
      <c r="V4204" s="13">
        <v>0</v>
      </c>
      <c r="W4204" s="37">
        <v>1572</v>
      </c>
      <c r="X4204" s="19"/>
      <c r="AG4204" s="16"/>
    </row>
    <row r="4205" spans="2:33" ht="15" thickBot="1">
      <c r="B4205" s="20"/>
      <c r="C4205" s="15"/>
      <c r="D4205" s="15"/>
      <c r="E4205" s="15"/>
      <c r="F4205" s="15"/>
      <c r="G4205" s="15"/>
      <c r="H4205" s="15"/>
      <c r="I4205" s="15"/>
      <c r="J4205" s="15"/>
      <c r="K4205" s="15"/>
      <c r="L4205" s="15"/>
      <c r="M4205" s="15"/>
      <c r="N4205" s="15"/>
      <c r="O4205" s="15"/>
      <c r="P4205" s="17"/>
      <c r="Q4205" s="36" t="s">
        <v>46</v>
      </c>
      <c r="R4205" s="13">
        <v>0</v>
      </c>
      <c r="S4205" s="13">
        <v>8063</v>
      </c>
      <c r="T4205" s="13">
        <v>4406</v>
      </c>
      <c r="U4205" s="13">
        <v>0</v>
      </c>
      <c r="V4205" s="13">
        <v>0</v>
      </c>
      <c r="W4205" s="37">
        <v>6278</v>
      </c>
      <c r="X4205" s="20"/>
      <c r="Y4205" s="15"/>
      <c r="Z4205" s="15"/>
      <c r="AA4205" s="15"/>
      <c r="AB4205" s="15"/>
      <c r="AC4205" s="15"/>
      <c r="AD4205" s="15"/>
      <c r="AE4205" s="15"/>
      <c r="AF4205" s="15"/>
      <c r="AG4205" s="17"/>
    </row>
    <row r="4207" spans="2:33" ht="15" thickBot="1">
      <c r="B4207" s="25" t="s">
        <v>2049</v>
      </c>
      <c r="C4207" s="26" t="s">
        <v>1809</v>
      </c>
      <c r="D4207" s="26" t="s">
        <v>2060</v>
      </c>
      <c r="E4207" s="26" t="s">
        <v>2061</v>
      </c>
      <c r="F4207" s="26" t="s">
        <v>2062</v>
      </c>
      <c r="G4207" s="26" t="s">
        <v>2063</v>
      </c>
      <c r="H4207" s="27" t="s">
        <v>693</v>
      </c>
      <c r="I4207" s="26" t="s">
        <v>2064</v>
      </c>
      <c r="J4207" s="27" t="s">
        <v>87</v>
      </c>
      <c r="K4207" s="29">
        <v>55</v>
      </c>
      <c r="L4207" s="29">
        <v>55</v>
      </c>
      <c r="M4207" s="29">
        <v>55</v>
      </c>
      <c r="N4207" s="29">
        <v>55</v>
      </c>
      <c r="O4207" s="29">
        <v>55</v>
      </c>
      <c r="P4207" s="40">
        <v>70</v>
      </c>
      <c r="Q4207" s="1" t="s">
        <v>35</v>
      </c>
      <c r="R4207" s="2">
        <v>0</v>
      </c>
      <c r="S4207" s="2">
        <v>4603</v>
      </c>
      <c r="T4207" s="2">
        <v>0</v>
      </c>
      <c r="U4207" s="2">
        <v>2816</v>
      </c>
      <c r="V4207" s="2">
        <v>0</v>
      </c>
      <c r="W4207" s="2">
        <v>3548</v>
      </c>
      <c r="X4207" s="43">
        <f>SUM(R4207:W4231)</f>
        <v>334249</v>
      </c>
      <c r="Y4207" s="10">
        <v>46204</v>
      </c>
      <c r="Z4207" s="11">
        <v>0.21822774234314721</v>
      </c>
      <c r="AA4207" s="11">
        <v>0.19176892037163287</v>
      </c>
      <c r="AB4207" s="11">
        <v>0.16994687607165501</v>
      </c>
      <c r="AC4207" s="11">
        <v>0.13533276805163061</v>
      </c>
      <c r="AD4207" s="11">
        <v>0.11849120346270935</v>
      </c>
      <c r="AE4207" s="11">
        <v>0.13112980089791482</v>
      </c>
      <c r="AF4207" s="11">
        <v>0.2</v>
      </c>
      <c r="AG4207" s="11">
        <v>1.2709999999999999</v>
      </c>
    </row>
    <row r="4208" spans="2:33">
      <c r="B4208" s="18"/>
      <c r="C4208" s="14"/>
      <c r="D4208" s="14"/>
      <c r="E4208" s="14"/>
      <c r="F4208" s="14"/>
      <c r="G4208" s="14"/>
      <c r="H4208" s="14"/>
      <c r="I4208" s="14"/>
      <c r="J4208" s="14"/>
      <c r="K4208" s="14"/>
      <c r="L4208" s="14"/>
      <c r="M4208" s="14"/>
      <c r="N4208" s="14"/>
      <c r="O4208" s="14"/>
      <c r="P4208" s="35"/>
      <c r="Q4208" s="36" t="s">
        <v>36</v>
      </c>
      <c r="R4208" s="13">
        <v>0</v>
      </c>
      <c r="S4208" s="13">
        <v>4780</v>
      </c>
      <c r="T4208" s="13">
        <v>0</v>
      </c>
      <c r="U4208" s="13">
        <v>3036</v>
      </c>
      <c r="V4208" s="13">
        <v>0</v>
      </c>
      <c r="W4208" s="37">
        <v>3709</v>
      </c>
      <c r="X4208" s="18"/>
      <c r="Y4208" s="14"/>
      <c r="Z4208" s="14"/>
      <c r="AA4208" s="14"/>
      <c r="AB4208" s="14"/>
      <c r="AC4208" s="14"/>
      <c r="AD4208" s="14"/>
      <c r="AE4208" s="14"/>
      <c r="AF4208" s="14"/>
      <c r="AG4208" s="35"/>
    </row>
    <row r="4209" spans="2:33">
      <c r="B4209" s="19"/>
      <c r="P4209" s="16"/>
      <c r="Q4209" s="36" t="s">
        <v>37</v>
      </c>
      <c r="R4209" s="13">
        <v>0</v>
      </c>
      <c r="S4209" s="13">
        <v>5000</v>
      </c>
      <c r="T4209" s="13">
        <v>0</v>
      </c>
      <c r="U4209" s="13">
        <v>2774</v>
      </c>
      <c r="V4209" s="13">
        <v>0</v>
      </c>
      <c r="W4209" s="37">
        <v>4192</v>
      </c>
      <c r="X4209" s="19"/>
      <c r="AG4209" s="16"/>
    </row>
    <row r="4210" spans="2:33">
      <c r="B4210" s="19"/>
      <c r="P4210" s="16"/>
      <c r="Q4210" s="36" t="s">
        <v>38</v>
      </c>
      <c r="R4210" s="13">
        <v>0</v>
      </c>
      <c r="S4210" s="13">
        <v>0</v>
      </c>
      <c r="T4210" s="13">
        <v>0</v>
      </c>
      <c r="U4210" s="13">
        <v>6136</v>
      </c>
      <c r="V4210" s="13">
        <v>3451</v>
      </c>
      <c r="W4210" s="37">
        <v>4209</v>
      </c>
      <c r="X4210" s="19"/>
      <c r="AG4210" s="16"/>
    </row>
    <row r="4211" spans="2:33">
      <c r="B4211" s="19"/>
      <c r="P4211" s="16"/>
      <c r="Q4211" s="36" t="s">
        <v>39</v>
      </c>
      <c r="R4211" s="13">
        <v>0</v>
      </c>
      <c r="S4211" s="13">
        <v>0</v>
      </c>
      <c r="T4211" s="13">
        <v>0</v>
      </c>
      <c r="U4211" s="13">
        <v>6775</v>
      </c>
      <c r="V4211" s="13">
        <v>3749</v>
      </c>
      <c r="W4211" s="37">
        <v>5537</v>
      </c>
      <c r="X4211" s="19"/>
      <c r="AG4211" s="16"/>
    </row>
    <row r="4212" spans="2:33">
      <c r="B4212" s="19"/>
      <c r="P4212" s="16"/>
      <c r="Q4212" s="36" t="s">
        <v>40</v>
      </c>
      <c r="R4212" s="13">
        <v>0</v>
      </c>
      <c r="S4212" s="13">
        <v>0</v>
      </c>
      <c r="T4212" s="13">
        <v>0</v>
      </c>
      <c r="U4212" s="13">
        <v>7432</v>
      </c>
      <c r="V4212" s="13">
        <v>3832</v>
      </c>
      <c r="W4212" s="37">
        <v>4968</v>
      </c>
      <c r="X4212" s="19"/>
      <c r="AG4212" s="16"/>
    </row>
    <row r="4213" spans="2:33">
      <c r="B4213" s="19"/>
      <c r="P4213" s="16"/>
      <c r="Q4213" s="36" t="s">
        <v>41</v>
      </c>
      <c r="R4213" s="13">
        <v>8924</v>
      </c>
      <c r="S4213" s="13">
        <v>0</v>
      </c>
      <c r="T4213" s="13">
        <v>4946</v>
      </c>
      <c r="U4213" s="13">
        <v>0</v>
      </c>
      <c r="V4213" s="13">
        <v>0</v>
      </c>
      <c r="W4213" s="37">
        <v>5112</v>
      </c>
      <c r="X4213" s="19"/>
      <c r="AG4213" s="16"/>
    </row>
    <row r="4214" spans="2:33">
      <c r="B4214" s="19"/>
      <c r="P4214" s="16"/>
      <c r="Q4214" s="36" t="s">
        <v>42</v>
      </c>
      <c r="R4214" s="13">
        <v>7789</v>
      </c>
      <c r="S4214" s="13">
        <v>0</v>
      </c>
      <c r="T4214" s="13">
        <v>4350</v>
      </c>
      <c r="U4214" s="13">
        <v>0</v>
      </c>
      <c r="V4214" s="13">
        <v>0</v>
      </c>
      <c r="W4214" s="37">
        <v>7065</v>
      </c>
      <c r="X4214" s="19"/>
      <c r="AG4214" s="16"/>
    </row>
    <row r="4215" spans="2:33">
      <c r="B4215" s="19"/>
      <c r="P4215" s="16"/>
      <c r="Q4215" s="36" t="s">
        <v>43</v>
      </c>
      <c r="R4215" s="13">
        <v>7755</v>
      </c>
      <c r="S4215" s="13">
        <v>0</v>
      </c>
      <c r="T4215" s="13">
        <v>4297</v>
      </c>
      <c r="U4215" s="13">
        <v>0</v>
      </c>
      <c r="V4215" s="13">
        <v>0</v>
      </c>
      <c r="W4215" s="37">
        <v>5214</v>
      </c>
      <c r="X4215" s="19"/>
      <c r="AG4215" s="16"/>
    </row>
    <row r="4216" spans="2:33">
      <c r="B4216" s="19"/>
      <c r="P4216" s="16"/>
      <c r="Q4216" s="36" t="s">
        <v>44</v>
      </c>
      <c r="R4216" s="13">
        <v>7037</v>
      </c>
      <c r="S4216" s="13">
        <v>0</v>
      </c>
      <c r="T4216" s="13">
        <v>3988</v>
      </c>
      <c r="U4216" s="13">
        <v>0</v>
      </c>
      <c r="V4216" s="13">
        <v>0</v>
      </c>
      <c r="W4216" s="37">
        <v>4645</v>
      </c>
      <c r="X4216" s="19"/>
      <c r="AG4216" s="16"/>
    </row>
    <row r="4217" spans="2:33">
      <c r="B4217" s="19"/>
      <c r="P4217" s="16"/>
      <c r="Q4217" s="36" t="s">
        <v>45</v>
      </c>
      <c r="R4217" s="13">
        <v>0</v>
      </c>
      <c r="S4217" s="13">
        <v>5292</v>
      </c>
      <c r="T4217" s="13">
        <v>2944</v>
      </c>
      <c r="U4217" s="13">
        <v>0</v>
      </c>
      <c r="V4217" s="13">
        <v>0</v>
      </c>
      <c r="W4217" s="37">
        <v>4786</v>
      </c>
      <c r="X4217" s="19"/>
      <c r="AG4217" s="16"/>
    </row>
    <row r="4218" spans="2:33">
      <c r="B4218" s="19"/>
      <c r="P4218" s="16"/>
      <c r="Q4218" s="36" t="s">
        <v>46</v>
      </c>
      <c r="R4218" s="13">
        <v>0</v>
      </c>
      <c r="S4218" s="13">
        <v>3496</v>
      </c>
      <c r="T4218" s="13">
        <v>2362</v>
      </c>
      <c r="U4218" s="13">
        <v>0</v>
      </c>
      <c r="V4218" s="13">
        <v>0</v>
      </c>
      <c r="W4218" s="37">
        <v>3698</v>
      </c>
      <c r="X4218" s="19"/>
      <c r="AG4218" s="16"/>
    </row>
    <row r="4219" spans="2:33">
      <c r="B4219" s="19"/>
      <c r="P4219" s="16"/>
      <c r="Q4219" s="36" t="s">
        <v>35</v>
      </c>
      <c r="R4219" s="13">
        <v>0</v>
      </c>
      <c r="S4219" s="13">
        <v>4863</v>
      </c>
      <c r="T4219" s="13">
        <v>0</v>
      </c>
      <c r="U4219" s="13">
        <v>2438</v>
      </c>
      <c r="V4219" s="13">
        <v>0</v>
      </c>
      <c r="W4219" s="37">
        <v>2707</v>
      </c>
      <c r="X4219" s="19"/>
      <c r="AG4219" s="16"/>
    </row>
    <row r="4220" spans="2:33">
      <c r="B4220" s="19"/>
      <c r="P4220" s="16"/>
      <c r="Q4220" s="36" t="s">
        <v>36</v>
      </c>
      <c r="R4220" s="13">
        <v>0</v>
      </c>
      <c r="S4220" s="13">
        <v>5119</v>
      </c>
      <c r="T4220" s="13">
        <v>0</v>
      </c>
      <c r="U4220" s="13">
        <v>2507</v>
      </c>
      <c r="V4220" s="13">
        <v>0</v>
      </c>
      <c r="W4220" s="37">
        <v>2283</v>
      </c>
      <c r="X4220" s="19"/>
      <c r="AG4220" s="16"/>
    </row>
    <row r="4221" spans="2:33">
      <c r="B4221" s="19"/>
      <c r="P4221" s="16"/>
      <c r="Q4221" s="36" t="s">
        <v>37</v>
      </c>
      <c r="R4221" s="13">
        <v>0</v>
      </c>
      <c r="S4221" s="13">
        <v>5529</v>
      </c>
      <c r="T4221" s="13">
        <v>0</v>
      </c>
      <c r="U4221" s="13">
        <v>2780</v>
      </c>
      <c r="V4221" s="13">
        <v>0</v>
      </c>
      <c r="W4221" s="37">
        <v>3222</v>
      </c>
      <c r="X4221" s="19"/>
      <c r="AG4221" s="16"/>
    </row>
    <row r="4222" spans="2:33">
      <c r="B4222" s="19"/>
      <c r="P4222" s="16"/>
      <c r="Q4222" s="36" t="s">
        <v>38</v>
      </c>
      <c r="R4222" s="13">
        <v>0</v>
      </c>
      <c r="S4222" s="13">
        <v>0</v>
      </c>
      <c r="T4222" s="13">
        <v>0</v>
      </c>
      <c r="U4222" s="13">
        <v>6119</v>
      </c>
      <c r="V4222" s="13">
        <v>3007</v>
      </c>
      <c r="W4222" s="37">
        <v>2931</v>
      </c>
      <c r="X4222" s="19"/>
      <c r="AG4222" s="16"/>
    </row>
    <row r="4223" spans="2:33">
      <c r="B4223" s="19"/>
      <c r="P4223" s="16"/>
      <c r="Q4223" s="36" t="s">
        <v>39</v>
      </c>
      <c r="R4223" s="13">
        <v>0</v>
      </c>
      <c r="S4223" s="13">
        <v>0</v>
      </c>
      <c r="T4223" s="13">
        <v>0</v>
      </c>
      <c r="U4223" s="13">
        <v>6608</v>
      </c>
      <c r="V4223" s="13">
        <v>3271</v>
      </c>
      <c r="W4223" s="37">
        <v>3834</v>
      </c>
      <c r="X4223" s="19"/>
      <c r="AG4223" s="16"/>
    </row>
    <row r="4224" spans="2:33">
      <c r="B4224" s="19"/>
      <c r="P4224" s="16"/>
      <c r="Q4224" s="36" t="s">
        <v>40</v>
      </c>
      <c r="R4224" s="13">
        <v>0</v>
      </c>
      <c r="S4224" s="13">
        <v>0</v>
      </c>
      <c r="T4224" s="13">
        <v>0</v>
      </c>
      <c r="U4224" s="13">
        <v>7125</v>
      </c>
      <c r="V4224" s="13">
        <v>3651</v>
      </c>
      <c r="W4224" s="37">
        <v>3481</v>
      </c>
      <c r="X4224" s="19"/>
      <c r="AG4224" s="16"/>
    </row>
    <row r="4225" spans="2:33">
      <c r="B4225" s="19"/>
      <c r="P4225" s="16"/>
      <c r="Q4225" s="36" t="s">
        <v>41</v>
      </c>
      <c r="R4225" s="13">
        <v>8484</v>
      </c>
      <c r="S4225" s="13">
        <v>0</v>
      </c>
      <c r="T4225" s="13">
        <v>4384</v>
      </c>
      <c r="U4225" s="13">
        <v>0</v>
      </c>
      <c r="V4225" s="13">
        <v>0</v>
      </c>
      <c r="W4225" s="37">
        <v>3614</v>
      </c>
      <c r="X4225" s="19"/>
      <c r="AG4225" s="16"/>
    </row>
    <row r="4226" spans="2:33">
      <c r="B4226" s="19"/>
      <c r="P4226" s="16"/>
      <c r="Q4226" s="36" t="s">
        <v>42</v>
      </c>
      <c r="R4226" s="13">
        <v>7469</v>
      </c>
      <c r="S4226" s="13">
        <v>0</v>
      </c>
      <c r="T4226" s="13">
        <v>3880</v>
      </c>
      <c r="U4226" s="13">
        <v>0</v>
      </c>
      <c r="V4226" s="13">
        <v>0</v>
      </c>
      <c r="W4226" s="37">
        <v>4296</v>
      </c>
      <c r="X4226" s="19"/>
      <c r="AG4226" s="16"/>
    </row>
    <row r="4227" spans="2:33">
      <c r="B4227" s="19"/>
      <c r="P4227" s="16"/>
      <c r="Q4227" s="36" t="s">
        <v>43</v>
      </c>
      <c r="R4227" s="13">
        <v>8116</v>
      </c>
      <c r="S4227" s="13">
        <v>0</v>
      </c>
      <c r="T4227" s="13">
        <v>4161</v>
      </c>
      <c r="U4227" s="13">
        <v>0</v>
      </c>
      <c r="V4227" s="13">
        <v>0</v>
      </c>
      <c r="W4227" s="37">
        <v>3569</v>
      </c>
      <c r="X4227" s="19"/>
      <c r="AG4227" s="16"/>
    </row>
    <row r="4228" spans="2:33">
      <c r="B4228" s="19"/>
      <c r="P4228" s="16"/>
      <c r="Q4228" s="36" t="s">
        <v>44</v>
      </c>
      <c r="R4228" s="13">
        <v>8164</v>
      </c>
      <c r="S4228" s="13">
        <v>0</v>
      </c>
      <c r="T4228" s="13">
        <v>4163</v>
      </c>
      <c r="U4228" s="13">
        <v>0</v>
      </c>
      <c r="V4228" s="13">
        <v>0</v>
      </c>
      <c r="W4228" s="37">
        <v>3460</v>
      </c>
      <c r="X4228" s="19"/>
      <c r="AG4228" s="16"/>
    </row>
    <row r="4229" spans="2:33">
      <c r="B4229" s="19"/>
      <c r="P4229" s="16"/>
      <c r="Q4229" s="36" t="s">
        <v>2065</v>
      </c>
      <c r="R4229" s="13">
        <v>0</v>
      </c>
      <c r="S4229" s="13">
        <v>4208</v>
      </c>
      <c r="T4229" s="13">
        <v>2091</v>
      </c>
      <c r="U4229" s="13">
        <v>0</v>
      </c>
      <c r="V4229" s="13">
        <v>0</v>
      </c>
      <c r="W4229" s="37">
        <v>2205</v>
      </c>
      <c r="X4229" s="19"/>
      <c r="AG4229" s="16"/>
    </row>
    <row r="4230" spans="2:33">
      <c r="B4230" s="19"/>
      <c r="P4230" s="16"/>
      <c r="Q4230" s="36" t="s">
        <v>2066</v>
      </c>
      <c r="R4230" s="13">
        <v>0</v>
      </c>
      <c r="S4230" s="13">
        <v>2030</v>
      </c>
      <c r="T4230" s="13">
        <v>994</v>
      </c>
      <c r="U4230" s="13">
        <v>0</v>
      </c>
      <c r="V4230" s="13">
        <v>0</v>
      </c>
      <c r="W4230" s="37">
        <v>1698</v>
      </c>
      <c r="X4230" s="19"/>
      <c r="AG4230" s="16"/>
    </row>
    <row r="4231" spans="2:33" ht="15" thickBot="1">
      <c r="B4231" s="20"/>
      <c r="C4231" s="15"/>
      <c r="D4231" s="15"/>
      <c r="E4231" s="15"/>
      <c r="F4231" s="15"/>
      <c r="G4231" s="15"/>
      <c r="H4231" s="15"/>
      <c r="I4231" s="15"/>
      <c r="J4231" s="15"/>
      <c r="K4231" s="15"/>
      <c r="L4231" s="15"/>
      <c r="M4231" s="15"/>
      <c r="N4231" s="15"/>
      <c r="O4231" s="15"/>
      <c r="P4231" s="17"/>
      <c r="Q4231" s="36" t="s">
        <v>46</v>
      </c>
      <c r="R4231" s="13">
        <v>0</v>
      </c>
      <c r="S4231" s="13">
        <v>5007</v>
      </c>
      <c r="T4231" s="13">
        <v>2557</v>
      </c>
      <c r="U4231" s="13">
        <v>0</v>
      </c>
      <c r="V4231" s="13">
        <v>0</v>
      </c>
      <c r="W4231" s="37">
        <v>3977</v>
      </c>
      <c r="X4231" s="20"/>
      <c r="Y4231" s="15"/>
      <c r="Z4231" s="15"/>
      <c r="AA4231" s="15"/>
      <c r="AB4231" s="15"/>
      <c r="AC4231" s="15"/>
      <c r="AD4231" s="15"/>
      <c r="AE4231" s="15"/>
      <c r="AF4231" s="15"/>
      <c r="AG4231" s="17"/>
    </row>
    <row r="4233" spans="2:33" ht="15" thickBot="1">
      <c r="B4233" s="25" t="s">
        <v>2049</v>
      </c>
      <c r="C4233" s="26" t="s">
        <v>1809</v>
      </c>
      <c r="D4233" s="26" t="s">
        <v>2067</v>
      </c>
      <c r="E4233" s="26" t="s">
        <v>2068</v>
      </c>
      <c r="F4233" s="26" t="s">
        <v>2069</v>
      </c>
      <c r="G4233" s="26" t="s">
        <v>2070</v>
      </c>
      <c r="H4233" s="27" t="s">
        <v>821</v>
      </c>
      <c r="I4233" s="26" t="s">
        <v>2071</v>
      </c>
      <c r="J4233" s="27" t="s">
        <v>87</v>
      </c>
      <c r="K4233" s="29">
        <v>17.319999694824201</v>
      </c>
      <c r="L4233" s="29">
        <v>17.319999694824201</v>
      </c>
      <c r="M4233" s="29">
        <v>17.319999694824201</v>
      </c>
      <c r="N4233" s="29">
        <v>17.319999694824201</v>
      </c>
      <c r="O4233" s="29">
        <v>17.319999694824201</v>
      </c>
      <c r="P4233" s="40">
        <v>17.319999694824201</v>
      </c>
      <c r="Q4233" s="1" t="s">
        <v>35</v>
      </c>
      <c r="R4233" s="2">
        <v>0</v>
      </c>
      <c r="S4233" s="2">
        <v>1513</v>
      </c>
      <c r="T4233" s="2">
        <v>0</v>
      </c>
      <c r="U4233" s="2">
        <v>871</v>
      </c>
      <c r="V4233" s="2">
        <v>0</v>
      </c>
      <c r="W4233" s="2">
        <v>1144</v>
      </c>
      <c r="X4233" s="43">
        <f>SUM(R4233:W4244)</f>
        <v>48644</v>
      </c>
      <c r="Y4233" s="10">
        <v>46204</v>
      </c>
      <c r="Z4233" s="11">
        <v>0.21822774234314721</v>
      </c>
      <c r="AA4233" s="11">
        <v>0.19176892037163287</v>
      </c>
      <c r="AB4233" s="11">
        <v>0.16994687607165501</v>
      </c>
      <c r="AC4233" s="11">
        <v>0.13533276805163061</v>
      </c>
      <c r="AD4233" s="11">
        <v>0.11849120346270935</v>
      </c>
      <c r="AE4233" s="11">
        <v>0.13112980089791482</v>
      </c>
      <c r="AF4233" s="11">
        <v>0.2</v>
      </c>
      <c r="AG4233" s="11">
        <v>1.2709999999999999</v>
      </c>
    </row>
    <row r="4234" spans="2:33">
      <c r="B4234" s="18"/>
      <c r="C4234" s="14"/>
      <c r="D4234" s="14"/>
      <c r="E4234" s="14"/>
      <c r="F4234" s="14"/>
      <c r="G4234" s="14"/>
      <c r="H4234" s="14"/>
      <c r="I4234" s="14"/>
      <c r="J4234" s="14"/>
      <c r="K4234" s="14"/>
      <c r="L4234" s="14"/>
      <c r="M4234" s="14"/>
      <c r="N4234" s="14"/>
      <c r="O4234" s="14"/>
      <c r="P4234" s="35"/>
      <c r="Q4234" s="36" t="s">
        <v>36</v>
      </c>
      <c r="R4234" s="13">
        <v>0</v>
      </c>
      <c r="S4234" s="13">
        <v>1547</v>
      </c>
      <c r="T4234" s="13">
        <v>0</v>
      </c>
      <c r="U4234" s="13">
        <v>904</v>
      </c>
      <c r="V4234" s="13">
        <v>0</v>
      </c>
      <c r="W4234" s="37">
        <v>1044</v>
      </c>
      <c r="X4234" s="18"/>
      <c r="Y4234" s="14"/>
      <c r="Z4234" s="14"/>
      <c r="AA4234" s="14"/>
      <c r="AB4234" s="14"/>
      <c r="AC4234" s="14"/>
      <c r="AD4234" s="14"/>
      <c r="AE4234" s="14"/>
      <c r="AF4234" s="14"/>
      <c r="AG4234" s="35"/>
    </row>
    <row r="4235" spans="2:33">
      <c r="B4235" s="19"/>
      <c r="P4235" s="16"/>
      <c r="Q4235" s="36" t="s">
        <v>37</v>
      </c>
      <c r="R4235" s="13">
        <v>0</v>
      </c>
      <c r="S4235" s="13">
        <v>1706</v>
      </c>
      <c r="T4235" s="13">
        <v>0</v>
      </c>
      <c r="U4235" s="13">
        <v>970</v>
      </c>
      <c r="V4235" s="13">
        <v>0</v>
      </c>
      <c r="W4235" s="37">
        <v>1418</v>
      </c>
      <c r="X4235" s="19"/>
      <c r="AG4235" s="16"/>
    </row>
    <row r="4236" spans="2:33">
      <c r="B4236" s="19"/>
      <c r="P4236" s="16"/>
      <c r="Q4236" s="36" t="s">
        <v>38</v>
      </c>
      <c r="R4236" s="13">
        <v>0</v>
      </c>
      <c r="S4236" s="13">
        <v>0</v>
      </c>
      <c r="T4236" s="13">
        <v>0</v>
      </c>
      <c r="U4236" s="13">
        <v>1632</v>
      </c>
      <c r="V4236" s="13">
        <v>816</v>
      </c>
      <c r="W4236" s="37">
        <v>946</v>
      </c>
      <c r="X4236" s="19"/>
      <c r="AG4236" s="16"/>
    </row>
    <row r="4237" spans="2:33">
      <c r="B4237" s="19"/>
      <c r="P4237" s="16"/>
      <c r="Q4237" s="36" t="s">
        <v>39</v>
      </c>
      <c r="R4237" s="13">
        <v>0</v>
      </c>
      <c r="S4237" s="13">
        <v>0</v>
      </c>
      <c r="T4237" s="13">
        <v>0</v>
      </c>
      <c r="U4237" s="13">
        <v>1841</v>
      </c>
      <c r="V4237" s="13">
        <v>1030</v>
      </c>
      <c r="W4237" s="37">
        <v>1526</v>
      </c>
      <c r="X4237" s="19"/>
      <c r="AG4237" s="16"/>
    </row>
    <row r="4238" spans="2:33">
      <c r="B4238" s="19"/>
      <c r="P4238" s="16"/>
      <c r="Q4238" s="36" t="s">
        <v>40</v>
      </c>
      <c r="R4238" s="13">
        <v>0</v>
      </c>
      <c r="S4238" s="13">
        <v>0</v>
      </c>
      <c r="T4238" s="13">
        <v>0</v>
      </c>
      <c r="U4238" s="13">
        <v>1959</v>
      </c>
      <c r="V4238" s="13">
        <v>1112</v>
      </c>
      <c r="W4238" s="37">
        <v>1450</v>
      </c>
      <c r="X4238" s="19"/>
      <c r="AG4238" s="16"/>
    </row>
    <row r="4239" spans="2:33">
      <c r="B4239" s="19"/>
      <c r="P4239" s="16"/>
      <c r="Q4239" s="36" t="s">
        <v>41</v>
      </c>
      <c r="R4239" s="13">
        <v>2155</v>
      </c>
      <c r="S4239" s="13">
        <v>0</v>
      </c>
      <c r="T4239" s="13">
        <v>1231</v>
      </c>
      <c r="U4239" s="13">
        <v>0</v>
      </c>
      <c r="V4239" s="13">
        <v>0</v>
      </c>
      <c r="W4239" s="37">
        <v>1339</v>
      </c>
      <c r="X4239" s="19"/>
      <c r="AG4239" s="16"/>
    </row>
    <row r="4240" spans="2:33">
      <c r="B4240" s="19"/>
      <c r="P4240" s="16"/>
      <c r="Q4240" s="36" t="s">
        <v>42</v>
      </c>
      <c r="R4240" s="13">
        <v>1774</v>
      </c>
      <c r="S4240" s="13">
        <v>0</v>
      </c>
      <c r="T4240" s="13">
        <v>1048</v>
      </c>
      <c r="U4240" s="13">
        <v>0</v>
      </c>
      <c r="V4240" s="13">
        <v>0</v>
      </c>
      <c r="W4240" s="37">
        <v>1644</v>
      </c>
      <c r="X4240" s="19"/>
      <c r="AG4240" s="16"/>
    </row>
    <row r="4241" spans="2:33">
      <c r="B4241" s="19"/>
      <c r="P4241" s="16"/>
      <c r="Q4241" s="36" t="s">
        <v>43</v>
      </c>
      <c r="R4241" s="13">
        <v>1977</v>
      </c>
      <c r="S4241" s="13">
        <v>0</v>
      </c>
      <c r="T4241" s="13">
        <v>1140</v>
      </c>
      <c r="U4241" s="13">
        <v>0</v>
      </c>
      <c r="V4241" s="13">
        <v>0</v>
      </c>
      <c r="W4241" s="37">
        <v>1381</v>
      </c>
      <c r="X4241" s="19"/>
      <c r="AG4241" s="16"/>
    </row>
    <row r="4242" spans="2:33">
      <c r="B4242" s="19"/>
      <c r="P4242" s="16"/>
      <c r="Q4242" s="36" t="s">
        <v>44</v>
      </c>
      <c r="R4242" s="13">
        <v>1899</v>
      </c>
      <c r="S4242" s="13">
        <v>0</v>
      </c>
      <c r="T4242" s="13">
        <v>1099</v>
      </c>
      <c r="U4242" s="13">
        <v>0</v>
      </c>
      <c r="V4242" s="13">
        <v>0</v>
      </c>
      <c r="W4242" s="37">
        <v>1210</v>
      </c>
      <c r="X4242" s="19"/>
      <c r="AG4242" s="16"/>
    </row>
    <row r="4243" spans="2:33">
      <c r="B4243" s="19"/>
      <c r="P4243" s="16"/>
      <c r="Q4243" s="36" t="s">
        <v>45</v>
      </c>
      <c r="R4243" s="13">
        <v>0</v>
      </c>
      <c r="S4243" s="13">
        <v>1546</v>
      </c>
      <c r="T4243" s="13">
        <v>891</v>
      </c>
      <c r="U4243" s="13">
        <v>0</v>
      </c>
      <c r="V4243" s="13">
        <v>0</v>
      </c>
      <c r="W4243" s="37">
        <v>1357</v>
      </c>
      <c r="X4243" s="19"/>
      <c r="AG4243" s="16"/>
    </row>
    <row r="4244" spans="2:33" ht="15" thickBot="1">
      <c r="B4244" s="20"/>
      <c r="C4244" s="15"/>
      <c r="D4244" s="15"/>
      <c r="E4244" s="15"/>
      <c r="F4244" s="15"/>
      <c r="G4244" s="15"/>
      <c r="H4244" s="15"/>
      <c r="I4244" s="15"/>
      <c r="J4244" s="15"/>
      <c r="K4244" s="15"/>
      <c r="L4244" s="15"/>
      <c r="M4244" s="15"/>
      <c r="N4244" s="15"/>
      <c r="O4244" s="15"/>
      <c r="P4244" s="17"/>
      <c r="Q4244" s="36" t="s">
        <v>46</v>
      </c>
      <c r="R4244" s="13">
        <v>0</v>
      </c>
      <c r="S4244" s="13">
        <v>1460</v>
      </c>
      <c r="T4244" s="13">
        <v>857</v>
      </c>
      <c r="U4244" s="13">
        <v>0</v>
      </c>
      <c r="V4244" s="13">
        <v>0</v>
      </c>
      <c r="W4244" s="37">
        <v>1207</v>
      </c>
      <c r="X4244" s="20"/>
      <c r="Y4244" s="15"/>
      <c r="Z4244" s="15"/>
      <c r="AA4244" s="15"/>
      <c r="AB4244" s="15"/>
      <c r="AC4244" s="15"/>
      <c r="AD4244" s="15"/>
      <c r="AE4244" s="15"/>
      <c r="AF4244" s="15"/>
      <c r="AG4244" s="17"/>
    </row>
    <row r="4246" spans="2:33" ht="15" thickBot="1">
      <c r="B4246" s="25" t="s">
        <v>2049</v>
      </c>
      <c r="C4246" s="26" t="s">
        <v>1809</v>
      </c>
      <c r="D4246" s="26" t="s">
        <v>2072</v>
      </c>
      <c r="E4246" s="26" t="s">
        <v>2073</v>
      </c>
      <c r="F4246" s="26" t="s">
        <v>2074</v>
      </c>
      <c r="G4246" s="26" t="s">
        <v>2075</v>
      </c>
      <c r="H4246" s="27" t="s">
        <v>693</v>
      </c>
      <c r="I4246" s="26" t="s">
        <v>2076</v>
      </c>
      <c r="J4246" s="27" t="s">
        <v>87</v>
      </c>
      <c r="K4246" s="29">
        <v>30</v>
      </c>
      <c r="L4246" s="29">
        <v>30</v>
      </c>
      <c r="M4246" s="29">
        <v>30</v>
      </c>
      <c r="N4246" s="29">
        <v>30</v>
      </c>
      <c r="O4246" s="29">
        <v>30</v>
      </c>
      <c r="P4246" s="40">
        <v>62.5</v>
      </c>
      <c r="Q4246" s="1" t="s">
        <v>35</v>
      </c>
      <c r="R4246" s="2">
        <v>0</v>
      </c>
      <c r="S4246" s="2">
        <v>2681</v>
      </c>
      <c r="T4246" s="2">
        <v>0</v>
      </c>
      <c r="U4246" s="2">
        <v>1479</v>
      </c>
      <c r="V4246" s="2">
        <v>0</v>
      </c>
      <c r="W4246" s="2">
        <v>1534</v>
      </c>
      <c r="X4246" s="43">
        <f>SUM(R4246:W4258)</f>
        <v>84477</v>
      </c>
      <c r="Y4246" s="10">
        <v>46204</v>
      </c>
      <c r="Z4246" s="11">
        <v>0.21822774234314721</v>
      </c>
      <c r="AA4246" s="11">
        <v>0.19176892037163287</v>
      </c>
      <c r="AB4246" s="11">
        <v>0.16994687607165501</v>
      </c>
      <c r="AC4246" s="11">
        <v>0.13533276805163061</v>
      </c>
      <c r="AD4246" s="11">
        <v>0.11849120346270935</v>
      </c>
      <c r="AE4246" s="11">
        <v>0.13112980089791482</v>
      </c>
      <c r="AF4246" s="11">
        <v>0.2</v>
      </c>
      <c r="AG4246" s="11">
        <v>1.2709999999999999</v>
      </c>
    </row>
    <row r="4247" spans="2:33">
      <c r="B4247" s="18"/>
      <c r="C4247" s="14"/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35"/>
      <c r="Q4247" s="36" t="s">
        <v>36</v>
      </c>
      <c r="R4247" s="13">
        <v>0</v>
      </c>
      <c r="S4247" s="13">
        <v>2623</v>
      </c>
      <c r="T4247" s="13">
        <v>0</v>
      </c>
      <c r="U4247" s="13">
        <v>1423</v>
      </c>
      <c r="V4247" s="13">
        <v>0</v>
      </c>
      <c r="W4247" s="37">
        <v>1259</v>
      </c>
      <c r="X4247" s="18"/>
      <c r="Y4247" s="14"/>
      <c r="Z4247" s="14"/>
      <c r="AA4247" s="14"/>
      <c r="AB4247" s="14"/>
      <c r="AC4247" s="14"/>
      <c r="AD4247" s="14"/>
      <c r="AE4247" s="14"/>
      <c r="AF4247" s="14"/>
      <c r="AG4247" s="35"/>
    </row>
    <row r="4248" spans="2:33">
      <c r="B4248" s="19"/>
      <c r="P4248" s="16"/>
      <c r="Q4248" s="36" t="s">
        <v>37</v>
      </c>
      <c r="R4248" s="13">
        <v>0</v>
      </c>
      <c r="S4248" s="13">
        <v>2708</v>
      </c>
      <c r="T4248" s="13">
        <v>0</v>
      </c>
      <c r="U4248" s="13">
        <v>1596</v>
      </c>
      <c r="V4248" s="13">
        <v>0</v>
      </c>
      <c r="W4248" s="37">
        <v>1546</v>
      </c>
      <c r="X4248" s="19"/>
      <c r="AG4248" s="16"/>
    </row>
    <row r="4249" spans="2:33">
      <c r="B4249" s="19"/>
      <c r="P4249" s="16"/>
      <c r="Q4249" s="36" t="s">
        <v>38</v>
      </c>
      <c r="R4249" s="13">
        <v>0</v>
      </c>
      <c r="S4249" s="13">
        <v>0</v>
      </c>
      <c r="T4249" s="13">
        <v>0</v>
      </c>
      <c r="U4249" s="13">
        <v>2680</v>
      </c>
      <c r="V4249" s="13">
        <v>1575</v>
      </c>
      <c r="W4249" s="37">
        <v>1270</v>
      </c>
      <c r="X4249" s="19"/>
      <c r="AG4249" s="16"/>
    </row>
    <row r="4250" spans="2:33">
      <c r="B4250" s="19"/>
      <c r="P4250" s="16"/>
      <c r="Q4250" s="36" t="s">
        <v>39</v>
      </c>
      <c r="R4250" s="13">
        <v>0</v>
      </c>
      <c r="S4250" s="13">
        <v>0</v>
      </c>
      <c r="T4250" s="13">
        <v>0</v>
      </c>
      <c r="U4250" s="13">
        <v>2753</v>
      </c>
      <c r="V4250" s="13">
        <v>1572</v>
      </c>
      <c r="W4250" s="37">
        <v>1617</v>
      </c>
      <c r="X4250" s="19"/>
      <c r="AG4250" s="16"/>
    </row>
    <row r="4251" spans="2:33">
      <c r="B4251" s="19"/>
      <c r="P4251" s="16"/>
      <c r="Q4251" s="36" t="s">
        <v>40</v>
      </c>
      <c r="R4251" s="13">
        <v>0</v>
      </c>
      <c r="S4251" s="13">
        <v>0</v>
      </c>
      <c r="T4251" s="13">
        <v>0</v>
      </c>
      <c r="U4251" s="13">
        <v>3407</v>
      </c>
      <c r="V4251" s="13">
        <v>1942</v>
      </c>
      <c r="W4251" s="37">
        <v>1633</v>
      </c>
      <c r="X4251" s="19"/>
      <c r="AG4251" s="16"/>
    </row>
    <row r="4252" spans="2:33">
      <c r="B4252" s="19"/>
      <c r="P4252" s="16"/>
      <c r="Q4252" s="36" t="s">
        <v>41</v>
      </c>
      <c r="R4252" s="13">
        <v>4387</v>
      </c>
      <c r="S4252" s="13">
        <v>0</v>
      </c>
      <c r="T4252" s="13">
        <v>2419</v>
      </c>
      <c r="U4252" s="13">
        <v>0</v>
      </c>
      <c r="V4252" s="13">
        <v>0</v>
      </c>
      <c r="W4252" s="37">
        <v>1606</v>
      </c>
      <c r="X4252" s="19"/>
      <c r="AG4252" s="16"/>
    </row>
    <row r="4253" spans="2:33">
      <c r="B4253" s="19"/>
      <c r="P4253" s="16"/>
      <c r="Q4253" s="36" t="s">
        <v>42</v>
      </c>
      <c r="R4253" s="13">
        <v>3861</v>
      </c>
      <c r="S4253" s="13">
        <v>0</v>
      </c>
      <c r="T4253" s="13">
        <v>2142</v>
      </c>
      <c r="U4253" s="13">
        <v>0</v>
      </c>
      <c r="V4253" s="13">
        <v>0</v>
      </c>
      <c r="W4253" s="37">
        <v>2431</v>
      </c>
      <c r="X4253" s="19"/>
      <c r="AG4253" s="16"/>
    </row>
    <row r="4254" spans="2:33">
      <c r="B4254" s="19"/>
      <c r="P4254" s="16"/>
      <c r="Q4254" s="36" t="s">
        <v>43</v>
      </c>
      <c r="R4254" s="13">
        <v>4675</v>
      </c>
      <c r="S4254" s="13">
        <v>0</v>
      </c>
      <c r="T4254" s="13">
        <v>2547</v>
      </c>
      <c r="U4254" s="13">
        <v>0</v>
      </c>
      <c r="V4254" s="13">
        <v>0</v>
      </c>
      <c r="W4254" s="37">
        <v>1874</v>
      </c>
      <c r="X4254" s="19"/>
      <c r="AG4254" s="16"/>
    </row>
    <row r="4255" spans="2:33">
      <c r="B4255" s="19"/>
      <c r="P4255" s="16"/>
      <c r="Q4255" s="36" t="s">
        <v>44</v>
      </c>
      <c r="R4255" s="13">
        <v>4840</v>
      </c>
      <c r="S4255" s="13">
        <v>0</v>
      </c>
      <c r="T4255" s="13">
        <v>2575</v>
      </c>
      <c r="U4255" s="13">
        <v>0</v>
      </c>
      <c r="V4255" s="13">
        <v>0</v>
      </c>
      <c r="W4255" s="37">
        <v>1842</v>
      </c>
      <c r="X4255" s="19"/>
      <c r="AG4255" s="16"/>
    </row>
    <row r="4256" spans="2:33">
      <c r="B4256" s="19"/>
      <c r="P4256" s="16"/>
      <c r="Q4256" s="36" t="s">
        <v>45</v>
      </c>
      <c r="R4256" s="13">
        <v>0</v>
      </c>
      <c r="S4256" s="13">
        <v>3813</v>
      </c>
      <c r="T4256" s="13">
        <v>2132</v>
      </c>
      <c r="U4256" s="13">
        <v>0</v>
      </c>
      <c r="V4256" s="13">
        <v>0</v>
      </c>
      <c r="W4256" s="37">
        <v>1843</v>
      </c>
      <c r="X4256" s="19"/>
      <c r="AG4256" s="16"/>
    </row>
    <row r="4257" spans="2:33">
      <c r="B4257" s="19"/>
      <c r="P4257" s="16"/>
      <c r="Q4257" s="36" t="s">
        <v>2077</v>
      </c>
      <c r="R4257" s="13">
        <v>0</v>
      </c>
      <c r="S4257" s="13">
        <v>666</v>
      </c>
      <c r="T4257" s="13">
        <v>389</v>
      </c>
      <c r="U4257" s="13">
        <v>0</v>
      </c>
      <c r="V4257" s="13">
        <v>0</v>
      </c>
      <c r="W4257" s="37">
        <v>579</v>
      </c>
      <c r="X4257" s="19"/>
      <c r="AG4257" s="16"/>
    </row>
    <row r="4258" spans="2:33" ht="15" thickBot="1">
      <c r="B4258" s="20"/>
      <c r="C4258" s="15"/>
      <c r="D4258" s="15"/>
      <c r="E4258" s="15"/>
      <c r="F4258" s="15"/>
      <c r="G4258" s="15"/>
      <c r="H4258" s="15"/>
      <c r="I4258" s="15"/>
      <c r="J4258" s="15"/>
      <c r="K4258" s="15"/>
      <c r="L4258" s="15"/>
      <c r="M4258" s="15"/>
      <c r="N4258" s="15"/>
      <c r="O4258" s="15"/>
      <c r="P4258" s="17"/>
      <c r="Q4258" s="36" t="s">
        <v>2078</v>
      </c>
      <c r="R4258" s="13">
        <v>0</v>
      </c>
      <c r="S4258" s="13">
        <v>2014</v>
      </c>
      <c r="T4258" s="13">
        <v>1215</v>
      </c>
      <c r="U4258" s="13">
        <v>0</v>
      </c>
      <c r="V4258" s="13">
        <v>0</v>
      </c>
      <c r="W4258" s="37">
        <v>1329</v>
      </c>
      <c r="X4258" s="20"/>
      <c r="Y4258" s="15"/>
      <c r="Z4258" s="15"/>
      <c r="AA4258" s="15"/>
      <c r="AB4258" s="15"/>
      <c r="AC4258" s="15"/>
      <c r="AD4258" s="15"/>
      <c r="AE4258" s="15"/>
      <c r="AF4258" s="15"/>
      <c r="AG4258" s="17"/>
    </row>
    <row r="4260" spans="2:33" ht="15" thickBot="1">
      <c r="B4260" s="25" t="s">
        <v>2049</v>
      </c>
      <c r="C4260" s="26" t="s">
        <v>1809</v>
      </c>
      <c r="D4260" s="26" t="s">
        <v>2079</v>
      </c>
      <c r="E4260" s="26" t="s">
        <v>2080</v>
      </c>
      <c r="F4260" s="26" t="s">
        <v>2081</v>
      </c>
      <c r="G4260" s="26" t="s">
        <v>692</v>
      </c>
      <c r="H4260" s="27" t="s">
        <v>693</v>
      </c>
      <c r="I4260" s="26" t="s">
        <v>2082</v>
      </c>
      <c r="J4260" s="27" t="s">
        <v>87</v>
      </c>
      <c r="K4260" s="29">
        <v>25</v>
      </c>
      <c r="L4260" s="29">
        <v>25</v>
      </c>
      <c r="M4260" s="29">
        <v>25</v>
      </c>
      <c r="N4260" s="29">
        <v>25</v>
      </c>
      <c r="O4260" s="29">
        <v>25</v>
      </c>
      <c r="P4260" s="40">
        <v>50</v>
      </c>
      <c r="Q4260" s="1" t="s">
        <v>35</v>
      </c>
      <c r="R4260" s="2">
        <v>0</v>
      </c>
      <c r="S4260" s="2">
        <v>3204</v>
      </c>
      <c r="T4260" s="2">
        <v>0</v>
      </c>
      <c r="U4260" s="2">
        <v>1610</v>
      </c>
      <c r="V4260" s="2">
        <v>0</v>
      </c>
      <c r="W4260" s="2">
        <v>1659</v>
      </c>
      <c r="X4260" s="43">
        <f>SUM(R4260:W4271)</f>
        <v>85687</v>
      </c>
      <c r="Y4260" s="10">
        <v>46204</v>
      </c>
      <c r="Z4260" s="11">
        <v>0.21822774234314721</v>
      </c>
      <c r="AA4260" s="11">
        <v>0.19176892037163287</v>
      </c>
      <c r="AB4260" s="11">
        <v>0.16994687607165501</v>
      </c>
      <c r="AC4260" s="11">
        <v>0.13533276805163061</v>
      </c>
      <c r="AD4260" s="11">
        <v>0.11849120346270935</v>
      </c>
      <c r="AE4260" s="11">
        <v>0.13112980089791482</v>
      </c>
      <c r="AF4260" s="11">
        <v>0.2</v>
      </c>
      <c r="AG4260" s="11">
        <v>1.2709999999999999</v>
      </c>
    </row>
    <row r="4261" spans="2:33">
      <c r="B4261" s="18"/>
      <c r="C4261" s="14"/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/>
      <c r="O4261" s="14"/>
      <c r="P4261" s="35"/>
      <c r="Q4261" s="36" t="s">
        <v>36</v>
      </c>
      <c r="R4261" s="13">
        <v>0</v>
      </c>
      <c r="S4261" s="13">
        <v>3061</v>
      </c>
      <c r="T4261" s="13">
        <v>0</v>
      </c>
      <c r="U4261" s="13">
        <v>1605</v>
      </c>
      <c r="V4261" s="13">
        <v>0</v>
      </c>
      <c r="W4261" s="37">
        <v>1330</v>
      </c>
      <c r="X4261" s="18"/>
      <c r="Y4261" s="14"/>
      <c r="Z4261" s="14"/>
      <c r="AA4261" s="14"/>
      <c r="AB4261" s="14"/>
      <c r="AC4261" s="14"/>
      <c r="AD4261" s="14"/>
      <c r="AE4261" s="14"/>
      <c r="AF4261" s="14"/>
      <c r="AG4261" s="35"/>
    </row>
    <row r="4262" spans="2:33">
      <c r="B4262" s="19"/>
      <c r="P4262" s="16"/>
      <c r="Q4262" s="36" t="s">
        <v>37</v>
      </c>
      <c r="R4262" s="13">
        <v>0</v>
      </c>
      <c r="S4262" s="13">
        <v>3171</v>
      </c>
      <c r="T4262" s="13">
        <v>0</v>
      </c>
      <c r="U4262" s="13">
        <v>1619</v>
      </c>
      <c r="V4262" s="13">
        <v>0</v>
      </c>
      <c r="W4262" s="37">
        <v>1683</v>
      </c>
      <c r="X4262" s="19"/>
      <c r="AG4262" s="16"/>
    </row>
    <row r="4263" spans="2:33">
      <c r="B4263" s="19"/>
      <c r="P4263" s="16"/>
      <c r="Q4263" s="36" t="s">
        <v>38</v>
      </c>
      <c r="R4263" s="13">
        <v>0</v>
      </c>
      <c r="S4263" s="13">
        <v>0</v>
      </c>
      <c r="T4263" s="13">
        <v>0</v>
      </c>
      <c r="U4263" s="13">
        <v>3866</v>
      </c>
      <c r="V4263" s="13">
        <v>1943</v>
      </c>
      <c r="W4263" s="37">
        <v>1540</v>
      </c>
      <c r="X4263" s="19"/>
      <c r="AG4263" s="16"/>
    </row>
    <row r="4264" spans="2:33">
      <c r="B4264" s="19"/>
      <c r="P4264" s="16"/>
      <c r="Q4264" s="36" t="s">
        <v>39</v>
      </c>
      <c r="R4264" s="13">
        <v>0</v>
      </c>
      <c r="S4264" s="13">
        <v>0</v>
      </c>
      <c r="T4264" s="13">
        <v>0</v>
      </c>
      <c r="U4264" s="13">
        <v>3316</v>
      </c>
      <c r="V4264" s="13">
        <v>1777</v>
      </c>
      <c r="W4264" s="37">
        <v>1671</v>
      </c>
      <c r="X4264" s="19"/>
      <c r="AG4264" s="16"/>
    </row>
    <row r="4265" spans="2:33">
      <c r="B4265" s="19"/>
      <c r="P4265" s="16"/>
      <c r="Q4265" s="36" t="s">
        <v>40</v>
      </c>
      <c r="R4265" s="13">
        <v>0</v>
      </c>
      <c r="S4265" s="13">
        <v>0</v>
      </c>
      <c r="T4265" s="13">
        <v>0</v>
      </c>
      <c r="U4265" s="13">
        <v>3604</v>
      </c>
      <c r="V4265" s="13">
        <v>1915</v>
      </c>
      <c r="W4265" s="37">
        <v>1490</v>
      </c>
      <c r="X4265" s="19"/>
      <c r="AG4265" s="16"/>
    </row>
    <row r="4266" spans="2:33">
      <c r="B4266" s="19"/>
      <c r="P4266" s="16"/>
      <c r="Q4266" s="36" t="s">
        <v>41</v>
      </c>
      <c r="R4266" s="13">
        <v>4204</v>
      </c>
      <c r="S4266" s="13">
        <v>0</v>
      </c>
      <c r="T4266" s="13">
        <v>2258</v>
      </c>
      <c r="U4266" s="13">
        <v>0</v>
      </c>
      <c r="V4266" s="13">
        <v>0</v>
      </c>
      <c r="W4266" s="37">
        <v>1584</v>
      </c>
      <c r="X4266" s="19"/>
      <c r="AG4266" s="16"/>
    </row>
    <row r="4267" spans="2:33">
      <c r="B4267" s="19"/>
      <c r="P4267" s="16"/>
      <c r="Q4267" s="36" t="s">
        <v>42</v>
      </c>
      <c r="R4267" s="13">
        <v>3885</v>
      </c>
      <c r="S4267" s="13">
        <v>0</v>
      </c>
      <c r="T4267" s="13">
        <v>2105</v>
      </c>
      <c r="U4267" s="13">
        <v>0</v>
      </c>
      <c r="V4267" s="13">
        <v>0</v>
      </c>
      <c r="W4267" s="37">
        <v>2380</v>
      </c>
      <c r="X4267" s="19"/>
      <c r="AG4267" s="16"/>
    </row>
    <row r="4268" spans="2:33">
      <c r="B4268" s="19"/>
      <c r="P4268" s="16"/>
      <c r="Q4268" s="36" t="s">
        <v>43</v>
      </c>
      <c r="R4268" s="13">
        <v>4130</v>
      </c>
      <c r="S4268" s="13">
        <v>0</v>
      </c>
      <c r="T4268" s="13">
        <v>2257</v>
      </c>
      <c r="U4268" s="13">
        <v>0</v>
      </c>
      <c r="V4268" s="13">
        <v>0</v>
      </c>
      <c r="W4268" s="37">
        <v>1619</v>
      </c>
      <c r="X4268" s="19"/>
      <c r="AG4268" s="16"/>
    </row>
    <row r="4269" spans="2:33">
      <c r="B4269" s="19"/>
      <c r="P4269" s="16"/>
      <c r="Q4269" s="36" t="s">
        <v>44</v>
      </c>
      <c r="R4269" s="13">
        <v>4141</v>
      </c>
      <c r="S4269" s="13">
        <v>0</v>
      </c>
      <c r="T4269" s="13">
        <v>2278</v>
      </c>
      <c r="U4269" s="13">
        <v>0</v>
      </c>
      <c r="V4269" s="13">
        <v>0</v>
      </c>
      <c r="W4269" s="37">
        <v>1647</v>
      </c>
      <c r="X4269" s="19"/>
      <c r="AG4269" s="16"/>
    </row>
    <row r="4270" spans="2:33">
      <c r="B4270" s="19"/>
      <c r="P4270" s="16"/>
      <c r="Q4270" s="36" t="s">
        <v>45</v>
      </c>
      <c r="R4270" s="13">
        <v>0</v>
      </c>
      <c r="S4270" s="13">
        <v>3244</v>
      </c>
      <c r="T4270" s="13">
        <v>1727</v>
      </c>
      <c r="U4270" s="13">
        <v>0</v>
      </c>
      <c r="V4270" s="13">
        <v>0</v>
      </c>
      <c r="W4270" s="37">
        <v>1700</v>
      </c>
      <c r="X4270" s="19"/>
      <c r="AG4270" s="16"/>
    </row>
    <row r="4271" spans="2:33" ht="15" thickBot="1">
      <c r="B4271" s="20"/>
      <c r="C4271" s="15"/>
      <c r="D4271" s="15"/>
      <c r="E4271" s="15"/>
      <c r="F4271" s="15"/>
      <c r="G4271" s="15"/>
      <c r="H4271" s="15"/>
      <c r="I4271" s="15"/>
      <c r="J4271" s="15"/>
      <c r="K4271" s="15"/>
      <c r="L4271" s="15"/>
      <c r="M4271" s="15"/>
      <c r="N4271" s="15"/>
      <c r="O4271" s="15"/>
      <c r="P4271" s="17"/>
      <c r="Q4271" s="36" t="s">
        <v>46</v>
      </c>
      <c r="R4271" s="13">
        <v>0</v>
      </c>
      <c r="S4271" s="13">
        <v>2897</v>
      </c>
      <c r="T4271" s="13">
        <v>1644</v>
      </c>
      <c r="U4271" s="13">
        <v>0</v>
      </c>
      <c r="V4271" s="13">
        <v>0</v>
      </c>
      <c r="W4271" s="37">
        <v>1923</v>
      </c>
      <c r="X4271" s="20"/>
      <c r="Y4271" s="15"/>
      <c r="Z4271" s="15"/>
      <c r="AA4271" s="15"/>
      <c r="AB4271" s="15"/>
      <c r="AC4271" s="15"/>
      <c r="AD4271" s="15"/>
      <c r="AE4271" s="15"/>
      <c r="AF4271" s="15"/>
      <c r="AG4271" s="17"/>
    </row>
    <row r="4273" spans="2:33" ht="15" thickBot="1">
      <c r="B4273" s="25" t="s">
        <v>2049</v>
      </c>
      <c r="C4273" s="26" t="s">
        <v>1809</v>
      </c>
      <c r="D4273" s="26" t="s">
        <v>2083</v>
      </c>
      <c r="E4273" s="26" t="s">
        <v>2084</v>
      </c>
      <c r="F4273" s="26" t="s">
        <v>2085</v>
      </c>
      <c r="G4273" s="26" t="s">
        <v>821</v>
      </c>
      <c r="H4273" s="27" t="s">
        <v>821</v>
      </c>
      <c r="I4273" s="26" t="s">
        <v>2086</v>
      </c>
      <c r="J4273" s="27" t="s">
        <v>87</v>
      </c>
      <c r="K4273" s="29">
        <v>60</v>
      </c>
      <c r="L4273" s="29">
        <v>60</v>
      </c>
      <c r="M4273" s="29">
        <v>60</v>
      </c>
      <c r="N4273" s="29">
        <v>60</v>
      </c>
      <c r="O4273" s="29">
        <v>60</v>
      </c>
      <c r="P4273" s="40">
        <v>75</v>
      </c>
      <c r="Q4273" s="1" t="s">
        <v>35</v>
      </c>
      <c r="R4273" s="2">
        <v>0</v>
      </c>
      <c r="S4273" s="2">
        <v>4005</v>
      </c>
      <c r="T4273" s="2">
        <v>0</v>
      </c>
      <c r="U4273" s="2">
        <v>2207</v>
      </c>
      <c r="V4273" s="2">
        <v>0</v>
      </c>
      <c r="W4273" s="2">
        <v>3489</v>
      </c>
      <c r="X4273" s="43">
        <f>SUM(R4273:W4284)</f>
        <v>142310</v>
      </c>
      <c r="Y4273" s="10">
        <v>46204</v>
      </c>
      <c r="Z4273" s="13">
        <v>0.21822774234314721</v>
      </c>
      <c r="AA4273" s="13">
        <v>0.19176892037163287</v>
      </c>
      <c r="AB4273" s="13">
        <v>0.16994687607165501</v>
      </c>
      <c r="AC4273" s="13">
        <v>0.13533276805163061</v>
      </c>
      <c r="AD4273" s="13">
        <v>0.11849120346270935</v>
      </c>
      <c r="AE4273" s="13">
        <v>0.13112980089791482</v>
      </c>
      <c r="AF4273" s="11">
        <v>0.2</v>
      </c>
      <c r="AG4273" s="11">
        <v>1.2709999999999999</v>
      </c>
    </row>
    <row r="4274" spans="2:33">
      <c r="B4274" s="18"/>
      <c r="C4274" s="14"/>
      <c r="D4274" s="14"/>
      <c r="E4274" s="14"/>
      <c r="F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35"/>
      <c r="Q4274" s="36" t="s">
        <v>36</v>
      </c>
      <c r="R4274" s="13">
        <v>0</v>
      </c>
      <c r="S4274" s="13">
        <v>3924</v>
      </c>
      <c r="T4274" s="13">
        <v>0</v>
      </c>
      <c r="U4274" s="13">
        <v>2109</v>
      </c>
      <c r="V4274" s="13">
        <v>0</v>
      </c>
      <c r="W4274" s="37">
        <v>2820</v>
      </c>
      <c r="X4274" s="18"/>
      <c r="Y4274" s="14"/>
      <c r="Z4274" s="83"/>
      <c r="AA4274" s="83"/>
      <c r="AB4274" s="83"/>
      <c r="AC4274" s="83"/>
      <c r="AD4274" s="83"/>
      <c r="AE4274" s="83"/>
      <c r="AF4274" s="14"/>
      <c r="AG4274" s="35"/>
    </row>
    <row r="4275" spans="2:33">
      <c r="B4275" s="19"/>
      <c r="P4275" s="16"/>
      <c r="Q4275" s="36" t="s">
        <v>37</v>
      </c>
      <c r="R4275" s="13">
        <v>0</v>
      </c>
      <c r="S4275" s="13">
        <v>4362</v>
      </c>
      <c r="T4275" s="13">
        <v>0</v>
      </c>
      <c r="U4275" s="13">
        <v>2323</v>
      </c>
      <c r="V4275" s="13">
        <v>0</v>
      </c>
      <c r="W4275" s="37">
        <v>3631</v>
      </c>
      <c r="X4275" s="19"/>
      <c r="AG4275" s="16"/>
    </row>
    <row r="4276" spans="2:33">
      <c r="B4276" s="19"/>
      <c r="P4276" s="16"/>
      <c r="Q4276" s="36" t="s">
        <v>38</v>
      </c>
      <c r="R4276" s="13">
        <v>0</v>
      </c>
      <c r="S4276" s="13">
        <v>0</v>
      </c>
      <c r="T4276" s="13">
        <v>0</v>
      </c>
      <c r="U4276" s="13">
        <v>4771</v>
      </c>
      <c r="V4276" s="13">
        <v>2600</v>
      </c>
      <c r="W4276" s="37">
        <v>3251</v>
      </c>
      <c r="X4276" s="19"/>
      <c r="AG4276" s="16"/>
    </row>
    <row r="4277" spans="2:33">
      <c r="B4277" s="19"/>
      <c r="P4277" s="16"/>
      <c r="Q4277" s="36" t="s">
        <v>39</v>
      </c>
      <c r="R4277" s="13">
        <v>0</v>
      </c>
      <c r="S4277" s="13">
        <v>0</v>
      </c>
      <c r="T4277" s="13">
        <v>0</v>
      </c>
      <c r="U4277" s="13">
        <v>4485</v>
      </c>
      <c r="V4277" s="13">
        <v>2437</v>
      </c>
      <c r="W4277" s="37">
        <v>2944</v>
      </c>
      <c r="X4277" s="19"/>
      <c r="AG4277" s="16"/>
    </row>
    <row r="4278" spans="2:33">
      <c r="B4278" s="19"/>
      <c r="P4278" s="16"/>
      <c r="Q4278" s="36" t="s">
        <v>40</v>
      </c>
      <c r="R4278" s="13">
        <v>0</v>
      </c>
      <c r="S4278" s="13">
        <v>0</v>
      </c>
      <c r="T4278" s="13">
        <v>0</v>
      </c>
      <c r="U4278" s="13">
        <v>4299</v>
      </c>
      <c r="V4278" s="13">
        <v>2269</v>
      </c>
      <c r="W4278" s="37">
        <v>2029</v>
      </c>
      <c r="X4278" s="19"/>
      <c r="AG4278" s="16"/>
    </row>
    <row r="4279" spans="2:33">
      <c r="B4279" s="19"/>
      <c r="P4279" s="16"/>
      <c r="Q4279" s="36" t="s">
        <v>41</v>
      </c>
      <c r="R4279" s="13">
        <v>5387</v>
      </c>
      <c r="S4279" s="13">
        <v>0</v>
      </c>
      <c r="T4279" s="13">
        <v>2940</v>
      </c>
      <c r="U4279" s="13">
        <v>0</v>
      </c>
      <c r="V4279" s="13">
        <v>0</v>
      </c>
      <c r="W4279" s="37">
        <v>2269</v>
      </c>
      <c r="X4279" s="19"/>
      <c r="AG4279" s="16"/>
    </row>
    <row r="4280" spans="2:33">
      <c r="B4280" s="19"/>
      <c r="P4280" s="16"/>
      <c r="Q4280" s="36" t="s">
        <v>42</v>
      </c>
      <c r="R4280" s="13">
        <v>8359</v>
      </c>
      <c r="S4280" s="13">
        <v>0</v>
      </c>
      <c r="T4280" s="13">
        <v>3816</v>
      </c>
      <c r="U4280" s="13">
        <v>0</v>
      </c>
      <c r="V4280" s="13">
        <v>0</v>
      </c>
      <c r="W4280" s="37">
        <v>4171</v>
      </c>
      <c r="X4280" s="19"/>
      <c r="AG4280" s="16"/>
    </row>
    <row r="4281" spans="2:33">
      <c r="B4281" s="19"/>
      <c r="P4281" s="16"/>
      <c r="Q4281" s="36" t="s">
        <v>43</v>
      </c>
      <c r="R4281" s="13">
        <v>8610</v>
      </c>
      <c r="S4281" s="13">
        <v>0</v>
      </c>
      <c r="T4281" s="13">
        <v>3988</v>
      </c>
      <c r="U4281" s="13">
        <v>0</v>
      </c>
      <c r="V4281" s="13">
        <v>0</v>
      </c>
      <c r="W4281" s="37">
        <v>2982</v>
      </c>
      <c r="X4281" s="19"/>
      <c r="AG4281" s="16"/>
    </row>
    <row r="4282" spans="2:33">
      <c r="B4282" s="19"/>
      <c r="P4282" s="16"/>
      <c r="Q4282" s="36" t="s">
        <v>44</v>
      </c>
      <c r="R4282" s="13">
        <v>9674</v>
      </c>
      <c r="S4282" s="13">
        <v>0</v>
      </c>
      <c r="T4282" s="13">
        <v>4762</v>
      </c>
      <c r="U4282" s="13">
        <v>0</v>
      </c>
      <c r="V4282" s="13">
        <v>0</v>
      </c>
      <c r="W4282" s="37">
        <v>5912</v>
      </c>
      <c r="X4282" s="19"/>
      <c r="AG4282" s="16"/>
    </row>
    <row r="4283" spans="2:33">
      <c r="B4283" s="19"/>
      <c r="P4283" s="16"/>
      <c r="Q4283" s="36" t="s">
        <v>45</v>
      </c>
      <c r="R4283" s="13">
        <v>0</v>
      </c>
      <c r="S4283" s="13">
        <v>4659</v>
      </c>
      <c r="T4283" s="13">
        <v>2464</v>
      </c>
      <c r="U4283" s="13">
        <v>0</v>
      </c>
      <c r="V4283" s="13">
        <v>0</v>
      </c>
      <c r="W4283" s="37">
        <v>4246</v>
      </c>
      <c r="X4283" s="19"/>
      <c r="AG4283" s="16"/>
    </row>
    <row r="4284" spans="2:33" ht="15" thickBot="1">
      <c r="B4284" s="20"/>
      <c r="C4284" s="15"/>
      <c r="D4284" s="15"/>
      <c r="E4284" s="15"/>
      <c r="F4284" s="15"/>
      <c r="G4284" s="15"/>
      <c r="H4284" s="15"/>
      <c r="I4284" s="15"/>
      <c r="J4284" s="15"/>
      <c r="K4284" s="15"/>
      <c r="L4284" s="15"/>
      <c r="M4284" s="15"/>
      <c r="N4284" s="15"/>
      <c r="O4284" s="15"/>
      <c r="P4284" s="17"/>
      <c r="Q4284" s="36" t="s">
        <v>46</v>
      </c>
      <c r="R4284" s="13">
        <v>0</v>
      </c>
      <c r="S4284" s="13">
        <v>4194</v>
      </c>
      <c r="T4284" s="13">
        <v>2336</v>
      </c>
      <c r="U4284" s="13">
        <v>0</v>
      </c>
      <c r="V4284" s="13">
        <v>0</v>
      </c>
      <c r="W4284" s="37">
        <v>3586</v>
      </c>
      <c r="X4284" s="20"/>
      <c r="Y4284" s="15"/>
      <c r="Z4284" s="15"/>
      <c r="AA4284" s="15"/>
      <c r="AB4284" s="15"/>
      <c r="AC4284" s="15"/>
      <c r="AD4284" s="15"/>
      <c r="AE4284" s="15"/>
      <c r="AF4284" s="15"/>
      <c r="AG4284" s="17"/>
    </row>
    <row r="4286" spans="2:33" ht="15" thickBot="1">
      <c r="B4286" s="25" t="s">
        <v>2049</v>
      </c>
      <c r="C4286" s="26" t="s">
        <v>1809</v>
      </c>
      <c r="D4286" s="26" t="s">
        <v>2087</v>
      </c>
      <c r="E4286" s="26" t="s">
        <v>2088</v>
      </c>
      <c r="F4286" s="26" t="s">
        <v>2089</v>
      </c>
      <c r="G4286" s="26" t="s">
        <v>2090</v>
      </c>
      <c r="H4286" s="27" t="s">
        <v>821</v>
      </c>
      <c r="I4286" s="26" t="s">
        <v>2091</v>
      </c>
      <c r="J4286" s="27" t="s">
        <v>87</v>
      </c>
      <c r="K4286" s="29">
        <v>50</v>
      </c>
      <c r="L4286" s="29">
        <v>50</v>
      </c>
      <c r="M4286" s="29">
        <v>50</v>
      </c>
      <c r="N4286" s="29">
        <v>50</v>
      </c>
      <c r="O4286" s="29">
        <v>50</v>
      </c>
      <c r="P4286" s="40">
        <v>80</v>
      </c>
      <c r="Q4286" s="1" t="s">
        <v>35</v>
      </c>
      <c r="R4286" s="2">
        <v>0</v>
      </c>
      <c r="S4286" s="2">
        <v>6482</v>
      </c>
      <c r="T4286" s="2">
        <v>0</v>
      </c>
      <c r="U4286" s="2">
        <v>3251</v>
      </c>
      <c r="V4286" s="2">
        <v>0</v>
      </c>
      <c r="W4286" s="2">
        <v>3358</v>
      </c>
      <c r="X4286" s="43">
        <f>SUM(R4286:W4298)</f>
        <v>136005</v>
      </c>
      <c r="Y4286" s="10">
        <v>46204</v>
      </c>
      <c r="Z4286" s="13">
        <v>0.21822774234314721</v>
      </c>
      <c r="AA4286" s="13">
        <v>0.19176892037163287</v>
      </c>
      <c r="AB4286" s="13">
        <v>0.16994687607165501</v>
      </c>
      <c r="AC4286" s="13">
        <v>0.13533276805163061</v>
      </c>
      <c r="AD4286" s="13">
        <v>0.11849120346270935</v>
      </c>
      <c r="AE4286" s="13">
        <v>0.13112980089791482</v>
      </c>
      <c r="AF4286" s="11">
        <v>0.2</v>
      </c>
      <c r="AG4286" s="11">
        <v>1.2709999999999999</v>
      </c>
    </row>
    <row r="4287" spans="2:33">
      <c r="B4287" s="18"/>
      <c r="C4287" s="14"/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35"/>
      <c r="Q4287" s="36" t="s">
        <v>36</v>
      </c>
      <c r="R4287" s="13">
        <v>0</v>
      </c>
      <c r="S4287" s="13">
        <v>4483</v>
      </c>
      <c r="T4287" s="13">
        <v>0</v>
      </c>
      <c r="U4287" s="13">
        <v>2314</v>
      </c>
      <c r="V4287" s="13">
        <v>0</v>
      </c>
      <c r="W4287" s="37">
        <v>2042</v>
      </c>
      <c r="X4287" s="18"/>
      <c r="Y4287" s="14"/>
      <c r="Z4287" s="83"/>
      <c r="AA4287" s="83"/>
      <c r="AB4287" s="83"/>
      <c r="AC4287" s="83"/>
      <c r="AD4287" s="83"/>
      <c r="AE4287" s="83"/>
      <c r="AF4287" s="14"/>
      <c r="AG4287" s="35"/>
    </row>
    <row r="4288" spans="2:33">
      <c r="B4288" s="19"/>
      <c r="P4288" s="16"/>
      <c r="Q4288" s="36" t="s">
        <v>37</v>
      </c>
      <c r="R4288" s="13">
        <v>0</v>
      </c>
      <c r="S4288" s="13">
        <v>4461</v>
      </c>
      <c r="T4288" s="13">
        <v>0</v>
      </c>
      <c r="U4288" s="13">
        <v>2329</v>
      </c>
      <c r="V4288" s="13">
        <v>0</v>
      </c>
      <c r="W4288" s="37">
        <v>2453</v>
      </c>
      <c r="X4288" s="19"/>
      <c r="AG4288" s="16"/>
    </row>
    <row r="4289" spans="2:33">
      <c r="B4289" s="19"/>
      <c r="P4289" s="16"/>
      <c r="Q4289" s="36" t="s">
        <v>38</v>
      </c>
      <c r="R4289" s="13">
        <v>0</v>
      </c>
      <c r="S4289" s="13">
        <v>0</v>
      </c>
      <c r="T4289" s="13">
        <v>0</v>
      </c>
      <c r="U4289" s="13">
        <v>6145</v>
      </c>
      <c r="V4289" s="13">
        <v>3032</v>
      </c>
      <c r="W4289" s="37">
        <v>2377</v>
      </c>
      <c r="X4289" s="19"/>
      <c r="AG4289" s="16"/>
    </row>
    <row r="4290" spans="2:33">
      <c r="B4290" s="19"/>
      <c r="P4290" s="16"/>
      <c r="Q4290" s="36" t="s">
        <v>39</v>
      </c>
      <c r="R4290" s="13">
        <v>0</v>
      </c>
      <c r="S4290" s="13">
        <v>0</v>
      </c>
      <c r="T4290" s="13">
        <v>0</v>
      </c>
      <c r="U4290" s="13">
        <v>5843</v>
      </c>
      <c r="V4290" s="13">
        <v>2875</v>
      </c>
      <c r="W4290" s="37">
        <v>3052</v>
      </c>
      <c r="X4290" s="19"/>
      <c r="AG4290" s="16"/>
    </row>
    <row r="4291" spans="2:33">
      <c r="B4291" s="19"/>
      <c r="P4291" s="16"/>
      <c r="Q4291" s="36" t="s">
        <v>40</v>
      </c>
      <c r="R4291" s="13">
        <v>0</v>
      </c>
      <c r="S4291" s="13">
        <v>0</v>
      </c>
      <c r="T4291" s="13">
        <v>0</v>
      </c>
      <c r="U4291" s="13">
        <v>5004</v>
      </c>
      <c r="V4291" s="13">
        <v>2504</v>
      </c>
      <c r="W4291" s="37">
        <v>2125</v>
      </c>
      <c r="X4291" s="19"/>
      <c r="AG4291" s="16"/>
    </row>
    <row r="4292" spans="2:33">
      <c r="B4292" s="19"/>
      <c r="P4292" s="16"/>
      <c r="Q4292" s="36" t="s">
        <v>41</v>
      </c>
      <c r="R4292" s="13">
        <v>5117</v>
      </c>
      <c r="S4292" s="13">
        <v>0</v>
      </c>
      <c r="T4292" s="13">
        <v>2720</v>
      </c>
      <c r="U4292" s="13">
        <v>0</v>
      </c>
      <c r="V4292" s="13">
        <v>0</v>
      </c>
      <c r="W4292" s="37">
        <v>2100</v>
      </c>
      <c r="X4292" s="19"/>
      <c r="AG4292" s="16"/>
    </row>
    <row r="4293" spans="2:33">
      <c r="B4293" s="19"/>
      <c r="P4293" s="16"/>
      <c r="Q4293" s="36" t="s">
        <v>42</v>
      </c>
      <c r="R4293" s="13">
        <v>4531</v>
      </c>
      <c r="S4293" s="13">
        <v>0</v>
      </c>
      <c r="T4293" s="13">
        <v>2474</v>
      </c>
      <c r="U4293" s="13">
        <v>0</v>
      </c>
      <c r="V4293" s="13">
        <v>0</v>
      </c>
      <c r="W4293" s="37">
        <v>2469</v>
      </c>
      <c r="X4293" s="19"/>
      <c r="AG4293" s="16"/>
    </row>
    <row r="4294" spans="2:33">
      <c r="B4294" s="19"/>
      <c r="P4294" s="16"/>
      <c r="Q4294" s="36" t="s">
        <v>43</v>
      </c>
      <c r="R4294" s="13">
        <v>4860</v>
      </c>
      <c r="S4294" s="13">
        <v>0</v>
      </c>
      <c r="T4294" s="13">
        <v>2691</v>
      </c>
      <c r="U4294" s="13">
        <v>0</v>
      </c>
      <c r="V4294" s="13">
        <v>0</v>
      </c>
      <c r="W4294" s="37">
        <v>2219</v>
      </c>
      <c r="X4294" s="19"/>
      <c r="AG4294" s="16"/>
    </row>
    <row r="4295" spans="2:33">
      <c r="B4295" s="19"/>
      <c r="P4295" s="16"/>
      <c r="Q4295" s="36" t="s">
        <v>44</v>
      </c>
      <c r="R4295" s="13">
        <v>6875</v>
      </c>
      <c r="S4295" s="13">
        <v>0</v>
      </c>
      <c r="T4295" s="13">
        <v>3439</v>
      </c>
      <c r="U4295" s="13">
        <v>0</v>
      </c>
      <c r="V4295" s="13">
        <v>0</v>
      </c>
      <c r="W4295" s="37">
        <v>2561</v>
      </c>
      <c r="X4295" s="19"/>
      <c r="AG4295" s="16"/>
    </row>
    <row r="4296" spans="2:33">
      <c r="B4296" s="19"/>
      <c r="P4296" s="16"/>
      <c r="Q4296" s="36" t="s">
        <v>2065</v>
      </c>
      <c r="R4296" s="13">
        <v>0</v>
      </c>
      <c r="S4296" s="13">
        <v>5274</v>
      </c>
      <c r="T4296" s="13">
        <v>2440</v>
      </c>
      <c r="U4296" s="13">
        <v>0</v>
      </c>
      <c r="V4296" s="13">
        <v>0</v>
      </c>
      <c r="W4296" s="37">
        <v>2561</v>
      </c>
      <c r="X4296" s="19"/>
      <c r="AG4296" s="16"/>
    </row>
    <row r="4297" spans="2:33">
      <c r="B4297" s="19"/>
      <c r="P4297" s="16"/>
      <c r="Q4297" s="36" t="s">
        <v>2066</v>
      </c>
      <c r="R4297" s="13">
        <v>0</v>
      </c>
      <c r="S4297" s="13">
        <v>2633</v>
      </c>
      <c r="T4297" s="13">
        <v>1262</v>
      </c>
      <c r="U4297" s="13">
        <v>0</v>
      </c>
      <c r="V4297" s="13">
        <v>0</v>
      </c>
      <c r="W4297" s="37">
        <v>1988</v>
      </c>
      <c r="X4297" s="19"/>
      <c r="AG4297" s="16"/>
    </row>
    <row r="4298" spans="2:33" ht="15" thickBot="1">
      <c r="B4298" s="20"/>
      <c r="C4298" s="15"/>
      <c r="D4298" s="15"/>
      <c r="E4298" s="15"/>
      <c r="F4298" s="15"/>
      <c r="G4298" s="15"/>
      <c r="H4298" s="15"/>
      <c r="I4298" s="15"/>
      <c r="J4298" s="15"/>
      <c r="K4298" s="15"/>
      <c r="L4298" s="15"/>
      <c r="M4298" s="15"/>
      <c r="N4298" s="15"/>
      <c r="O4298" s="15"/>
      <c r="P4298" s="17"/>
      <c r="Q4298" s="36" t="s">
        <v>46</v>
      </c>
      <c r="R4298" s="13">
        <v>0</v>
      </c>
      <c r="S4298" s="13">
        <v>6207</v>
      </c>
      <c r="T4298" s="13">
        <v>3180</v>
      </c>
      <c r="U4298" s="13">
        <v>0</v>
      </c>
      <c r="V4298" s="13">
        <v>0</v>
      </c>
      <c r="W4298" s="37">
        <v>4274</v>
      </c>
      <c r="X4298" s="20"/>
      <c r="Y4298" s="15"/>
      <c r="Z4298" s="15"/>
      <c r="AA4298" s="15"/>
      <c r="AB4298" s="15"/>
      <c r="AC4298" s="15"/>
      <c r="AD4298" s="15"/>
      <c r="AE4298" s="15"/>
      <c r="AF4298" s="15"/>
      <c r="AG4298" s="17"/>
    </row>
    <row r="4300" spans="2:33" ht="15" thickBot="1">
      <c r="B4300" s="25" t="s">
        <v>2049</v>
      </c>
      <c r="C4300" s="26" t="s">
        <v>1809</v>
      </c>
      <c r="D4300" s="26" t="s">
        <v>2092</v>
      </c>
      <c r="E4300" s="26" t="s">
        <v>2093</v>
      </c>
      <c r="F4300" s="26" t="s">
        <v>819</v>
      </c>
      <c r="G4300" s="26" t="s">
        <v>820</v>
      </c>
      <c r="H4300" s="27" t="s">
        <v>821</v>
      </c>
      <c r="I4300" s="26" t="s">
        <v>2094</v>
      </c>
      <c r="J4300" s="27" t="s">
        <v>56</v>
      </c>
      <c r="K4300" s="29">
        <v>13.855999946594199</v>
      </c>
      <c r="L4300" s="29">
        <v>13.855999946594199</v>
      </c>
      <c r="M4300" s="29">
        <v>13.855999946594199</v>
      </c>
      <c r="N4300" s="29">
        <v>0</v>
      </c>
      <c r="O4300" s="29">
        <v>0</v>
      </c>
      <c r="P4300" s="40">
        <v>0</v>
      </c>
      <c r="Q4300" s="1" t="s">
        <v>1824</v>
      </c>
      <c r="R4300" s="2">
        <v>1408</v>
      </c>
      <c r="S4300" s="2">
        <v>998</v>
      </c>
      <c r="T4300" s="2">
        <v>1033</v>
      </c>
      <c r="U4300" s="2">
        <v>0</v>
      </c>
      <c r="V4300" s="2">
        <v>0</v>
      </c>
      <c r="W4300" s="2">
        <v>0</v>
      </c>
      <c r="X4300" s="43">
        <f>SUM(R4300:W4311)</f>
        <v>45775.820007324219</v>
      </c>
      <c r="Y4300" s="10">
        <v>46204</v>
      </c>
      <c r="Z4300" s="84">
        <v>0.24283387277221363</v>
      </c>
      <c r="AA4300" s="84">
        <v>0.17030142298052031</v>
      </c>
      <c r="AB4300" s="84">
        <v>0.12984680089791481</v>
      </c>
      <c r="AC4300" s="13"/>
      <c r="AD4300" s="13"/>
      <c r="AE4300" s="13"/>
      <c r="AF4300" s="11">
        <v>0.2</v>
      </c>
      <c r="AG4300" s="11">
        <v>1.2709999999999999</v>
      </c>
    </row>
    <row r="4301" spans="2:33">
      <c r="B4301" s="18"/>
      <c r="C4301" s="14"/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/>
      <c r="O4301" s="14"/>
      <c r="P4301" s="35"/>
      <c r="Q4301" s="36" t="s">
        <v>2095</v>
      </c>
      <c r="R4301" s="13">
        <v>1368.02001953125</v>
      </c>
      <c r="S4301" s="13">
        <v>962.53997802734375</v>
      </c>
      <c r="T4301" s="13">
        <v>898.260009765625</v>
      </c>
      <c r="U4301" s="13">
        <v>0</v>
      </c>
      <c r="V4301" s="13">
        <v>0</v>
      </c>
      <c r="W4301" s="37">
        <v>0</v>
      </c>
      <c r="X4301" s="18"/>
      <c r="Y4301" s="14"/>
      <c r="Z4301" s="83"/>
      <c r="AA4301" s="83"/>
      <c r="AB4301" s="83"/>
      <c r="AC4301" s="83"/>
      <c r="AD4301" s="83"/>
      <c r="AE4301" s="83"/>
      <c r="AF4301" s="14"/>
      <c r="AG4301" s="35"/>
    </row>
    <row r="4302" spans="2:33">
      <c r="B4302" s="19"/>
      <c r="P4302" s="16"/>
      <c r="Q4302" s="36" t="s">
        <v>2096</v>
      </c>
      <c r="R4302" s="13">
        <v>1700</v>
      </c>
      <c r="S4302" s="13">
        <v>1182</v>
      </c>
      <c r="T4302" s="13">
        <v>991</v>
      </c>
      <c r="U4302" s="13">
        <v>0</v>
      </c>
      <c r="V4302" s="13">
        <v>0</v>
      </c>
      <c r="W4302" s="37">
        <v>0</v>
      </c>
      <c r="X4302" s="19"/>
      <c r="AG4302" s="16"/>
    </row>
    <row r="4303" spans="2:33">
      <c r="B4303" s="19"/>
      <c r="P4303" s="16"/>
      <c r="Q4303" s="36" t="s">
        <v>1827</v>
      </c>
      <c r="R4303" s="13">
        <v>1600</v>
      </c>
      <c r="S4303" s="13">
        <v>1158</v>
      </c>
      <c r="T4303" s="13">
        <v>1240</v>
      </c>
      <c r="U4303" s="13">
        <v>0</v>
      </c>
      <c r="V4303" s="13">
        <v>0</v>
      </c>
      <c r="W4303" s="37">
        <v>0</v>
      </c>
      <c r="X4303" s="19"/>
      <c r="AG4303" s="16"/>
    </row>
    <row r="4304" spans="2:33">
      <c r="B4304" s="19"/>
      <c r="P4304" s="16"/>
      <c r="Q4304" s="36" t="s">
        <v>1828</v>
      </c>
      <c r="R4304" s="13">
        <v>1495</v>
      </c>
      <c r="S4304" s="13">
        <v>1081</v>
      </c>
      <c r="T4304" s="13">
        <v>938</v>
      </c>
      <c r="U4304" s="13">
        <v>0</v>
      </c>
      <c r="V4304" s="13">
        <v>0</v>
      </c>
      <c r="W4304" s="37">
        <v>0</v>
      </c>
      <c r="X4304" s="19"/>
      <c r="AG4304" s="16"/>
    </row>
    <row r="4305" spans="2:33">
      <c r="B4305" s="19"/>
      <c r="P4305" s="16"/>
      <c r="Q4305" s="36" t="s">
        <v>2097</v>
      </c>
      <c r="R4305" s="13">
        <v>1690</v>
      </c>
      <c r="S4305" s="13">
        <v>1202</v>
      </c>
      <c r="T4305" s="13">
        <v>919</v>
      </c>
      <c r="U4305" s="13">
        <v>0</v>
      </c>
      <c r="V4305" s="13">
        <v>0</v>
      </c>
      <c r="W4305" s="37">
        <v>0</v>
      </c>
      <c r="X4305" s="19"/>
      <c r="AG4305" s="16"/>
    </row>
    <row r="4306" spans="2:33">
      <c r="B4306" s="19"/>
      <c r="P4306" s="16"/>
      <c r="Q4306" s="36" t="s">
        <v>2098</v>
      </c>
      <c r="R4306" s="13">
        <v>1725</v>
      </c>
      <c r="S4306" s="13">
        <v>1216</v>
      </c>
      <c r="T4306" s="13">
        <v>1161</v>
      </c>
      <c r="U4306" s="13">
        <v>0</v>
      </c>
      <c r="V4306" s="13">
        <v>0</v>
      </c>
      <c r="W4306" s="37">
        <v>0</v>
      </c>
      <c r="X4306" s="19"/>
      <c r="AG4306" s="16"/>
    </row>
    <row r="4307" spans="2:33">
      <c r="B4307" s="19"/>
      <c r="P4307" s="16"/>
      <c r="Q4307" s="36" t="s">
        <v>1830</v>
      </c>
      <c r="R4307" s="13">
        <v>1527</v>
      </c>
      <c r="S4307" s="13">
        <v>1103</v>
      </c>
      <c r="T4307" s="13">
        <v>1018</v>
      </c>
      <c r="U4307" s="13">
        <v>0</v>
      </c>
      <c r="V4307" s="13">
        <v>0</v>
      </c>
      <c r="W4307" s="37">
        <v>0</v>
      </c>
      <c r="X4307" s="19"/>
      <c r="AG4307" s="16"/>
    </row>
    <row r="4308" spans="2:33">
      <c r="B4308" s="19"/>
      <c r="P4308" s="16"/>
      <c r="Q4308" s="36" t="s">
        <v>222</v>
      </c>
      <c r="R4308" s="13">
        <v>1667</v>
      </c>
      <c r="S4308" s="13">
        <v>1182</v>
      </c>
      <c r="T4308" s="13">
        <v>988</v>
      </c>
      <c r="U4308" s="13">
        <v>0</v>
      </c>
      <c r="V4308" s="13">
        <v>0</v>
      </c>
      <c r="W4308" s="37">
        <v>0</v>
      </c>
      <c r="X4308" s="19"/>
      <c r="AG4308" s="16"/>
    </row>
    <row r="4309" spans="2:33">
      <c r="B4309" s="19"/>
      <c r="P4309" s="16"/>
      <c r="Q4309" s="36" t="s">
        <v>1565</v>
      </c>
      <c r="R4309" s="13">
        <v>1693</v>
      </c>
      <c r="S4309" s="13">
        <v>1246</v>
      </c>
      <c r="T4309" s="13">
        <v>1214</v>
      </c>
      <c r="U4309" s="13">
        <v>0</v>
      </c>
      <c r="V4309" s="13">
        <v>0</v>
      </c>
      <c r="W4309" s="37">
        <v>0</v>
      </c>
      <c r="X4309" s="19"/>
      <c r="AG4309" s="16"/>
    </row>
    <row r="4310" spans="2:33">
      <c r="B4310" s="19"/>
      <c r="P4310" s="16"/>
      <c r="Q4310" s="36" t="s">
        <v>1566</v>
      </c>
      <c r="R4310" s="13">
        <v>1598</v>
      </c>
      <c r="S4310" s="13">
        <v>1147</v>
      </c>
      <c r="T4310" s="13">
        <v>1040</v>
      </c>
      <c r="U4310" s="13">
        <v>0</v>
      </c>
      <c r="V4310" s="13">
        <v>0</v>
      </c>
      <c r="W4310" s="37">
        <v>0</v>
      </c>
      <c r="X4310" s="19"/>
      <c r="AG4310" s="16"/>
    </row>
    <row r="4311" spans="2:33" ht="15" thickBot="1">
      <c r="B4311" s="20"/>
      <c r="C4311" s="15"/>
      <c r="D4311" s="15"/>
      <c r="E4311" s="15"/>
      <c r="F4311" s="15"/>
      <c r="G4311" s="15"/>
      <c r="H4311" s="15"/>
      <c r="I4311" s="15"/>
      <c r="J4311" s="15"/>
      <c r="K4311" s="15"/>
      <c r="L4311" s="15"/>
      <c r="M4311" s="15"/>
      <c r="N4311" s="15"/>
      <c r="O4311" s="15"/>
      <c r="P4311" s="17"/>
      <c r="Q4311" s="36" t="s">
        <v>2099</v>
      </c>
      <c r="R4311" s="13">
        <v>1519</v>
      </c>
      <c r="S4311" s="13">
        <v>1119</v>
      </c>
      <c r="T4311" s="13">
        <v>1749</v>
      </c>
      <c r="U4311" s="13">
        <v>0</v>
      </c>
      <c r="V4311" s="13">
        <v>0</v>
      </c>
      <c r="W4311" s="37">
        <v>0</v>
      </c>
      <c r="X4311" s="20"/>
      <c r="Y4311" s="15"/>
      <c r="Z4311" s="15"/>
      <c r="AA4311" s="15"/>
      <c r="AB4311" s="15"/>
      <c r="AC4311" s="15"/>
      <c r="AD4311" s="15"/>
      <c r="AE4311" s="15"/>
      <c r="AF4311" s="15"/>
      <c r="AG4311" s="17"/>
    </row>
    <row r="4313" spans="2:33" ht="15" thickBot="1">
      <c r="B4313" s="25" t="s">
        <v>2049</v>
      </c>
      <c r="C4313" s="26" t="s">
        <v>1809</v>
      </c>
      <c r="D4313" s="26" t="s">
        <v>2100</v>
      </c>
      <c r="E4313" s="26" t="s">
        <v>2101</v>
      </c>
      <c r="F4313" s="26" t="s">
        <v>2102</v>
      </c>
      <c r="G4313" s="26" t="s">
        <v>2103</v>
      </c>
      <c r="H4313" s="27" t="s">
        <v>693</v>
      </c>
      <c r="I4313" s="26" t="s">
        <v>2104</v>
      </c>
      <c r="J4313" s="27" t="s">
        <v>87</v>
      </c>
      <c r="K4313" s="29">
        <v>15</v>
      </c>
      <c r="L4313" s="29">
        <v>15</v>
      </c>
      <c r="M4313" s="29">
        <v>15</v>
      </c>
      <c r="N4313" s="29">
        <v>15</v>
      </c>
      <c r="O4313" s="29">
        <v>15</v>
      </c>
      <c r="P4313" s="40">
        <v>40</v>
      </c>
      <c r="Q4313" s="1" t="s">
        <v>35</v>
      </c>
      <c r="R4313" s="2">
        <v>0</v>
      </c>
      <c r="S4313" s="2">
        <v>1240</v>
      </c>
      <c r="T4313" s="2">
        <v>0</v>
      </c>
      <c r="U4313" s="2">
        <v>666</v>
      </c>
      <c r="V4313" s="2">
        <v>0</v>
      </c>
      <c r="W4313" s="2">
        <v>787</v>
      </c>
      <c r="X4313" s="43">
        <f>SUM(R4313:W4324)</f>
        <v>40779</v>
      </c>
      <c r="Y4313" s="10">
        <v>46204</v>
      </c>
      <c r="Z4313" s="13">
        <v>0.21822774234314721</v>
      </c>
      <c r="AA4313" s="13">
        <v>0.19176892037163287</v>
      </c>
      <c r="AB4313" s="13">
        <v>0.16994687607165501</v>
      </c>
      <c r="AC4313" s="13">
        <v>0.13533276805163061</v>
      </c>
      <c r="AD4313" s="13">
        <v>0.11849120346270935</v>
      </c>
      <c r="AE4313" s="13">
        <v>0.13112980089791482</v>
      </c>
      <c r="AF4313" s="11">
        <v>0.2</v>
      </c>
      <c r="AG4313" s="11">
        <v>1.2709999999999999</v>
      </c>
    </row>
    <row r="4314" spans="2:33">
      <c r="B4314" s="18"/>
      <c r="C4314" s="14"/>
      <c r="D4314" s="14"/>
      <c r="E4314" s="14"/>
      <c r="F4314" s="14"/>
      <c r="G4314" s="14"/>
      <c r="H4314" s="14"/>
      <c r="I4314" s="14"/>
      <c r="J4314" s="14"/>
      <c r="K4314" s="14"/>
      <c r="L4314" s="14"/>
      <c r="M4314" s="14"/>
      <c r="N4314" s="14"/>
      <c r="O4314" s="14"/>
      <c r="P4314" s="35"/>
      <c r="Q4314" s="36" t="s">
        <v>36</v>
      </c>
      <c r="R4314" s="13">
        <v>0</v>
      </c>
      <c r="S4314" s="13">
        <v>1310</v>
      </c>
      <c r="T4314" s="13">
        <v>0</v>
      </c>
      <c r="U4314" s="13">
        <v>743</v>
      </c>
      <c r="V4314" s="13">
        <v>0</v>
      </c>
      <c r="W4314" s="37">
        <v>692</v>
      </c>
      <c r="X4314" s="18"/>
      <c r="Y4314" s="14"/>
      <c r="Z4314" s="83"/>
      <c r="AA4314" s="83"/>
      <c r="AB4314" s="83"/>
      <c r="AC4314" s="83"/>
      <c r="AD4314" s="83"/>
      <c r="AE4314" s="83"/>
      <c r="AF4314" s="14"/>
      <c r="AG4314" s="35"/>
    </row>
    <row r="4315" spans="2:33">
      <c r="B4315" s="19"/>
      <c r="P4315" s="16"/>
      <c r="Q4315" s="36" t="s">
        <v>37</v>
      </c>
      <c r="R4315" s="13">
        <v>0</v>
      </c>
      <c r="S4315" s="13">
        <v>1349</v>
      </c>
      <c r="T4315" s="13">
        <v>0</v>
      </c>
      <c r="U4315" s="13">
        <v>747</v>
      </c>
      <c r="V4315" s="13">
        <v>0</v>
      </c>
      <c r="W4315" s="37">
        <v>843</v>
      </c>
      <c r="X4315" s="19"/>
      <c r="AG4315" s="16"/>
    </row>
    <row r="4316" spans="2:33">
      <c r="B4316" s="19"/>
      <c r="P4316" s="16"/>
      <c r="Q4316" s="36" t="s">
        <v>38</v>
      </c>
      <c r="R4316" s="13">
        <v>0</v>
      </c>
      <c r="S4316" s="13">
        <v>0</v>
      </c>
      <c r="T4316" s="13">
        <v>0</v>
      </c>
      <c r="U4316" s="13">
        <v>1407</v>
      </c>
      <c r="V4316" s="13">
        <v>806</v>
      </c>
      <c r="W4316" s="37">
        <v>754</v>
      </c>
      <c r="X4316" s="19"/>
      <c r="AG4316" s="16"/>
    </row>
    <row r="4317" spans="2:33">
      <c r="B4317" s="19"/>
      <c r="P4317" s="16"/>
      <c r="Q4317" s="36" t="s">
        <v>39</v>
      </c>
      <c r="R4317" s="13">
        <v>0</v>
      </c>
      <c r="S4317" s="13">
        <v>0</v>
      </c>
      <c r="T4317" s="13">
        <v>0</v>
      </c>
      <c r="U4317" s="13">
        <v>1463</v>
      </c>
      <c r="V4317" s="13">
        <v>804</v>
      </c>
      <c r="W4317" s="37">
        <v>821</v>
      </c>
      <c r="X4317" s="19"/>
      <c r="AG4317" s="16"/>
    </row>
    <row r="4318" spans="2:33">
      <c r="B4318" s="19"/>
      <c r="P4318" s="16"/>
      <c r="Q4318" s="36" t="s">
        <v>40</v>
      </c>
      <c r="R4318" s="13">
        <v>0</v>
      </c>
      <c r="S4318" s="13">
        <v>0</v>
      </c>
      <c r="T4318" s="13">
        <v>0</v>
      </c>
      <c r="U4318" s="13">
        <v>1533</v>
      </c>
      <c r="V4318" s="13">
        <v>906</v>
      </c>
      <c r="W4318" s="37">
        <v>886</v>
      </c>
      <c r="X4318" s="19"/>
      <c r="AG4318" s="16"/>
    </row>
    <row r="4319" spans="2:33">
      <c r="B4319" s="19"/>
      <c r="P4319" s="16"/>
      <c r="Q4319" s="36" t="s">
        <v>41</v>
      </c>
      <c r="R4319" s="13">
        <v>1995</v>
      </c>
      <c r="S4319" s="13">
        <v>0</v>
      </c>
      <c r="T4319" s="13">
        <v>1071</v>
      </c>
      <c r="U4319" s="13">
        <v>0</v>
      </c>
      <c r="V4319" s="13">
        <v>0</v>
      </c>
      <c r="W4319" s="37">
        <v>930</v>
      </c>
      <c r="X4319" s="19"/>
      <c r="AG4319" s="16"/>
    </row>
    <row r="4320" spans="2:33">
      <c r="B4320" s="19"/>
      <c r="P4320" s="16"/>
      <c r="Q4320" s="36" t="s">
        <v>42</v>
      </c>
      <c r="R4320" s="13">
        <v>1760</v>
      </c>
      <c r="S4320" s="13">
        <v>0</v>
      </c>
      <c r="T4320" s="13">
        <v>992</v>
      </c>
      <c r="U4320" s="13">
        <v>0</v>
      </c>
      <c r="V4320" s="13">
        <v>0</v>
      </c>
      <c r="W4320" s="37">
        <v>1044</v>
      </c>
      <c r="X4320" s="19"/>
      <c r="AG4320" s="16"/>
    </row>
    <row r="4321" spans="2:33">
      <c r="B4321" s="19"/>
      <c r="P4321" s="16"/>
      <c r="Q4321" s="36" t="s">
        <v>43</v>
      </c>
      <c r="R4321" s="13">
        <v>1926</v>
      </c>
      <c r="S4321" s="13">
        <v>0</v>
      </c>
      <c r="T4321" s="13">
        <v>1100</v>
      </c>
      <c r="U4321" s="13">
        <v>0</v>
      </c>
      <c r="V4321" s="13">
        <v>0</v>
      </c>
      <c r="W4321" s="37">
        <v>939</v>
      </c>
      <c r="X4321" s="19"/>
      <c r="AG4321" s="16"/>
    </row>
    <row r="4322" spans="2:33">
      <c r="B4322" s="19"/>
      <c r="P4322" s="16"/>
      <c r="Q4322" s="36" t="s">
        <v>44</v>
      </c>
      <c r="R4322" s="13">
        <v>1958</v>
      </c>
      <c r="S4322" s="13">
        <v>0</v>
      </c>
      <c r="T4322" s="13">
        <v>1144</v>
      </c>
      <c r="U4322" s="13">
        <v>0</v>
      </c>
      <c r="V4322" s="13">
        <v>0</v>
      </c>
      <c r="W4322" s="37">
        <v>901</v>
      </c>
      <c r="X4322" s="19"/>
      <c r="AG4322" s="16"/>
    </row>
    <row r="4323" spans="2:33">
      <c r="B4323" s="19"/>
      <c r="P4323" s="16"/>
      <c r="Q4323" s="36" t="s">
        <v>45</v>
      </c>
      <c r="R4323" s="13">
        <v>0</v>
      </c>
      <c r="S4323" s="13">
        <v>1727</v>
      </c>
      <c r="T4323" s="13">
        <v>903</v>
      </c>
      <c r="U4323" s="13">
        <v>0</v>
      </c>
      <c r="V4323" s="13">
        <v>0</v>
      </c>
      <c r="W4323" s="37">
        <v>1071</v>
      </c>
      <c r="X4323" s="19"/>
      <c r="AG4323" s="16"/>
    </row>
    <row r="4324" spans="2:33" ht="15" thickBot="1">
      <c r="B4324" s="20"/>
      <c r="C4324" s="15"/>
      <c r="D4324" s="15"/>
      <c r="E4324" s="15"/>
      <c r="F4324" s="15"/>
      <c r="G4324" s="15"/>
      <c r="H4324" s="15"/>
      <c r="I4324" s="15"/>
      <c r="J4324" s="15"/>
      <c r="K4324" s="15"/>
      <c r="L4324" s="15"/>
      <c r="M4324" s="15"/>
      <c r="N4324" s="15"/>
      <c r="O4324" s="15"/>
      <c r="P4324" s="17"/>
      <c r="Q4324" s="36" t="s">
        <v>46</v>
      </c>
      <c r="R4324" s="13">
        <v>0</v>
      </c>
      <c r="S4324" s="13">
        <v>1539</v>
      </c>
      <c r="T4324" s="13">
        <v>845</v>
      </c>
      <c r="U4324" s="13">
        <v>0</v>
      </c>
      <c r="V4324" s="13">
        <v>0</v>
      </c>
      <c r="W4324" s="37">
        <v>1177</v>
      </c>
      <c r="X4324" s="20"/>
      <c r="Y4324" s="15"/>
      <c r="Z4324" s="15"/>
      <c r="AA4324" s="15"/>
      <c r="AB4324" s="15"/>
      <c r="AC4324" s="15"/>
      <c r="AD4324" s="15"/>
      <c r="AE4324" s="15"/>
      <c r="AF4324" s="15"/>
      <c r="AG4324" s="17"/>
    </row>
    <row r="4326" spans="2:33" ht="29.5" thickBot="1">
      <c r="B4326" s="25" t="s">
        <v>2049</v>
      </c>
      <c r="C4326" s="26" t="s">
        <v>1809</v>
      </c>
      <c r="D4326" s="26" t="s">
        <v>2105</v>
      </c>
      <c r="E4326" s="26" t="s">
        <v>2106</v>
      </c>
      <c r="F4326" s="26" t="s">
        <v>2107</v>
      </c>
      <c r="G4326" s="26" t="s">
        <v>835</v>
      </c>
      <c r="H4326" s="27" t="s">
        <v>835</v>
      </c>
      <c r="I4326" s="26" t="s">
        <v>2108</v>
      </c>
      <c r="J4326" s="27" t="s">
        <v>87</v>
      </c>
      <c r="K4326" s="29">
        <v>27.711999893188501</v>
      </c>
      <c r="L4326" s="29">
        <v>27.711999893188501</v>
      </c>
      <c r="M4326" s="29">
        <v>27.711999893188501</v>
      </c>
      <c r="N4326" s="29">
        <v>27.711999893188501</v>
      </c>
      <c r="O4326" s="29">
        <v>27.711999893188501</v>
      </c>
      <c r="P4326" s="40">
        <v>27.711999893188501</v>
      </c>
      <c r="Q4326" s="1" t="s">
        <v>35</v>
      </c>
      <c r="R4326" s="2">
        <v>0</v>
      </c>
      <c r="S4326" s="2">
        <v>4151</v>
      </c>
      <c r="T4326" s="2">
        <v>0</v>
      </c>
      <c r="U4326" s="2">
        <v>2037</v>
      </c>
      <c r="V4326" s="2">
        <v>0</v>
      </c>
      <c r="W4326" s="2">
        <v>2115</v>
      </c>
      <c r="X4326" s="43">
        <f>SUM(R4326:W4337)</f>
        <v>117530</v>
      </c>
      <c r="Y4326" s="10">
        <v>46204</v>
      </c>
      <c r="Z4326" s="13">
        <v>0.21822774234314721</v>
      </c>
      <c r="AA4326" s="13">
        <v>0.19176892037163287</v>
      </c>
      <c r="AB4326" s="13">
        <v>0.16994687607165501</v>
      </c>
      <c r="AC4326" s="13">
        <v>0.13533276805163061</v>
      </c>
      <c r="AD4326" s="13">
        <v>0.11849120346270935</v>
      </c>
      <c r="AE4326" s="13">
        <v>0.13112980089791482</v>
      </c>
      <c r="AF4326" s="11">
        <v>0.2</v>
      </c>
      <c r="AG4326" s="11">
        <v>1.2709999999999999</v>
      </c>
    </row>
    <row r="4327" spans="2:33">
      <c r="B4327" s="18"/>
      <c r="C4327" s="14"/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35"/>
      <c r="Q4327" s="36" t="s">
        <v>36</v>
      </c>
      <c r="R4327" s="13">
        <v>0</v>
      </c>
      <c r="S4327" s="13">
        <v>3820</v>
      </c>
      <c r="T4327" s="13">
        <v>0</v>
      </c>
      <c r="U4327" s="13">
        <v>1836</v>
      </c>
      <c r="V4327" s="13">
        <v>0</v>
      </c>
      <c r="W4327" s="37">
        <v>1687</v>
      </c>
      <c r="X4327" s="18"/>
      <c r="Y4327" s="14"/>
      <c r="Z4327" s="83"/>
      <c r="AA4327" s="83"/>
      <c r="AB4327" s="83"/>
      <c r="AC4327" s="83"/>
      <c r="AD4327" s="83"/>
      <c r="AE4327" s="83"/>
      <c r="AF4327" s="14"/>
      <c r="AG4327" s="35"/>
    </row>
    <row r="4328" spans="2:33">
      <c r="B4328" s="19"/>
      <c r="P4328" s="16"/>
      <c r="Q4328" s="36" t="s">
        <v>37</v>
      </c>
      <c r="R4328" s="13">
        <v>0</v>
      </c>
      <c r="S4328" s="13">
        <v>3921</v>
      </c>
      <c r="T4328" s="13">
        <v>0</v>
      </c>
      <c r="U4328" s="13">
        <v>1926</v>
      </c>
      <c r="V4328" s="13">
        <v>0</v>
      </c>
      <c r="W4328" s="37">
        <v>2353</v>
      </c>
      <c r="X4328" s="19"/>
      <c r="AG4328" s="16"/>
    </row>
    <row r="4329" spans="2:33">
      <c r="B4329" s="19"/>
      <c r="P4329" s="16"/>
      <c r="Q4329" s="36" t="s">
        <v>38</v>
      </c>
      <c r="R4329" s="13">
        <v>0</v>
      </c>
      <c r="S4329" s="13">
        <v>0</v>
      </c>
      <c r="T4329" s="13">
        <v>0</v>
      </c>
      <c r="U4329" s="13">
        <v>4282</v>
      </c>
      <c r="V4329" s="13">
        <v>2092</v>
      </c>
      <c r="W4329" s="37">
        <v>1637</v>
      </c>
      <c r="X4329" s="19"/>
      <c r="AG4329" s="16"/>
    </row>
    <row r="4330" spans="2:33">
      <c r="B4330" s="19"/>
      <c r="P4330" s="16"/>
      <c r="Q4330" s="36" t="s">
        <v>39</v>
      </c>
      <c r="R4330" s="13">
        <v>0</v>
      </c>
      <c r="S4330" s="13">
        <v>0</v>
      </c>
      <c r="T4330" s="13">
        <v>0</v>
      </c>
      <c r="U4330" s="13">
        <v>3608</v>
      </c>
      <c r="V4330" s="13">
        <v>1770</v>
      </c>
      <c r="W4330" s="37">
        <v>2062</v>
      </c>
      <c r="X4330" s="19"/>
      <c r="AG4330" s="16"/>
    </row>
    <row r="4331" spans="2:33">
      <c r="B4331" s="19"/>
      <c r="P4331" s="16"/>
      <c r="Q4331" s="36" t="s">
        <v>40</v>
      </c>
      <c r="R4331" s="13">
        <v>0</v>
      </c>
      <c r="S4331" s="13">
        <v>0</v>
      </c>
      <c r="T4331" s="13">
        <v>0</v>
      </c>
      <c r="U4331" s="13">
        <v>3773</v>
      </c>
      <c r="V4331" s="13">
        <v>1798</v>
      </c>
      <c r="W4331" s="37">
        <v>1722</v>
      </c>
      <c r="X4331" s="19"/>
      <c r="AG4331" s="16"/>
    </row>
    <row r="4332" spans="2:33">
      <c r="B4332" s="19"/>
      <c r="P4332" s="16"/>
      <c r="Q4332" s="36" t="s">
        <v>41</v>
      </c>
      <c r="R4332" s="13">
        <v>5976</v>
      </c>
      <c r="S4332" s="13">
        <v>0</v>
      </c>
      <c r="T4332" s="13">
        <v>3091</v>
      </c>
      <c r="U4332" s="13">
        <v>0</v>
      </c>
      <c r="V4332" s="13">
        <v>0</v>
      </c>
      <c r="W4332" s="37">
        <v>2548</v>
      </c>
      <c r="X4332" s="19"/>
      <c r="AG4332" s="16"/>
    </row>
    <row r="4333" spans="2:33">
      <c r="B4333" s="19"/>
      <c r="P4333" s="16"/>
      <c r="Q4333" s="36" t="s">
        <v>42</v>
      </c>
      <c r="R4333" s="13">
        <v>5731</v>
      </c>
      <c r="S4333" s="13">
        <v>0</v>
      </c>
      <c r="T4333" s="13">
        <v>2919</v>
      </c>
      <c r="U4333" s="13">
        <v>0</v>
      </c>
      <c r="V4333" s="13">
        <v>0</v>
      </c>
      <c r="W4333" s="37">
        <v>2986</v>
      </c>
      <c r="X4333" s="19"/>
      <c r="AG4333" s="16"/>
    </row>
    <row r="4334" spans="2:33">
      <c r="B4334" s="19"/>
      <c r="P4334" s="16"/>
      <c r="Q4334" s="36" t="s">
        <v>43</v>
      </c>
      <c r="R4334" s="13">
        <v>6516</v>
      </c>
      <c r="S4334" s="13">
        <v>0</v>
      </c>
      <c r="T4334" s="13">
        <v>3558</v>
      </c>
      <c r="U4334" s="13">
        <v>0</v>
      </c>
      <c r="V4334" s="13">
        <v>0</v>
      </c>
      <c r="W4334" s="37">
        <v>3145</v>
      </c>
      <c r="X4334" s="19"/>
      <c r="AG4334" s="16"/>
    </row>
    <row r="4335" spans="2:33">
      <c r="B4335" s="19"/>
      <c r="P4335" s="16"/>
      <c r="Q4335" s="36" t="s">
        <v>44</v>
      </c>
      <c r="R4335" s="13">
        <v>6484</v>
      </c>
      <c r="S4335" s="13">
        <v>0</v>
      </c>
      <c r="T4335" s="13">
        <v>3305</v>
      </c>
      <c r="U4335" s="13">
        <v>0</v>
      </c>
      <c r="V4335" s="13">
        <v>0</v>
      </c>
      <c r="W4335" s="37">
        <v>3042</v>
      </c>
      <c r="X4335" s="19"/>
      <c r="AG4335" s="16"/>
    </row>
    <row r="4336" spans="2:33">
      <c r="B4336" s="19"/>
      <c r="P4336" s="16"/>
      <c r="Q4336" s="36" t="s">
        <v>45</v>
      </c>
      <c r="R4336" s="13">
        <v>0</v>
      </c>
      <c r="S4336" s="13">
        <v>5613</v>
      </c>
      <c r="T4336" s="13">
        <v>2671</v>
      </c>
      <c r="U4336" s="13">
        <v>0</v>
      </c>
      <c r="V4336" s="13">
        <v>0</v>
      </c>
      <c r="W4336" s="37">
        <v>3093</v>
      </c>
      <c r="X4336" s="19"/>
      <c r="AG4336" s="16"/>
    </row>
    <row r="4337" spans="2:33" ht="15" thickBot="1">
      <c r="B4337" s="20"/>
      <c r="C4337" s="15"/>
      <c r="D4337" s="15"/>
      <c r="E4337" s="15"/>
      <c r="F4337" s="15"/>
      <c r="G4337" s="15"/>
      <c r="H4337" s="15"/>
      <c r="I4337" s="15"/>
      <c r="J4337" s="15"/>
      <c r="K4337" s="15"/>
      <c r="L4337" s="15"/>
      <c r="M4337" s="15"/>
      <c r="N4337" s="15"/>
      <c r="O4337" s="15"/>
      <c r="P4337" s="17"/>
      <c r="Q4337" s="36" t="s">
        <v>46</v>
      </c>
      <c r="R4337" s="13">
        <v>0</v>
      </c>
      <c r="S4337" s="13">
        <v>4687</v>
      </c>
      <c r="T4337" s="13">
        <v>2275</v>
      </c>
      <c r="U4337" s="13">
        <v>0</v>
      </c>
      <c r="V4337" s="13">
        <v>0</v>
      </c>
      <c r="W4337" s="37">
        <v>3300</v>
      </c>
      <c r="X4337" s="20"/>
      <c r="Y4337" s="15"/>
      <c r="Z4337" s="15"/>
      <c r="AA4337" s="15"/>
      <c r="AB4337" s="15"/>
      <c r="AC4337" s="15"/>
      <c r="AD4337" s="15"/>
      <c r="AE4337" s="15"/>
      <c r="AF4337" s="15"/>
      <c r="AG4337" s="17"/>
    </row>
    <row r="4339" spans="2:33" ht="15" thickBot="1">
      <c r="B4339" s="25" t="s">
        <v>2049</v>
      </c>
      <c r="C4339" s="26" t="s">
        <v>1809</v>
      </c>
      <c r="D4339" s="26" t="s">
        <v>2109</v>
      </c>
      <c r="E4339" s="26" t="s">
        <v>2110</v>
      </c>
      <c r="F4339" s="26" t="s">
        <v>2111</v>
      </c>
      <c r="G4339" s="26" t="s">
        <v>821</v>
      </c>
      <c r="H4339" s="27" t="s">
        <v>821</v>
      </c>
      <c r="I4339" s="26" t="s">
        <v>2112</v>
      </c>
      <c r="J4339" s="27" t="s">
        <v>87</v>
      </c>
      <c r="K4339" s="29">
        <v>50</v>
      </c>
      <c r="L4339" s="29">
        <v>50</v>
      </c>
      <c r="M4339" s="29">
        <v>50</v>
      </c>
      <c r="N4339" s="29">
        <v>50</v>
      </c>
      <c r="O4339" s="29">
        <v>50</v>
      </c>
      <c r="P4339" s="40">
        <v>80</v>
      </c>
      <c r="Q4339" s="1" t="s">
        <v>35</v>
      </c>
      <c r="R4339" s="2">
        <v>0</v>
      </c>
      <c r="S4339" s="2">
        <v>7835</v>
      </c>
      <c r="T4339" s="2">
        <v>0</v>
      </c>
      <c r="U4339" s="2">
        <v>3578</v>
      </c>
      <c r="V4339" s="2">
        <v>0</v>
      </c>
      <c r="W4339" s="2">
        <v>4051</v>
      </c>
      <c r="X4339" s="43">
        <f>SUM(R4339:W4350)</f>
        <v>183855</v>
      </c>
      <c r="Y4339" s="10">
        <v>46204</v>
      </c>
      <c r="Z4339" s="13">
        <v>0.21822774234314721</v>
      </c>
      <c r="AA4339" s="13">
        <v>0.19176892037163287</v>
      </c>
      <c r="AB4339" s="13">
        <v>0.16994687607165501</v>
      </c>
      <c r="AC4339" s="13">
        <v>0.13533276805163061</v>
      </c>
      <c r="AD4339" s="13">
        <v>0.11849120346270935</v>
      </c>
      <c r="AE4339" s="13">
        <v>0.13112980089791482</v>
      </c>
      <c r="AF4339" s="11">
        <v>0.2</v>
      </c>
      <c r="AG4339" s="11">
        <v>1.2709999999999999</v>
      </c>
    </row>
    <row r="4340" spans="2:33">
      <c r="B4340" s="18"/>
      <c r="C4340" s="14"/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4"/>
      <c r="P4340" s="35"/>
      <c r="Q4340" s="36" t="s">
        <v>36</v>
      </c>
      <c r="R4340" s="13">
        <v>0</v>
      </c>
      <c r="S4340" s="13">
        <v>7542</v>
      </c>
      <c r="T4340" s="13">
        <v>0</v>
      </c>
      <c r="U4340" s="13">
        <v>3432</v>
      </c>
      <c r="V4340" s="13">
        <v>0</v>
      </c>
      <c r="W4340" s="37">
        <v>3396</v>
      </c>
      <c r="X4340" s="18"/>
      <c r="Y4340" s="14"/>
      <c r="Z4340" s="83"/>
      <c r="AA4340" s="83"/>
      <c r="AB4340" s="83"/>
      <c r="AC4340" s="83"/>
      <c r="AD4340" s="83"/>
      <c r="AE4340" s="83"/>
      <c r="AF4340" s="14"/>
      <c r="AG4340" s="35"/>
    </row>
    <row r="4341" spans="2:33">
      <c r="B4341" s="19"/>
      <c r="P4341" s="16"/>
      <c r="Q4341" s="36" t="s">
        <v>37</v>
      </c>
      <c r="R4341" s="13">
        <v>0</v>
      </c>
      <c r="S4341" s="13">
        <v>7648</v>
      </c>
      <c r="T4341" s="13">
        <v>0</v>
      </c>
      <c r="U4341" s="13">
        <v>3437</v>
      </c>
      <c r="V4341" s="13">
        <v>0</v>
      </c>
      <c r="W4341" s="37">
        <v>4067</v>
      </c>
      <c r="X4341" s="19"/>
      <c r="AG4341" s="16"/>
    </row>
    <row r="4342" spans="2:33">
      <c r="B4342" s="19"/>
      <c r="P4342" s="16"/>
      <c r="Q4342" s="36" t="s">
        <v>38</v>
      </c>
      <c r="R4342" s="13">
        <v>0</v>
      </c>
      <c r="S4342" s="13">
        <v>0</v>
      </c>
      <c r="T4342" s="13">
        <v>0</v>
      </c>
      <c r="U4342" s="13">
        <v>7964</v>
      </c>
      <c r="V4342" s="13">
        <v>3593</v>
      </c>
      <c r="W4342" s="37">
        <v>3446</v>
      </c>
      <c r="X4342" s="19"/>
      <c r="AG4342" s="16"/>
    </row>
    <row r="4343" spans="2:33">
      <c r="B4343" s="19"/>
      <c r="P4343" s="16"/>
      <c r="Q4343" s="36" t="s">
        <v>39</v>
      </c>
      <c r="R4343" s="13">
        <v>0</v>
      </c>
      <c r="S4343" s="13">
        <v>0</v>
      </c>
      <c r="T4343" s="13">
        <v>0</v>
      </c>
      <c r="U4343" s="13">
        <v>7462</v>
      </c>
      <c r="V4343" s="13">
        <v>3417</v>
      </c>
      <c r="W4343" s="37">
        <v>4043</v>
      </c>
      <c r="X4343" s="19"/>
      <c r="AG4343" s="16"/>
    </row>
    <row r="4344" spans="2:33">
      <c r="B4344" s="19"/>
      <c r="P4344" s="16"/>
      <c r="Q4344" s="36" t="s">
        <v>40</v>
      </c>
      <c r="R4344" s="13">
        <v>0</v>
      </c>
      <c r="S4344" s="13">
        <v>0</v>
      </c>
      <c r="T4344" s="13">
        <v>0</v>
      </c>
      <c r="U4344" s="13">
        <v>7412</v>
      </c>
      <c r="V4344" s="13">
        <v>3418</v>
      </c>
      <c r="W4344" s="37">
        <v>3545</v>
      </c>
      <c r="X4344" s="19"/>
      <c r="AG4344" s="16"/>
    </row>
    <row r="4345" spans="2:33">
      <c r="B4345" s="19"/>
      <c r="P4345" s="16"/>
      <c r="Q4345" s="36" t="s">
        <v>41</v>
      </c>
      <c r="R4345" s="13">
        <v>8428</v>
      </c>
      <c r="S4345" s="13">
        <v>0</v>
      </c>
      <c r="T4345" s="13">
        <v>3851</v>
      </c>
      <c r="U4345" s="13">
        <v>0</v>
      </c>
      <c r="V4345" s="13">
        <v>0</v>
      </c>
      <c r="W4345" s="37">
        <v>3516</v>
      </c>
      <c r="X4345" s="19"/>
      <c r="AG4345" s="16"/>
    </row>
    <row r="4346" spans="2:33">
      <c r="B4346" s="19"/>
      <c r="P4346" s="16"/>
      <c r="Q4346" s="36" t="s">
        <v>42</v>
      </c>
      <c r="R4346" s="13">
        <v>7426</v>
      </c>
      <c r="S4346" s="13">
        <v>0</v>
      </c>
      <c r="T4346" s="13">
        <v>3357</v>
      </c>
      <c r="U4346" s="13">
        <v>0</v>
      </c>
      <c r="V4346" s="13">
        <v>0</v>
      </c>
      <c r="W4346" s="37">
        <v>4262</v>
      </c>
      <c r="X4346" s="19"/>
      <c r="AG4346" s="16"/>
    </row>
    <row r="4347" spans="2:33">
      <c r="B4347" s="19"/>
      <c r="P4347" s="16"/>
      <c r="Q4347" s="36" t="s">
        <v>43</v>
      </c>
      <c r="R4347" s="13">
        <v>8012</v>
      </c>
      <c r="S4347" s="13">
        <v>0</v>
      </c>
      <c r="T4347" s="13">
        <v>4009</v>
      </c>
      <c r="U4347" s="13">
        <v>0</v>
      </c>
      <c r="V4347" s="13">
        <v>0</v>
      </c>
      <c r="W4347" s="37">
        <v>3606</v>
      </c>
      <c r="X4347" s="19"/>
      <c r="AG4347" s="16"/>
    </row>
    <row r="4348" spans="2:33">
      <c r="B4348" s="19"/>
      <c r="P4348" s="16"/>
      <c r="Q4348" s="36" t="s">
        <v>44</v>
      </c>
      <c r="R4348" s="13">
        <v>8309</v>
      </c>
      <c r="S4348" s="13">
        <v>0</v>
      </c>
      <c r="T4348" s="13">
        <v>4218</v>
      </c>
      <c r="U4348" s="13">
        <v>0</v>
      </c>
      <c r="V4348" s="13">
        <v>0</v>
      </c>
      <c r="W4348" s="37">
        <v>3723</v>
      </c>
      <c r="X4348" s="19"/>
      <c r="AG4348" s="16"/>
    </row>
    <row r="4349" spans="2:33">
      <c r="B4349" s="19"/>
      <c r="P4349" s="16"/>
      <c r="Q4349" s="36" t="s">
        <v>45</v>
      </c>
      <c r="R4349" s="13">
        <v>0</v>
      </c>
      <c r="S4349" s="13">
        <v>7193</v>
      </c>
      <c r="T4349" s="13">
        <v>3651</v>
      </c>
      <c r="U4349" s="13">
        <v>0</v>
      </c>
      <c r="V4349" s="13">
        <v>0</v>
      </c>
      <c r="W4349" s="37">
        <v>4697</v>
      </c>
      <c r="X4349" s="19"/>
      <c r="AG4349" s="16"/>
    </row>
    <row r="4350" spans="2:33" ht="15" thickBot="1">
      <c r="B4350" s="20"/>
      <c r="C4350" s="15"/>
      <c r="D4350" s="15"/>
      <c r="E4350" s="15"/>
      <c r="F4350" s="15"/>
      <c r="G4350" s="15"/>
      <c r="H4350" s="15"/>
      <c r="I4350" s="15"/>
      <c r="J4350" s="15"/>
      <c r="K4350" s="15"/>
      <c r="L4350" s="15"/>
      <c r="M4350" s="15"/>
      <c r="N4350" s="15"/>
      <c r="O4350" s="15"/>
      <c r="P4350" s="17"/>
      <c r="Q4350" s="36" t="s">
        <v>46</v>
      </c>
      <c r="R4350" s="13">
        <v>0</v>
      </c>
      <c r="S4350" s="13">
        <v>7124</v>
      </c>
      <c r="T4350" s="13">
        <v>3701</v>
      </c>
      <c r="U4350" s="13">
        <v>0</v>
      </c>
      <c r="V4350" s="13">
        <v>0</v>
      </c>
      <c r="W4350" s="37">
        <v>5486</v>
      </c>
      <c r="X4350" s="20"/>
      <c r="Y4350" s="15"/>
      <c r="Z4350" s="15"/>
      <c r="AA4350" s="15"/>
      <c r="AB4350" s="15"/>
      <c r="AC4350" s="15"/>
      <c r="AD4350" s="15"/>
      <c r="AE4350" s="15"/>
      <c r="AF4350" s="15"/>
      <c r="AG4350" s="17"/>
    </row>
    <row r="4352" spans="2:33" ht="15" thickBot="1">
      <c r="B4352" s="25" t="s">
        <v>2049</v>
      </c>
      <c r="C4352" s="26" t="s">
        <v>1809</v>
      </c>
      <c r="D4352" s="26" t="s">
        <v>2113</v>
      </c>
      <c r="E4352" s="26" t="s">
        <v>2114</v>
      </c>
      <c r="F4352" s="26" t="s">
        <v>2115</v>
      </c>
      <c r="G4352" s="26" t="s">
        <v>2116</v>
      </c>
      <c r="H4352" s="27" t="s">
        <v>693</v>
      </c>
      <c r="I4352" s="26" t="s">
        <v>2117</v>
      </c>
      <c r="J4352" s="27" t="s">
        <v>87</v>
      </c>
      <c r="K4352" s="29">
        <v>20</v>
      </c>
      <c r="L4352" s="29">
        <v>20</v>
      </c>
      <c r="M4352" s="29">
        <v>20</v>
      </c>
      <c r="N4352" s="29">
        <v>20</v>
      </c>
      <c r="O4352" s="29">
        <v>20</v>
      </c>
      <c r="P4352" s="40">
        <v>20</v>
      </c>
      <c r="Q4352" s="1" t="s">
        <v>2118</v>
      </c>
      <c r="R4352" s="2">
        <v>0</v>
      </c>
      <c r="S4352" s="2">
        <v>2674</v>
      </c>
      <c r="T4352" s="2">
        <v>585</v>
      </c>
      <c r="U4352" s="2">
        <v>578</v>
      </c>
      <c r="V4352" s="2">
        <v>0</v>
      </c>
      <c r="W4352" s="2">
        <v>1815</v>
      </c>
      <c r="X4352" s="43">
        <f>SUM(R4352:W4363)</f>
        <v>65773</v>
      </c>
      <c r="Y4352" s="10">
        <v>46204</v>
      </c>
      <c r="Z4352" s="13">
        <v>0.21822774234314721</v>
      </c>
      <c r="AA4352" s="13">
        <v>0.19176892037163287</v>
      </c>
      <c r="AB4352" s="13">
        <v>0.16994687607165501</v>
      </c>
      <c r="AC4352" s="13">
        <v>0.13533276805163061</v>
      </c>
      <c r="AD4352" s="13">
        <v>0.11849120346270935</v>
      </c>
      <c r="AE4352" s="13">
        <v>0.13112980089791482</v>
      </c>
      <c r="AF4352" s="11">
        <v>0.2</v>
      </c>
      <c r="AG4352" s="11">
        <v>1.2709999999999999</v>
      </c>
    </row>
    <row r="4353" spans="2:33">
      <c r="B4353" s="18"/>
      <c r="C4353" s="14"/>
      <c r="D4353" s="14"/>
      <c r="E4353" s="14"/>
      <c r="F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35"/>
      <c r="Q4353" s="36" t="s">
        <v>2119</v>
      </c>
      <c r="R4353" s="13">
        <v>0</v>
      </c>
      <c r="S4353" s="13">
        <v>2854</v>
      </c>
      <c r="T4353" s="13">
        <v>0</v>
      </c>
      <c r="U4353" s="13">
        <v>1160</v>
      </c>
      <c r="V4353" s="13">
        <v>0</v>
      </c>
      <c r="W4353" s="37">
        <v>1402</v>
      </c>
      <c r="X4353" s="18"/>
      <c r="Y4353" s="14"/>
      <c r="Z4353" s="83"/>
      <c r="AA4353" s="83"/>
      <c r="AB4353" s="83"/>
      <c r="AC4353" s="83"/>
      <c r="AD4353" s="83"/>
      <c r="AE4353" s="83"/>
      <c r="AF4353" s="14"/>
      <c r="AG4353" s="35"/>
    </row>
    <row r="4354" spans="2:33">
      <c r="B4354" s="19"/>
      <c r="P4354" s="16"/>
      <c r="Q4354" s="36" t="s">
        <v>2120</v>
      </c>
      <c r="R4354" s="13">
        <v>0</v>
      </c>
      <c r="S4354" s="13">
        <v>2602</v>
      </c>
      <c r="T4354" s="13">
        <v>0</v>
      </c>
      <c r="U4354" s="13">
        <v>1088</v>
      </c>
      <c r="V4354" s="13">
        <v>0</v>
      </c>
      <c r="W4354" s="37">
        <v>1182</v>
      </c>
      <c r="X4354" s="19"/>
      <c r="AG4354" s="16"/>
    </row>
    <row r="4355" spans="2:33">
      <c r="B4355" s="19"/>
      <c r="P4355" s="16"/>
      <c r="Q4355" s="36" t="s">
        <v>2121</v>
      </c>
      <c r="R4355" s="13">
        <v>0</v>
      </c>
      <c r="S4355" s="13">
        <v>1550</v>
      </c>
      <c r="T4355" s="13">
        <v>0</v>
      </c>
      <c r="U4355" s="13">
        <v>2024</v>
      </c>
      <c r="V4355" s="13">
        <v>589</v>
      </c>
      <c r="W4355" s="37">
        <v>1184</v>
      </c>
      <c r="X4355" s="19"/>
      <c r="AG4355" s="16"/>
    </row>
    <row r="4356" spans="2:33">
      <c r="B4356" s="19"/>
      <c r="P4356" s="16"/>
      <c r="Q4356" s="36" t="s">
        <v>2122</v>
      </c>
      <c r="R4356" s="13">
        <v>0</v>
      </c>
      <c r="S4356" s="13">
        <v>0</v>
      </c>
      <c r="T4356" s="13">
        <v>0</v>
      </c>
      <c r="U4356" s="13">
        <v>2929</v>
      </c>
      <c r="V4356" s="13">
        <v>1272</v>
      </c>
      <c r="W4356" s="37">
        <v>1554</v>
      </c>
      <c r="X4356" s="19"/>
      <c r="AG4356" s="16"/>
    </row>
    <row r="4357" spans="2:33">
      <c r="B4357" s="19"/>
      <c r="P4357" s="16"/>
      <c r="Q4357" s="36" t="s">
        <v>2123</v>
      </c>
      <c r="R4357" s="13">
        <v>0</v>
      </c>
      <c r="S4357" s="13">
        <v>0</v>
      </c>
      <c r="T4357" s="13">
        <v>0</v>
      </c>
      <c r="U4357" s="13">
        <v>2788</v>
      </c>
      <c r="V4357" s="13">
        <v>1173</v>
      </c>
      <c r="W4357" s="37">
        <v>1216</v>
      </c>
      <c r="X4357" s="19"/>
      <c r="AG4357" s="16"/>
    </row>
    <row r="4358" spans="2:33">
      <c r="B4358" s="19"/>
      <c r="P4358" s="16"/>
      <c r="Q4358" s="36" t="s">
        <v>265</v>
      </c>
      <c r="R4358" s="13">
        <v>1462</v>
      </c>
      <c r="S4358" s="13">
        <v>0</v>
      </c>
      <c r="T4358" s="13">
        <v>621</v>
      </c>
      <c r="U4358" s="13">
        <v>1400</v>
      </c>
      <c r="V4358" s="13">
        <v>577</v>
      </c>
      <c r="W4358" s="37">
        <v>1208</v>
      </c>
      <c r="X4358" s="19"/>
      <c r="AG4358" s="16"/>
    </row>
    <row r="4359" spans="2:33">
      <c r="B4359" s="19"/>
      <c r="P4359" s="16"/>
      <c r="Q4359" s="36" t="s">
        <v>266</v>
      </c>
      <c r="R4359" s="13">
        <v>3147</v>
      </c>
      <c r="S4359" s="13">
        <v>0</v>
      </c>
      <c r="T4359" s="13">
        <v>1305</v>
      </c>
      <c r="U4359" s="13">
        <v>0</v>
      </c>
      <c r="V4359" s="13">
        <v>0</v>
      </c>
      <c r="W4359" s="37">
        <v>1548</v>
      </c>
      <c r="X4359" s="19"/>
      <c r="AG4359" s="16"/>
    </row>
    <row r="4360" spans="2:33">
      <c r="B4360" s="19"/>
      <c r="P4360" s="16"/>
      <c r="Q4360" s="36" t="s">
        <v>2124</v>
      </c>
      <c r="R4360" s="13">
        <v>2639</v>
      </c>
      <c r="S4360" s="13">
        <v>0</v>
      </c>
      <c r="T4360" s="13">
        <v>1078</v>
      </c>
      <c r="U4360" s="13">
        <v>0</v>
      </c>
      <c r="V4360" s="13">
        <v>0</v>
      </c>
      <c r="W4360" s="37">
        <v>996</v>
      </c>
      <c r="X4360" s="19"/>
      <c r="AG4360" s="16"/>
    </row>
    <row r="4361" spans="2:33">
      <c r="B4361" s="19"/>
      <c r="P4361" s="16"/>
      <c r="Q4361" s="36" t="s">
        <v>2125</v>
      </c>
      <c r="R4361" s="13">
        <v>3254</v>
      </c>
      <c r="S4361" s="13">
        <v>0</v>
      </c>
      <c r="T4361" s="13">
        <v>1373</v>
      </c>
      <c r="U4361" s="13">
        <v>0</v>
      </c>
      <c r="V4361" s="13">
        <v>0</v>
      </c>
      <c r="W4361" s="37">
        <v>1564</v>
      </c>
      <c r="X4361" s="19"/>
      <c r="AG4361" s="16"/>
    </row>
    <row r="4362" spans="2:33">
      <c r="B4362" s="19"/>
      <c r="P4362" s="16"/>
      <c r="Q4362" s="36" t="s">
        <v>2126</v>
      </c>
      <c r="R4362" s="13">
        <v>1598</v>
      </c>
      <c r="S4362" s="13">
        <v>1542</v>
      </c>
      <c r="T4362" s="13">
        <v>1358</v>
      </c>
      <c r="U4362" s="13">
        <v>0</v>
      </c>
      <c r="V4362" s="13">
        <v>0</v>
      </c>
      <c r="W4362" s="37">
        <v>1526</v>
      </c>
      <c r="X4362" s="19"/>
      <c r="AG4362" s="16"/>
    </row>
    <row r="4363" spans="2:33" ht="15" thickBot="1">
      <c r="B4363" s="20"/>
      <c r="C4363" s="15"/>
      <c r="D4363" s="15"/>
      <c r="E4363" s="15"/>
      <c r="F4363" s="15"/>
      <c r="G4363" s="15"/>
      <c r="H4363" s="15"/>
      <c r="I4363" s="15"/>
      <c r="J4363" s="15"/>
      <c r="K4363" s="15"/>
      <c r="L4363" s="15"/>
      <c r="M4363" s="15"/>
      <c r="N4363" s="15"/>
      <c r="O4363" s="15"/>
      <c r="P4363" s="17"/>
      <c r="Q4363" s="36" t="s">
        <v>94</v>
      </c>
      <c r="R4363" s="13">
        <v>0</v>
      </c>
      <c r="S4363" s="13">
        <v>2499</v>
      </c>
      <c r="T4363" s="13">
        <v>1070</v>
      </c>
      <c r="U4363" s="13">
        <v>0</v>
      </c>
      <c r="V4363" s="13">
        <v>0</v>
      </c>
      <c r="W4363" s="37">
        <v>1789</v>
      </c>
      <c r="X4363" s="20"/>
      <c r="Y4363" s="15"/>
      <c r="Z4363" s="15"/>
      <c r="AA4363" s="15"/>
      <c r="AB4363" s="15"/>
      <c r="AC4363" s="15"/>
      <c r="AD4363" s="15"/>
      <c r="AE4363" s="15"/>
      <c r="AF4363" s="15"/>
      <c r="AG4363" s="17"/>
    </row>
    <row r="4365" spans="2:33" ht="15" thickBot="1">
      <c r="B4365" s="25" t="s">
        <v>2049</v>
      </c>
      <c r="C4365" s="26" t="s">
        <v>1809</v>
      </c>
      <c r="D4365" s="26" t="s">
        <v>2127</v>
      </c>
      <c r="E4365" s="26" t="s">
        <v>2128</v>
      </c>
      <c r="F4365" s="26" t="s">
        <v>2129</v>
      </c>
      <c r="G4365" s="26" t="s">
        <v>2130</v>
      </c>
      <c r="H4365" s="27" t="s">
        <v>821</v>
      </c>
      <c r="I4365" s="26" t="s">
        <v>2131</v>
      </c>
      <c r="J4365" s="27" t="s">
        <v>87</v>
      </c>
      <c r="K4365" s="29">
        <v>60</v>
      </c>
      <c r="L4365" s="29">
        <v>60</v>
      </c>
      <c r="M4365" s="29">
        <v>60</v>
      </c>
      <c r="N4365" s="29">
        <v>60</v>
      </c>
      <c r="O4365" s="29">
        <v>60</v>
      </c>
      <c r="P4365" s="40">
        <v>60</v>
      </c>
      <c r="Q4365" s="1" t="s">
        <v>35</v>
      </c>
      <c r="R4365" s="2">
        <v>0</v>
      </c>
      <c r="S4365" s="2">
        <v>2535</v>
      </c>
      <c r="T4365" s="2">
        <v>0</v>
      </c>
      <c r="U4365" s="2">
        <v>1416</v>
      </c>
      <c r="V4365" s="2">
        <v>0</v>
      </c>
      <c r="W4365" s="2">
        <v>1604</v>
      </c>
      <c r="X4365" s="43">
        <f>SUM(R4365:W4376)</f>
        <v>125984</v>
      </c>
      <c r="Y4365" s="10">
        <v>46204</v>
      </c>
      <c r="Z4365" s="13">
        <v>0.21822774234314721</v>
      </c>
      <c r="AA4365" s="13">
        <v>0.19176892037163287</v>
      </c>
      <c r="AB4365" s="13">
        <v>0.16994687607165501</v>
      </c>
      <c r="AC4365" s="13">
        <v>0.13533276805163061</v>
      </c>
      <c r="AD4365" s="13">
        <v>0.11849120346270935</v>
      </c>
      <c r="AE4365" s="13">
        <v>0.13112980089791482</v>
      </c>
      <c r="AF4365" s="11">
        <v>0.2</v>
      </c>
      <c r="AG4365" s="11">
        <v>1.2709999999999999</v>
      </c>
    </row>
    <row r="4366" spans="2:33">
      <c r="B4366" s="18"/>
      <c r="C4366" s="14"/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4"/>
      <c r="P4366" s="35"/>
      <c r="Q4366" s="36" t="s">
        <v>36</v>
      </c>
      <c r="R4366" s="13">
        <v>0</v>
      </c>
      <c r="S4366" s="13">
        <v>2299</v>
      </c>
      <c r="T4366" s="13">
        <v>0</v>
      </c>
      <c r="U4366" s="13">
        <v>1285</v>
      </c>
      <c r="V4366" s="13">
        <v>0</v>
      </c>
      <c r="W4366" s="37">
        <v>1303</v>
      </c>
      <c r="X4366" s="18"/>
      <c r="Y4366" s="14"/>
      <c r="Z4366" s="83"/>
      <c r="AA4366" s="83"/>
      <c r="AB4366" s="83"/>
      <c r="AC4366" s="83"/>
      <c r="AD4366" s="83"/>
      <c r="AE4366" s="83"/>
      <c r="AF4366" s="14"/>
      <c r="AG4366" s="35"/>
    </row>
    <row r="4367" spans="2:33">
      <c r="B4367" s="19"/>
      <c r="P4367" s="16"/>
      <c r="Q4367" s="36" t="s">
        <v>37</v>
      </c>
      <c r="R4367" s="13">
        <v>0</v>
      </c>
      <c r="S4367" s="13">
        <v>2803</v>
      </c>
      <c r="T4367" s="13">
        <v>0</v>
      </c>
      <c r="U4367" s="13">
        <v>1659</v>
      </c>
      <c r="V4367" s="13">
        <v>0</v>
      </c>
      <c r="W4367" s="37">
        <v>1588</v>
      </c>
      <c r="X4367" s="19"/>
      <c r="AG4367" s="16"/>
    </row>
    <row r="4368" spans="2:33">
      <c r="B4368" s="19"/>
      <c r="P4368" s="16"/>
      <c r="Q4368" s="36" t="s">
        <v>38</v>
      </c>
      <c r="R4368" s="13">
        <v>0</v>
      </c>
      <c r="S4368" s="13">
        <v>0</v>
      </c>
      <c r="T4368" s="13">
        <v>0</v>
      </c>
      <c r="U4368" s="13">
        <v>3187</v>
      </c>
      <c r="V4368" s="13">
        <v>1956</v>
      </c>
      <c r="W4368" s="37">
        <v>1764</v>
      </c>
      <c r="X4368" s="19"/>
      <c r="AG4368" s="16"/>
    </row>
    <row r="4369" spans="2:33">
      <c r="B4369" s="19"/>
      <c r="P4369" s="16"/>
      <c r="Q4369" s="36" t="s">
        <v>39</v>
      </c>
      <c r="R4369" s="13">
        <v>0</v>
      </c>
      <c r="S4369" s="13">
        <v>0</v>
      </c>
      <c r="T4369" s="13">
        <v>0</v>
      </c>
      <c r="U4369" s="13">
        <v>4966</v>
      </c>
      <c r="V4369" s="13">
        <v>2818</v>
      </c>
      <c r="W4369" s="37">
        <v>2757</v>
      </c>
      <c r="X4369" s="19"/>
      <c r="AG4369" s="16"/>
    </row>
    <row r="4370" spans="2:33">
      <c r="B4370" s="19"/>
      <c r="P4370" s="16"/>
      <c r="Q4370" s="36" t="s">
        <v>40</v>
      </c>
      <c r="R4370" s="13">
        <v>0</v>
      </c>
      <c r="S4370" s="13">
        <v>0</v>
      </c>
      <c r="T4370" s="13">
        <v>0</v>
      </c>
      <c r="U4370" s="13">
        <v>5988</v>
      </c>
      <c r="V4370" s="13">
        <v>3626</v>
      </c>
      <c r="W4370" s="37">
        <v>2677</v>
      </c>
      <c r="X4370" s="19"/>
      <c r="AG4370" s="16"/>
    </row>
    <row r="4371" spans="2:33">
      <c r="B4371" s="19"/>
      <c r="P4371" s="16"/>
      <c r="Q4371" s="36" t="s">
        <v>41</v>
      </c>
      <c r="R4371" s="13">
        <v>6904</v>
      </c>
      <c r="S4371" s="13">
        <v>0</v>
      </c>
      <c r="T4371" s="13">
        <v>3890</v>
      </c>
      <c r="U4371" s="13">
        <v>0</v>
      </c>
      <c r="V4371" s="13">
        <v>0</v>
      </c>
      <c r="W4371" s="37">
        <v>2213</v>
      </c>
      <c r="X4371" s="19"/>
      <c r="AG4371" s="16"/>
    </row>
    <row r="4372" spans="2:33">
      <c r="B4372" s="19"/>
      <c r="P4372" s="16"/>
      <c r="Q4372" s="36" t="s">
        <v>42</v>
      </c>
      <c r="R4372" s="13">
        <v>9264</v>
      </c>
      <c r="S4372" s="13">
        <v>0</v>
      </c>
      <c r="T4372" s="13">
        <v>4978</v>
      </c>
      <c r="U4372" s="13">
        <v>0</v>
      </c>
      <c r="V4372" s="13">
        <v>0</v>
      </c>
      <c r="W4372" s="37">
        <v>4657</v>
      </c>
      <c r="X4372" s="19"/>
      <c r="AG4372" s="16"/>
    </row>
    <row r="4373" spans="2:33">
      <c r="B4373" s="19"/>
      <c r="P4373" s="16"/>
      <c r="Q4373" s="36" t="s">
        <v>43</v>
      </c>
      <c r="R4373" s="13">
        <v>7836</v>
      </c>
      <c r="S4373" s="13">
        <v>0</v>
      </c>
      <c r="T4373" s="13">
        <v>4181</v>
      </c>
      <c r="U4373" s="13">
        <v>0</v>
      </c>
      <c r="V4373" s="13">
        <v>0</v>
      </c>
      <c r="W4373" s="37">
        <v>3233</v>
      </c>
      <c r="X4373" s="19"/>
      <c r="AG4373" s="16"/>
    </row>
    <row r="4374" spans="2:33">
      <c r="B4374" s="19"/>
      <c r="P4374" s="16"/>
      <c r="Q4374" s="36" t="s">
        <v>44</v>
      </c>
      <c r="R4374" s="13">
        <v>6870</v>
      </c>
      <c r="S4374" s="13">
        <v>0</v>
      </c>
      <c r="T4374" s="13">
        <v>3823</v>
      </c>
      <c r="U4374" s="13">
        <v>0</v>
      </c>
      <c r="V4374" s="13">
        <v>0</v>
      </c>
      <c r="W4374" s="37">
        <v>2581</v>
      </c>
      <c r="X4374" s="19"/>
      <c r="AG4374" s="16"/>
    </row>
    <row r="4375" spans="2:33">
      <c r="B4375" s="19"/>
      <c r="P4375" s="16"/>
      <c r="Q4375" s="36" t="s">
        <v>45</v>
      </c>
      <c r="R4375" s="13">
        <v>0</v>
      </c>
      <c r="S4375" s="13">
        <v>6030</v>
      </c>
      <c r="T4375" s="13">
        <v>3307</v>
      </c>
      <c r="U4375" s="13">
        <v>0</v>
      </c>
      <c r="V4375" s="13">
        <v>0</v>
      </c>
      <c r="W4375" s="37">
        <v>3618</v>
      </c>
      <c r="X4375" s="19"/>
      <c r="AG4375" s="16"/>
    </row>
    <row r="4376" spans="2:33" ht="15" thickBot="1">
      <c r="B4376" s="20"/>
      <c r="C4376" s="15"/>
      <c r="D4376" s="15"/>
      <c r="E4376" s="15"/>
      <c r="F4376" s="15"/>
      <c r="G4376" s="15"/>
      <c r="H4376" s="15"/>
      <c r="I4376" s="15"/>
      <c r="J4376" s="15"/>
      <c r="K4376" s="15"/>
      <c r="L4376" s="15"/>
      <c r="M4376" s="15"/>
      <c r="N4376" s="15"/>
      <c r="O4376" s="15"/>
      <c r="P4376" s="17"/>
      <c r="Q4376" s="36" t="s">
        <v>46</v>
      </c>
      <c r="R4376" s="13">
        <v>0</v>
      </c>
      <c r="S4376" s="13">
        <v>2640</v>
      </c>
      <c r="T4376" s="13">
        <v>1540</v>
      </c>
      <c r="U4376" s="13">
        <v>0</v>
      </c>
      <c r="V4376" s="13">
        <v>0</v>
      </c>
      <c r="W4376" s="37">
        <v>2188</v>
      </c>
      <c r="X4376" s="20"/>
      <c r="Y4376" s="15"/>
      <c r="Z4376" s="15"/>
      <c r="AA4376" s="15"/>
      <c r="AB4376" s="15"/>
      <c r="AC4376" s="15"/>
      <c r="AD4376" s="15"/>
      <c r="AE4376" s="15"/>
      <c r="AF4376" s="15"/>
      <c r="AG4376" s="17"/>
    </row>
    <row r="4378" spans="2:33" ht="15" thickBot="1">
      <c r="B4378" s="25" t="s">
        <v>2049</v>
      </c>
      <c r="C4378" s="26" t="s">
        <v>1809</v>
      </c>
      <c r="D4378" s="26" t="s">
        <v>2132</v>
      </c>
      <c r="E4378" s="26" t="s">
        <v>2133</v>
      </c>
      <c r="F4378" s="26" t="s">
        <v>2134</v>
      </c>
      <c r="G4378" s="26" t="s">
        <v>2135</v>
      </c>
      <c r="H4378" s="27" t="s">
        <v>821</v>
      </c>
      <c r="I4378" s="26" t="s">
        <v>2136</v>
      </c>
      <c r="J4378" s="27" t="s">
        <v>87</v>
      </c>
      <c r="K4378" s="29">
        <v>60</v>
      </c>
      <c r="L4378" s="29">
        <v>60</v>
      </c>
      <c r="M4378" s="29">
        <v>60</v>
      </c>
      <c r="N4378" s="29">
        <v>60</v>
      </c>
      <c r="O4378" s="29">
        <v>60</v>
      </c>
      <c r="P4378" s="40">
        <v>109</v>
      </c>
      <c r="Q4378" s="1" t="s">
        <v>35</v>
      </c>
      <c r="R4378" s="2">
        <v>0</v>
      </c>
      <c r="S4378" s="2">
        <v>6158</v>
      </c>
      <c r="T4378" s="2">
        <v>0</v>
      </c>
      <c r="U4378" s="2">
        <v>3013</v>
      </c>
      <c r="V4378" s="2">
        <v>0</v>
      </c>
      <c r="W4378" s="2">
        <v>5181</v>
      </c>
      <c r="X4378" s="43">
        <f>SUM(R4378:W4389)</f>
        <v>199334</v>
      </c>
      <c r="Y4378" s="10">
        <v>46204</v>
      </c>
      <c r="Z4378" s="13">
        <v>0.21822774234314721</v>
      </c>
      <c r="AA4378" s="13">
        <v>0.19176892037163287</v>
      </c>
      <c r="AB4378" s="13">
        <v>0.16994687607165501</v>
      </c>
      <c r="AC4378" s="13">
        <v>0.13533276805163061</v>
      </c>
      <c r="AD4378" s="13">
        <v>0.11849120346270935</v>
      </c>
      <c r="AE4378" s="13">
        <v>0.13112980089791482</v>
      </c>
      <c r="AF4378" s="11">
        <v>0.2</v>
      </c>
      <c r="AG4378" s="11">
        <v>1.2709999999999999</v>
      </c>
    </row>
    <row r="4379" spans="2:33">
      <c r="B4379" s="18"/>
      <c r="C4379" s="14"/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35"/>
      <c r="Q4379" s="36" t="s">
        <v>36</v>
      </c>
      <c r="R4379" s="13">
        <v>0</v>
      </c>
      <c r="S4379" s="13">
        <v>6161</v>
      </c>
      <c r="T4379" s="13">
        <v>0</v>
      </c>
      <c r="U4379" s="13">
        <v>3053</v>
      </c>
      <c r="V4379" s="13">
        <v>0</v>
      </c>
      <c r="W4379" s="37">
        <v>4971</v>
      </c>
      <c r="X4379" s="18"/>
      <c r="Y4379" s="14"/>
      <c r="Z4379" s="83"/>
      <c r="AA4379" s="83"/>
      <c r="AB4379" s="83"/>
      <c r="AC4379" s="83"/>
      <c r="AD4379" s="83"/>
      <c r="AE4379" s="83"/>
      <c r="AF4379" s="14"/>
      <c r="AG4379" s="35"/>
    </row>
    <row r="4380" spans="2:33">
      <c r="B4380" s="19"/>
      <c r="P4380" s="16"/>
      <c r="Q4380" s="36" t="s">
        <v>37</v>
      </c>
      <c r="R4380" s="13">
        <v>0</v>
      </c>
      <c r="S4380" s="13">
        <v>7053</v>
      </c>
      <c r="T4380" s="13">
        <v>0</v>
      </c>
      <c r="U4380" s="13">
        <v>3671</v>
      </c>
      <c r="V4380" s="13">
        <v>0</v>
      </c>
      <c r="W4380" s="37">
        <v>6442</v>
      </c>
      <c r="X4380" s="19"/>
      <c r="AG4380" s="16"/>
    </row>
    <row r="4381" spans="2:33">
      <c r="B4381" s="19"/>
      <c r="P4381" s="16"/>
      <c r="Q4381" s="36" t="s">
        <v>38</v>
      </c>
      <c r="R4381" s="13">
        <v>0</v>
      </c>
      <c r="S4381" s="13">
        <v>0</v>
      </c>
      <c r="T4381" s="13">
        <v>0</v>
      </c>
      <c r="U4381" s="13">
        <v>7325</v>
      </c>
      <c r="V4381" s="13">
        <v>3767</v>
      </c>
      <c r="W4381" s="37">
        <v>6005</v>
      </c>
      <c r="X4381" s="19"/>
      <c r="AG4381" s="16"/>
    </row>
    <row r="4382" spans="2:33">
      <c r="B4382" s="19"/>
      <c r="P4382" s="16"/>
      <c r="Q4382" s="36" t="s">
        <v>39</v>
      </c>
      <c r="R4382" s="13">
        <v>0</v>
      </c>
      <c r="S4382" s="13">
        <v>0</v>
      </c>
      <c r="T4382" s="13">
        <v>0</v>
      </c>
      <c r="U4382" s="13">
        <v>6546</v>
      </c>
      <c r="V4382" s="13">
        <v>3196</v>
      </c>
      <c r="W4382" s="37">
        <v>6442</v>
      </c>
      <c r="X4382" s="19"/>
      <c r="AG4382" s="16"/>
    </row>
    <row r="4383" spans="2:33">
      <c r="B4383" s="19"/>
      <c r="P4383" s="16"/>
      <c r="Q4383" s="36" t="s">
        <v>40</v>
      </c>
      <c r="R4383" s="13">
        <v>0</v>
      </c>
      <c r="S4383" s="13">
        <v>0</v>
      </c>
      <c r="T4383" s="13">
        <v>0</v>
      </c>
      <c r="U4383" s="13">
        <v>7498</v>
      </c>
      <c r="V4383" s="13">
        <v>3485</v>
      </c>
      <c r="W4383" s="37">
        <v>6208</v>
      </c>
      <c r="X4383" s="19"/>
      <c r="AG4383" s="16"/>
    </row>
    <row r="4384" spans="2:33">
      <c r="B4384" s="19"/>
      <c r="P4384" s="16"/>
      <c r="Q4384" s="36" t="s">
        <v>41</v>
      </c>
      <c r="R4384" s="13">
        <v>8806</v>
      </c>
      <c r="S4384" s="13">
        <v>0</v>
      </c>
      <c r="T4384" s="13">
        <v>4051</v>
      </c>
      <c r="U4384" s="13">
        <v>0</v>
      </c>
      <c r="V4384" s="13">
        <v>0</v>
      </c>
      <c r="W4384" s="37">
        <v>5947</v>
      </c>
      <c r="X4384" s="19"/>
      <c r="AG4384" s="16"/>
    </row>
    <row r="4385" spans="2:33">
      <c r="B4385" s="19"/>
      <c r="P4385" s="16"/>
      <c r="Q4385" s="36" t="s">
        <v>42</v>
      </c>
      <c r="R4385" s="13">
        <v>8227</v>
      </c>
      <c r="S4385" s="13">
        <v>0</v>
      </c>
      <c r="T4385" s="13">
        <v>3776</v>
      </c>
      <c r="U4385" s="13">
        <v>0</v>
      </c>
      <c r="V4385" s="13">
        <v>0</v>
      </c>
      <c r="W4385" s="37">
        <v>8083</v>
      </c>
      <c r="X4385" s="19"/>
      <c r="AG4385" s="16"/>
    </row>
    <row r="4386" spans="2:33">
      <c r="B4386" s="19"/>
      <c r="P4386" s="16"/>
      <c r="Q4386" s="36" t="s">
        <v>43</v>
      </c>
      <c r="R4386" s="13">
        <v>8109</v>
      </c>
      <c r="S4386" s="13">
        <v>0</v>
      </c>
      <c r="T4386" s="13">
        <v>3755</v>
      </c>
      <c r="U4386" s="13">
        <v>0</v>
      </c>
      <c r="V4386" s="13">
        <v>0</v>
      </c>
      <c r="W4386" s="37">
        <v>5889</v>
      </c>
      <c r="X4386" s="19"/>
      <c r="AG4386" s="16"/>
    </row>
    <row r="4387" spans="2:33">
      <c r="B4387" s="19"/>
      <c r="P4387" s="16"/>
      <c r="Q4387" s="36" t="s">
        <v>44</v>
      </c>
      <c r="R4387" s="13">
        <v>8083</v>
      </c>
      <c r="S4387" s="13">
        <v>0</v>
      </c>
      <c r="T4387" s="13">
        <v>3788</v>
      </c>
      <c r="U4387" s="13">
        <v>0</v>
      </c>
      <c r="V4387" s="13">
        <v>0</v>
      </c>
      <c r="W4387" s="37">
        <v>5683</v>
      </c>
      <c r="X4387" s="19"/>
      <c r="AG4387" s="16"/>
    </row>
    <row r="4388" spans="2:33">
      <c r="B4388" s="19"/>
      <c r="P4388" s="16"/>
      <c r="Q4388" s="36" t="s">
        <v>45</v>
      </c>
      <c r="R4388" s="13">
        <v>0</v>
      </c>
      <c r="S4388" s="13">
        <v>5923</v>
      </c>
      <c r="T4388" s="13">
        <v>2953</v>
      </c>
      <c r="U4388" s="13">
        <v>0</v>
      </c>
      <c r="V4388" s="13">
        <v>0</v>
      </c>
      <c r="W4388" s="37">
        <v>6042</v>
      </c>
      <c r="X4388" s="19"/>
      <c r="AG4388" s="16"/>
    </row>
    <row r="4389" spans="2:33" ht="15" thickBot="1">
      <c r="B4389" s="20"/>
      <c r="C4389" s="15"/>
      <c r="D4389" s="15"/>
      <c r="E4389" s="15"/>
      <c r="F4389" s="15"/>
      <c r="G4389" s="15"/>
      <c r="H4389" s="15"/>
      <c r="I4389" s="15"/>
      <c r="J4389" s="15"/>
      <c r="K4389" s="15"/>
      <c r="L4389" s="15"/>
      <c r="M4389" s="15"/>
      <c r="N4389" s="15"/>
      <c r="O4389" s="15"/>
      <c r="P4389" s="17"/>
      <c r="Q4389" s="36" t="s">
        <v>46</v>
      </c>
      <c r="R4389" s="13">
        <v>0</v>
      </c>
      <c r="S4389" s="13">
        <v>5571</v>
      </c>
      <c r="T4389" s="13">
        <v>2960</v>
      </c>
      <c r="U4389" s="13">
        <v>0</v>
      </c>
      <c r="V4389" s="13">
        <v>0</v>
      </c>
      <c r="W4389" s="37">
        <v>5513</v>
      </c>
      <c r="X4389" s="20"/>
      <c r="Y4389" s="15"/>
      <c r="Z4389" s="15"/>
      <c r="AA4389" s="15"/>
      <c r="AB4389" s="15"/>
      <c r="AC4389" s="15"/>
      <c r="AD4389" s="15"/>
      <c r="AE4389" s="15"/>
      <c r="AF4389" s="15"/>
      <c r="AG4389" s="17"/>
    </row>
    <row r="4391" spans="2:33" ht="15" thickBot="1">
      <c r="B4391" s="25" t="s">
        <v>2049</v>
      </c>
      <c r="C4391" s="26" t="s">
        <v>1809</v>
      </c>
      <c r="D4391" s="26" t="s">
        <v>2137</v>
      </c>
      <c r="E4391" s="26" t="s">
        <v>2138</v>
      </c>
      <c r="F4391" s="26" t="s">
        <v>2139</v>
      </c>
      <c r="G4391" s="26" t="s">
        <v>2140</v>
      </c>
      <c r="H4391" s="27" t="s">
        <v>821</v>
      </c>
      <c r="I4391" s="26" t="s">
        <v>2141</v>
      </c>
      <c r="J4391" s="27" t="s">
        <v>87</v>
      </c>
      <c r="K4391" s="29">
        <v>20</v>
      </c>
      <c r="L4391" s="29">
        <v>20</v>
      </c>
      <c r="M4391" s="29">
        <v>20</v>
      </c>
      <c r="N4391" s="29">
        <v>20</v>
      </c>
      <c r="O4391" s="29">
        <v>20</v>
      </c>
      <c r="P4391" s="40">
        <v>43.619998931884801</v>
      </c>
      <c r="Q4391" s="1" t="s">
        <v>546</v>
      </c>
      <c r="R4391" s="2">
        <v>0</v>
      </c>
      <c r="S4391" s="2">
        <v>2202</v>
      </c>
      <c r="T4391" s="2">
        <v>0</v>
      </c>
      <c r="U4391" s="2">
        <v>1086</v>
      </c>
      <c r="V4391" s="2">
        <v>0</v>
      </c>
      <c r="W4391" s="2">
        <v>1758</v>
      </c>
      <c r="X4391" s="43">
        <f>SUM(R4391:W4402)</f>
        <v>75460</v>
      </c>
      <c r="Y4391" s="10">
        <v>46204</v>
      </c>
      <c r="Z4391" s="13">
        <v>0.21822774234314721</v>
      </c>
      <c r="AA4391" s="13">
        <v>0.19176892037163287</v>
      </c>
      <c r="AB4391" s="13">
        <v>0.16994687607165501</v>
      </c>
      <c r="AC4391" s="13">
        <v>0.13533276805163061</v>
      </c>
      <c r="AD4391" s="13">
        <v>0.11849120346270935</v>
      </c>
      <c r="AE4391" s="13">
        <v>0.13112980089791482</v>
      </c>
      <c r="AF4391" s="11">
        <v>0.2</v>
      </c>
      <c r="AG4391" s="11">
        <v>1.2709999999999999</v>
      </c>
    </row>
    <row r="4392" spans="2:33">
      <c r="B4392" s="18"/>
      <c r="C4392" s="14"/>
      <c r="D4392" s="14"/>
      <c r="E4392" s="14"/>
      <c r="F4392" s="14"/>
      <c r="G4392" s="14"/>
      <c r="H4392" s="14"/>
      <c r="I4392" s="14"/>
      <c r="J4392" s="14"/>
      <c r="K4392" s="14"/>
      <c r="L4392" s="14"/>
      <c r="M4392" s="14"/>
      <c r="N4392" s="14"/>
      <c r="O4392" s="14"/>
      <c r="P4392" s="35"/>
      <c r="Q4392" s="36" t="s">
        <v>547</v>
      </c>
      <c r="R4392" s="13">
        <v>0</v>
      </c>
      <c r="S4392" s="13">
        <v>2647</v>
      </c>
      <c r="T4392" s="13">
        <v>0</v>
      </c>
      <c r="U4392" s="13">
        <v>1252</v>
      </c>
      <c r="V4392" s="13">
        <v>0</v>
      </c>
      <c r="W4392" s="37">
        <v>1714</v>
      </c>
      <c r="X4392" s="18"/>
      <c r="Y4392" s="14"/>
      <c r="Z4392" s="83"/>
      <c r="AA4392" s="83"/>
      <c r="AB4392" s="83"/>
      <c r="AC4392" s="83"/>
      <c r="AD4392" s="83"/>
      <c r="AE4392" s="83"/>
      <c r="AF4392" s="14"/>
      <c r="AG4392" s="35"/>
    </row>
    <row r="4393" spans="2:33">
      <c r="B4393" s="19"/>
      <c r="P4393" s="16"/>
      <c r="Q4393" s="36" t="s">
        <v>37</v>
      </c>
      <c r="R4393" s="13">
        <v>0</v>
      </c>
      <c r="S4393" s="13">
        <v>2619</v>
      </c>
      <c r="T4393" s="13">
        <v>0</v>
      </c>
      <c r="U4393" s="13">
        <v>1260</v>
      </c>
      <c r="V4393" s="13">
        <v>0</v>
      </c>
      <c r="W4393" s="37">
        <v>2075</v>
      </c>
      <c r="X4393" s="19"/>
      <c r="AG4393" s="16"/>
    </row>
    <row r="4394" spans="2:33">
      <c r="B4394" s="19"/>
      <c r="P4394" s="16"/>
      <c r="Q4394" s="36" t="s">
        <v>38</v>
      </c>
      <c r="R4394" s="13">
        <v>0</v>
      </c>
      <c r="S4394" s="13">
        <v>0</v>
      </c>
      <c r="T4394" s="13">
        <v>0</v>
      </c>
      <c r="U4394" s="13">
        <v>2812</v>
      </c>
      <c r="V4394" s="13">
        <v>1421</v>
      </c>
      <c r="W4394" s="37">
        <v>1815</v>
      </c>
      <c r="X4394" s="19"/>
      <c r="AG4394" s="16"/>
    </row>
    <row r="4395" spans="2:33">
      <c r="B4395" s="19"/>
      <c r="P4395" s="16"/>
      <c r="Q4395" s="36" t="s">
        <v>39</v>
      </c>
      <c r="R4395" s="13">
        <v>0</v>
      </c>
      <c r="S4395" s="13">
        <v>0</v>
      </c>
      <c r="T4395" s="13">
        <v>0</v>
      </c>
      <c r="U4395" s="13">
        <v>2673</v>
      </c>
      <c r="V4395" s="13">
        <v>1389</v>
      </c>
      <c r="W4395" s="37">
        <v>2288</v>
      </c>
      <c r="X4395" s="19"/>
      <c r="AG4395" s="16"/>
    </row>
    <row r="4396" spans="2:33">
      <c r="B4396" s="19"/>
      <c r="P4396" s="16"/>
      <c r="Q4396" s="36" t="s">
        <v>40</v>
      </c>
      <c r="R4396" s="13">
        <v>0</v>
      </c>
      <c r="S4396" s="13">
        <v>0</v>
      </c>
      <c r="T4396" s="13">
        <v>0</v>
      </c>
      <c r="U4396" s="13">
        <v>2671</v>
      </c>
      <c r="V4396" s="13">
        <v>1454</v>
      </c>
      <c r="W4396" s="37">
        <v>2031</v>
      </c>
      <c r="X4396" s="19"/>
      <c r="AG4396" s="16"/>
    </row>
    <row r="4397" spans="2:33">
      <c r="B4397" s="19"/>
      <c r="P4397" s="16"/>
      <c r="Q4397" s="36" t="s">
        <v>41</v>
      </c>
      <c r="R4397" s="13">
        <v>3240</v>
      </c>
      <c r="S4397" s="13">
        <v>0</v>
      </c>
      <c r="T4397" s="13">
        <v>1782</v>
      </c>
      <c r="U4397" s="13">
        <v>0</v>
      </c>
      <c r="V4397" s="13">
        <v>0</v>
      </c>
      <c r="W4397" s="37">
        <v>2316</v>
      </c>
      <c r="X4397" s="19"/>
      <c r="AG4397" s="16"/>
    </row>
    <row r="4398" spans="2:33">
      <c r="B4398" s="19"/>
      <c r="P4398" s="16"/>
      <c r="Q4398" s="36" t="s">
        <v>42</v>
      </c>
      <c r="R4398" s="13">
        <v>2725</v>
      </c>
      <c r="S4398" s="13">
        <v>0</v>
      </c>
      <c r="T4398" s="13">
        <v>1564</v>
      </c>
      <c r="U4398" s="13">
        <v>0</v>
      </c>
      <c r="V4398" s="13">
        <v>0</v>
      </c>
      <c r="W4398" s="37">
        <v>2802</v>
      </c>
      <c r="X4398" s="19"/>
      <c r="AG4398" s="16"/>
    </row>
    <row r="4399" spans="2:33">
      <c r="B4399" s="19"/>
      <c r="P4399" s="16"/>
      <c r="Q4399" s="36" t="s">
        <v>43</v>
      </c>
      <c r="R4399" s="13">
        <v>2834</v>
      </c>
      <c r="S4399" s="13">
        <v>0</v>
      </c>
      <c r="T4399" s="13">
        <v>1593</v>
      </c>
      <c r="U4399" s="13">
        <v>0</v>
      </c>
      <c r="V4399" s="13">
        <v>0</v>
      </c>
      <c r="W4399" s="37">
        <v>2024</v>
      </c>
      <c r="X4399" s="19"/>
      <c r="AG4399" s="16"/>
    </row>
    <row r="4400" spans="2:33">
      <c r="B4400" s="19"/>
      <c r="P4400" s="16"/>
      <c r="Q4400" s="36" t="s">
        <v>44</v>
      </c>
      <c r="R4400" s="13">
        <v>2989</v>
      </c>
      <c r="S4400" s="13">
        <v>0</v>
      </c>
      <c r="T4400" s="13">
        <v>1738</v>
      </c>
      <c r="U4400" s="13">
        <v>0</v>
      </c>
      <c r="V4400" s="13">
        <v>0</v>
      </c>
      <c r="W4400" s="37">
        <v>2108</v>
      </c>
      <c r="X4400" s="19"/>
      <c r="AG4400" s="16"/>
    </row>
    <row r="4401" spans="2:33">
      <c r="B4401" s="19"/>
      <c r="P4401" s="16"/>
      <c r="Q4401" s="36" t="s">
        <v>45</v>
      </c>
      <c r="R4401" s="13">
        <v>0</v>
      </c>
      <c r="S4401" s="13">
        <v>2612</v>
      </c>
      <c r="T4401" s="13">
        <v>1503</v>
      </c>
      <c r="U4401" s="13">
        <v>0</v>
      </c>
      <c r="V4401" s="13">
        <v>0</v>
      </c>
      <c r="W4401" s="37">
        <v>2389</v>
      </c>
      <c r="X4401" s="19"/>
      <c r="AG4401" s="16"/>
    </row>
    <row r="4402" spans="2:33" ht="15" thickBot="1">
      <c r="B4402" s="20"/>
      <c r="C4402" s="15"/>
      <c r="D4402" s="15"/>
      <c r="E4402" s="15"/>
      <c r="F4402" s="15"/>
      <c r="G4402" s="15"/>
      <c r="H4402" s="15"/>
      <c r="I4402" s="15"/>
      <c r="J4402" s="15"/>
      <c r="K4402" s="15"/>
      <c r="L4402" s="15"/>
      <c r="M4402" s="15"/>
      <c r="N4402" s="15"/>
      <c r="O4402" s="15"/>
      <c r="P4402" s="17"/>
      <c r="Q4402" s="36" t="s">
        <v>46</v>
      </c>
      <c r="R4402" s="13">
        <v>0</v>
      </c>
      <c r="S4402" s="13">
        <v>2538</v>
      </c>
      <c r="T4402" s="13">
        <v>1484</v>
      </c>
      <c r="U4402" s="13">
        <v>0</v>
      </c>
      <c r="V4402" s="13">
        <v>0</v>
      </c>
      <c r="W4402" s="37">
        <v>2052</v>
      </c>
      <c r="X4402" s="20"/>
      <c r="Y4402" s="15"/>
      <c r="Z4402" s="15"/>
      <c r="AA4402" s="15"/>
      <c r="AB4402" s="15"/>
      <c r="AC4402" s="15"/>
      <c r="AD4402" s="15"/>
      <c r="AE4402" s="15"/>
      <c r="AF4402" s="15"/>
      <c r="AG4402" s="17"/>
    </row>
    <row r="4404" spans="2:33" ht="15" thickBot="1">
      <c r="B4404" s="25" t="s">
        <v>2049</v>
      </c>
      <c r="C4404" s="26" t="s">
        <v>1809</v>
      </c>
      <c r="D4404" s="26" t="s">
        <v>2142</v>
      </c>
      <c r="E4404" s="26" t="s">
        <v>2143</v>
      </c>
      <c r="F4404" s="26" t="s">
        <v>2144</v>
      </c>
      <c r="G4404" s="26" t="s">
        <v>2145</v>
      </c>
      <c r="H4404" s="27" t="s">
        <v>693</v>
      </c>
      <c r="I4404" s="26" t="s">
        <v>2146</v>
      </c>
      <c r="J4404" s="27" t="s">
        <v>87</v>
      </c>
      <c r="K4404" s="29">
        <v>35</v>
      </c>
      <c r="L4404" s="29">
        <v>35</v>
      </c>
      <c r="M4404" s="29">
        <v>35</v>
      </c>
      <c r="N4404" s="29">
        <v>35</v>
      </c>
      <c r="O4404" s="29">
        <v>35</v>
      </c>
      <c r="P4404" s="40">
        <v>56.909999847412102</v>
      </c>
      <c r="Q4404" s="1" t="s">
        <v>2147</v>
      </c>
      <c r="R4404" s="2">
        <v>0</v>
      </c>
      <c r="S4404" s="2">
        <v>791</v>
      </c>
      <c r="T4404" s="2">
        <v>0</v>
      </c>
      <c r="U4404" s="2">
        <v>419</v>
      </c>
      <c r="V4404" s="2">
        <v>0</v>
      </c>
      <c r="W4404" s="2">
        <v>882</v>
      </c>
      <c r="X4404" s="43">
        <f>SUM(R4404:W4417)</f>
        <v>76549</v>
      </c>
      <c r="Y4404" s="10">
        <v>46204</v>
      </c>
      <c r="Z4404" s="13">
        <v>0.21822774234314721</v>
      </c>
      <c r="AA4404" s="13">
        <v>0.19176892037163287</v>
      </c>
      <c r="AB4404" s="13">
        <v>0.16994687607165501</v>
      </c>
      <c r="AC4404" s="13">
        <v>0.13533276805163061</v>
      </c>
      <c r="AD4404" s="13">
        <v>0.11849120346270935</v>
      </c>
      <c r="AE4404" s="13">
        <v>0.13112980089791482</v>
      </c>
      <c r="AF4404" s="11">
        <v>0.2</v>
      </c>
      <c r="AG4404" s="11">
        <v>1.2709999999999999</v>
      </c>
    </row>
    <row r="4405" spans="2:33">
      <c r="B4405" s="18"/>
      <c r="C4405" s="14"/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35"/>
      <c r="Q4405" s="36" t="s">
        <v>2148</v>
      </c>
      <c r="R4405" s="13">
        <v>0</v>
      </c>
      <c r="S4405" s="13">
        <v>1914</v>
      </c>
      <c r="T4405" s="13">
        <v>0</v>
      </c>
      <c r="U4405" s="13">
        <v>1041</v>
      </c>
      <c r="V4405" s="13">
        <v>0</v>
      </c>
      <c r="W4405" s="37">
        <v>931</v>
      </c>
      <c r="X4405" s="18"/>
      <c r="Y4405" s="14"/>
      <c r="Z4405" s="83"/>
      <c r="AA4405" s="83"/>
      <c r="AB4405" s="83"/>
      <c r="AC4405" s="83"/>
      <c r="AD4405" s="83"/>
      <c r="AE4405" s="83"/>
      <c r="AF4405" s="14"/>
      <c r="AG4405" s="35"/>
    </row>
    <row r="4406" spans="2:33">
      <c r="B4406" s="19"/>
      <c r="P4406" s="16"/>
      <c r="Q4406" s="36" t="s">
        <v>36</v>
      </c>
      <c r="R4406" s="13">
        <v>0</v>
      </c>
      <c r="S4406" s="13">
        <v>2695</v>
      </c>
      <c r="T4406" s="13">
        <v>0</v>
      </c>
      <c r="U4406" s="13">
        <v>1504</v>
      </c>
      <c r="V4406" s="13">
        <v>0</v>
      </c>
      <c r="W4406" s="37">
        <v>1499</v>
      </c>
      <c r="X4406" s="19"/>
      <c r="AG4406" s="16"/>
    </row>
    <row r="4407" spans="2:33">
      <c r="B4407" s="19"/>
      <c r="P4407" s="16"/>
      <c r="Q4407" s="36" t="s">
        <v>37</v>
      </c>
      <c r="R4407" s="13">
        <v>0</v>
      </c>
      <c r="S4407" s="13">
        <v>2785</v>
      </c>
      <c r="T4407" s="13">
        <v>0</v>
      </c>
      <c r="U4407" s="13">
        <v>1602</v>
      </c>
      <c r="V4407" s="13">
        <v>0</v>
      </c>
      <c r="W4407" s="37">
        <v>1784</v>
      </c>
      <c r="X4407" s="19"/>
      <c r="AG4407" s="16"/>
    </row>
    <row r="4408" spans="2:33">
      <c r="B4408" s="19"/>
      <c r="P4408" s="16"/>
      <c r="Q4408" s="36" t="s">
        <v>38</v>
      </c>
      <c r="R4408" s="13">
        <v>0</v>
      </c>
      <c r="S4408" s="13">
        <v>0</v>
      </c>
      <c r="T4408" s="13">
        <v>0</v>
      </c>
      <c r="U4408" s="13">
        <v>2843</v>
      </c>
      <c r="V4408" s="13">
        <v>1525</v>
      </c>
      <c r="W4408" s="37">
        <v>1393</v>
      </c>
      <c r="X4408" s="19"/>
      <c r="AG4408" s="16"/>
    </row>
    <row r="4409" spans="2:33">
      <c r="B4409" s="19"/>
      <c r="P4409" s="16"/>
      <c r="Q4409" s="36" t="s">
        <v>39</v>
      </c>
      <c r="R4409" s="13">
        <v>0</v>
      </c>
      <c r="S4409" s="13">
        <v>0</v>
      </c>
      <c r="T4409" s="13">
        <v>0</v>
      </c>
      <c r="U4409" s="13">
        <v>2907</v>
      </c>
      <c r="V4409" s="13">
        <v>1548</v>
      </c>
      <c r="W4409" s="37">
        <v>2095</v>
      </c>
      <c r="X4409" s="19"/>
      <c r="AG4409" s="16"/>
    </row>
    <row r="4410" spans="2:33">
      <c r="B4410" s="19"/>
      <c r="P4410" s="16"/>
      <c r="Q4410" s="36" t="s">
        <v>2149</v>
      </c>
      <c r="R4410" s="13">
        <v>0</v>
      </c>
      <c r="S4410" s="13">
        <v>0</v>
      </c>
      <c r="T4410" s="13">
        <v>0</v>
      </c>
      <c r="U4410" s="13">
        <v>2025</v>
      </c>
      <c r="V4410" s="13">
        <v>1081</v>
      </c>
      <c r="W4410" s="37">
        <v>1173</v>
      </c>
      <c r="X4410" s="19"/>
      <c r="AG4410" s="16"/>
    </row>
    <row r="4411" spans="2:33">
      <c r="B4411" s="19"/>
      <c r="P4411" s="16"/>
      <c r="Q4411" s="36" t="s">
        <v>2150</v>
      </c>
      <c r="R4411" s="13">
        <v>0</v>
      </c>
      <c r="S4411" s="13">
        <v>0</v>
      </c>
      <c r="T4411" s="13">
        <v>0</v>
      </c>
      <c r="U4411" s="13">
        <v>1049</v>
      </c>
      <c r="V4411" s="13">
        <v>563</v>
      </c>
      <c r="W4411" s="37">
        <v>939</v>
      </c>
      <c r="X4411" s="19"/>
      <c r="AG4411" s="16"/>
    </row>
    <row r="4412" spans="2:33">
      <c r="B4412" s="19"/>
      <c r="P4412" s="16"/>
      <c r="Q4412" s="36" t="s">
        <v>41</v>
      </c>
      <c r="R4412" s="13">
        <v>3004</v>
      </c>
      <c r="S4412" s="13">
        <v>0</v>
      </c>
      <c r="T4412" s="13">
        <v>1570</v>
      </c>
      <c r="U4412" s="13">
        <v>0</v>
      </c>
      <c r="V4412" s="13">
        <v>0</v>
      </c>
      <c r="W4412" s="37">
        <v>1340</v>
      </c>
      <c r="X4412" s="19"/>
      <c r="AG4412" s="16"/>
    </row>
    <row r="4413" spans="2:33">
      <c r="B4413" s="19"/>
      <c r="P4413" s="16"/>
      <c r="Q4413" s="36" t="s">
        <v>42</v>
      </c>
      <c r="R4413" s="13">
        <v>3286</v>
      </c>
      <c r="S4413" s="13">
        <v>0</v>
      </c>
      <c r="T4413" s="13">
        <v>1846</v>
      </c>
      <c r="U4413" s="13">
        <v>0</v>
      </c>
      <c r="V4413" s="13">
        <v>0</v>
      </c>
      <c r="W4413" s="37">
        <v>1869</v>
      </c>
      <c r="X4413" s="19"/>
      <c r="AG4413" s="16"/>
    </row>
    <row r="4414" spans="2:33">
      <c r="B4414" s="19"/>
      <c r="P4414" s="16"/>
      <c r="Q4414" s="36" t="s">
        <v>43</v>
      </c>
      <c r="R4414" s="13">
        <v>3318</v>
      </c>
      <c r="S4414" s="13">
        <v>0</v>
      </c>
      <c r="T4414" s="13">
        <v>1786</v>
      </c>
      <c r="U4414" s="13">
        <v>0</v>
      </c>
      <c r="V4414" s="13">
        <v>0</v>
      </c>
      <c r="W4414" s="37">
        <v>1684</v>
      </c>
      <c r="X4414" s="19"/>
      <c r="AG4414" s="16"/>
    </row>
    <row r="4415" spans="2:33">
      <c r="B4415" s="19"/>
      <c r="P4415" s="16"/>
      <c r="Q4415" s="36" t="s">
        <v>44</v>
      </c>
      <c r="R4415" s="13">
        <v>3487</v>
      </c>
      <c r="S4415" s="13">
        <v>0</v>
      </c>
      <c r="T4415" s="13">
        <v>1884</v>
      </c>
      <c r="U4415" s="13">
        <v>0</v>
      </c>
      <c r="V4415" s="13">
        <v>0</v>
      </c>
      <c r="W4415" s="37">
        <v>1641</v>
      </c>
      <c r="X4415" s="19"/>
      <c r="AG4415" s="16"/>
    </row>
    <row r="4416" spans="2:33">
      <c r="B4416" s="19"/>
      <c r="P4416" s="16"/>
      <c r="Q4416" s="36" t="s">
        <v>45</v>
      </c>
      <c r="R4416" s="13">
        <v>0</v>
      </c>
      <c r="S4416" s="13">
        <v>2858</v>
      </c>
      <c r="T4416" s="13">
        <v>1525</v>
      </c>
      <c r="U4416" s="13">
        <v>0</v>
      </c>
      <c r="V4416" s="13">
        <v>0</v>
      </c>
      <c r="W4416" s="37">
        <v>2039</v>
      </c>
      <c r="X4416" s="19"/>
      <c r="AG4416" s="16"/>
    </row>
    <row r="4417" spans="2:33" ht="15" thickBot="1">
      <c r="B4417" s="20"/>
      <c r="C4417" s="15"/>
      <c r="D4417" s="15"/>
      <c r="E4417" s="15"/>
      <c r="F4417" s="15"/>
      <c r="G4417" s="15"/>
      <c r="H4417" s="15"/>
      <c r="I4417" s="15"/>
      <c r="J4417" s="15"/>
      <c r="K4417" s="15"/>
      <c r="L4417" s="15"/>
      <c r="M4417" s="15"/>
      <c r="N4417" s="15"/>
      <c r="O4417" s="15"/>
      <c r="P4417" s="17"/>
      <c r="Q4417" s="36" t="s">
        <v>46</v>
      </c>
      <c r="R4417" s="13">
        <v>0</v>
      </c>
      <c r="S4417" s="13">
        <v>2679</v>
      </c>
      <c r="T4417" s="13">
        <v>1469</v>
      </c>
      <c r="U4417" s="13">
        <v>0</v>
      </c>
      <c r="V4417" s="13">
        <v>0</v>
      </c>
      <c r="W4417" s="37">
        <v>2276</v>
      </c>
      <c r="X4417" s="20"/>
      <c r="Y4417" s="15"/>
      <c r="Z4417" s="15"/>
      <c r="AA4417" s="15"/>
      <c r="AB4417" s="15"/>
      <c r="AC4417" s="15"/>
      <c r="AD4417" s="15"/>
      <c r="AE4417" s="15"/>
      <c r="AF4417" s="15"/>
      <c r="AG4417" s="17"/>
    </row>
    <row r="4419" spans="2:33" ht="15" thickBot="1">
      <c r="B4419" s="25" t="s">
        <v>2049</v>
      </c>
      <c r="C4419" s="26" t="s">
        <v>1809</v>
      </c>
      <c r="D4419" s="26" t="s">
        <v>2151</v>
      </c>
      <c r="E4419" s="26" t="s">
        <v>2152</v>
      </c>
      <c r="F4419" s="26" t="s">
        <v>2153</v>
      </c>
      <c r="G4419" s="26" t="s">
        <v>2154</v>
      </c>
      <c r="H4419" s="27" t="s">
        <v>821</v>
      </c>
      <c r="I4419" s="26" t="s">
        <v>2155</v>
      </c>
      <c r="J4419" s="27" t="s">
        <v>87</v>
      </c>
      <c r="K4419" s="29">
        <v>15.1000003814697</v>
      </c>
      <c r="L4419" s="29">
        <v>15.1000003814697</v>
      </c>
      <c r="M4419" s="29">
        <v>15.1000003814697</v>
      </c>
      <c r="N4419" s="29">
        <v>15.1000003814697</v>
      </c>
      <c r="O4419" s="29">
        <v>15.1000003814697</v>
      </c>
      <c r="P4419" s="40">
        <v>15.1000003814697</v>
      </c>
      <c r="Q4419" s="1" t="s">
        <v>35</v>
      </c>
      <c r="R4419" s="2">
        <v>0</v>
      </c>
      <c r="S4419" s="2">
        <v>573</v>
      </c>
      <c r="T4419" s="2">
        <v>0</v>
      </c>
      <c r="U4419" s="2">
        <v>395</v>
      </c>
      <c r="V4419" s="2">
        <v>0</v>
      </c>
      <c r="W4419" s="2">
        <v>250</v>
      </c>
      <c r="X4419" s="43">
        <f>SUM(R4419:W4430)</f>
        <v>47247</v>
      </c>
      <c r="Y4419" s="10">
        <v>46204</v>
      </c>
      <c r="Z4419" s="13">
        <v>0.21822774234314721</v>
      </c>
      <c r="AA4419" s="13">
        <v>0.19176892037163287</v>
      </c>
      <c r="AB4419" s="13">
        <v>0.16994687607165501</v>
      </c>
      <c r="AC4419" s="13">
        <v>0.13533276805163061</v>
      </c>
      <c r="AD4419" s="13">
        <v>0.11849120346270935</v>
      </c>
      <c r="AE4419" s="13">
        <v>0.13112980089791482</v>
      </c>
      <c r="AF4419" s="11">
        <v>0.2</v>
      </c>
      <c r="AG4419" s="11">
        <v>1.2709999999999999</v>
      </c>
    </row>
    <row r="4420" spans="2:33">
      <c r="B4420" s="18"/>
      <c r="C4420" s="14"/>
      <c r="D4420" s="14"/>
      <c r="E4420" s="14"/>
      <c r="F4420" s="14"/>
      <c r="G4420" s="14"/>
      <c r="H4420" s="14"/>
      <c r="I4420" s="14"/>
      <c r="J4420" s="14"/>
      <c r="K4420" s="14"/>
      <c r="L4420" s="14"/>
      <c r="M4420" s="14"/>
      <c r="N4420" s="14"/>
      <c r="O4420" s="14"/>
      <c r="P4420" s="35"/>
      <c r="Q4420" s="36" t="s">
        <v>36</v>
      </c>
      <c r="R4420" s="13">
        <v>0</v>
      </c>
      <c r="S4420" s="13">
        <v>1638</v>
      </c>
      <c r="T4420" s="13">
        <v>0</v>
      </c>
      <c r="U4420" s="13">
        <v>915</v>
      </c>
      <c r="V4420" s="13">
        <v>0</v>
      </c>
      <c r="W4420" s="37">
        <v>1178</v>
      </c>
      <c r="X4420" s="18"/>
      <c r="Y4420" s="14"/>
      <c r="Z4420" s="83"/>
      <c r="AA4420" s="83"/>
      <c r="AB4420" s="83"/>
      <c r="AC4420" s="83"/>
      <c r="AD4420" s="83"/>
      <c r="AE4420" s="83"/>
      <c r="AF4420" s="14"/>
      <c r="AG4420" s="35"/>
    </row>
    <row r="4421" spans="2:33">
      <c r="B4421" s="19"/>
      <c r="P4421" s="16"/>
      <c r="Q4421" s="36" t="s">
        <v>37</v>
      </c>
      <c r="R4421" s="13">
        <v>0</v>
      </c>
      <c r="S4421" s="13">
        <v>1766</v>
      </c>
      <c r="T4421" s="13">
        <v>0</v>
      </c>
      <c r="U4421" s="13">
        <v>931</v>
      </c>
      <c r="V4421" s="13">
        <v>0</v>
      </c>
      <c r="W4421" s="37">
        <v>1588</v>
      </c>
      <c r="X4421" s="19"/>
      <c r="AG4421" s="16"/>
    </row>
    <row r="4422" spans="2:33">
      <c r="B4422" s="19"/>
      <c r="P4422" s="16"/>
      <c r="Q4422" s="36" t="s">
        <v>38</v>
      </c>
      <c r="R4422" s="13">
        <v>0</v>
      </c>
      <c r="S4422" s="13">
        <v>0</v>
      </c>
      <c r="T4422" s="13">
        <v>0</v>
      </c>
      <c r="U4422" s="13">
        <v>1880</v>
      </c>
      <c r="V4422" s="13">
        <v>919</v>
      </c>
      <c r="W4422" s="37">
        <v>1304</v>
      </c>
      <c r="X4422" s="19"/>
      <c r="AG4422" s="16"/>
    </row>
    <row r="4423" spans="2:33">
      <c r="B4423" s="19"/>
      <c r="P4423" s="16"/>
      <c r="Q4423" s="36" t="s">
        <v>39</v>
      </c>
      <c r="R4423" s="13">
        <v>0</v>
      </c>
      <c r="S4423" s="13">
        <v>0</v>
      </c>
      <c r="T4423" s="13">
        <v>0</v>
      </c>
      <c r="U4423" s="13">
        <v>1791</v>
      </c>
      <c r="V4423" s="13">
        <v>891</v>
      </c>
      <c r="W4423" s="37">
        <v>1497</v>
      </c>
      <c r="X4423" s="19"/>
      <c r="AG4423" s="16"/>
    </row>
    <row r="4424" spans="2:33">
      <c r="B4424" s="19"/>
      <c r="P4424" s="16"/>
      <c r="Q4424" s="36" t="s">
        <v>40</v>
      </c>
      <c r="R4424" s="13">
        <v>0</v>
      </c>
      <c r="S4424" s="13">
        <v>0</v>
      </c>
      <c r="T4424" s="13">
        <v>0</v>
      </c>
      <c r="U4424" s="13">
        <v>1778</v>
      </c>
      <c r="V4424" s="13">
        <v>909</v>
      </c>
      <c r="W4424" s="37">
        <v>1375</v>
      </c>
      <c r="X4424" s="19"/>
      <c r="AG4424" s="16"/>
    </row>
    <row r="4425" spans="2:33">
      <c r="B4425" s="19"/>
      <c r="P4425" s="16"/>
      <c r="Q4425" s="36" t="s">
        <v>41</v>
      </c>
      <c r="R4425" s="13">
        <v>1907</v>
      </c>
      <c r="S4425" s="13">
        <v>0</v>
      </c>
      <c r="T4425" s="13">
        <v>995</v>
      </c>
      <c r="U4425" s="13">
        <v>0</v>
      </c>
      <c r="V4425" s="13">
        <v>0</v>
      </c>
      <c r="W4425" s="37">
        <v>1376</v>
      </c>
      <c r="X4425" s="19"/>
      <c r="AG4425" s="16"/>
    </row>
    <row r="4426" spans="2:33">
      <c r="B4426" s="19"/>
      <c r="P4426" s="16"/>
      <c r="Q4426" s="36" t="s">
        <v>42</v>
      </c>
      <c r="R4426" s="13">
        <v>1703</v>
      </c>
      <c r="S4426" s="13">
        <v>0</v>
      </c>
      <c r="T4426" s="13">
        <v>896</v>
      </c>
      <c r="U4426" s="13">
        <v>0</v>
      </c>
      <c r="V4426" s="13">
        <v>0</v>
      </c>
      <c r="W4426" s="37">
        <v>1724</v>
      </c>
      <c r="X4426" s="19"/>
      <c r="AG4426" s="16"/>
    </row>
    <row r="4427" spans="2:33">
      <c r="B4427" s="19"/>
      <c r="P4427" s="16"/>
      <c r="Q4427" s="36" t="s">
        <v>43</v>
      </c>
      <c r="R4427" s="13">
        <v>1835</v>
      </c>
      <c r="S4427" s="13">
        <v>0</v>
      </c>
      <c r="T4427" s="13">
        <v>966</v>
      </c>
      <c r="U4427" s="13">
        <v>0</v>
      </c>
      <c r="V4427" s="13">
        <v>0</v>
      </c>
      <c r="W4427" s="37">
        <v>1457</v>
      </c>
      <c r="X4427" s="19"/>
      <c r="AG4427" s="16"/>
    </row>
    <row r="4428" spans="2:33">
      <c r="B4428" s="19"/>
      <c r="P4428" s="16"/>
      <c r="Q4428" s="36" t="s">
        <v>44</v>
      </c>
      <c r="R4428" s="13">
        <v>1783</v>
      </c>
      <c r="S4428" s="13">
        <v>0</v>
      </c>
      <c r="T4428" s="13">
        <v>972</v>
      </c>
      <c r="U4428" s="13">
        <v>0</v>
      </c>
      <c r="V4428" s="13">
        <v>0</v>
      </c>
      <c r="W4428" s="37">
        <v>1441</v>
      </c>
      <c r="X4428" s="19"/>
      <c r="AG4428" s="16"/>
    </row>
    <row r="4429" spans="2:33">
      <c r="B4429" s="19"/>
      <c r="P4429" s="16"/>
      <c r="Q4429" s="36" t="s">
        <v>45</v>
      </c>
      <c r="R4429" s="13">
        <v>0</v>
      </c>
      <c r="S4429" s="13">
        <v>1554</v>
      </c>
      <c r="T4429" s="13">
        <v>876</v>
      </c>
      <c r="U4429" s="13">
        <v>0</v>
      </c>
      <c r="V4429" s="13">
        <v>0</v>
      </c>
      <c r="W4429" s="37">
        <v>1797</v>
      </c>
      <c r="X4429" s="19"/>
      <c r="AG4429" s="16"/>
    </row>
    <row r="4430" spans="2:33" ht="15" thickBot="1">
      <c r="B4430" s="20"/>
      <c r="C4430" s="15"/>
      <c r="D4430" s="15"/>
      <c r="E4430" s="15"/>
      <c r="F4430" s="15"/>
      <c r="G4430" s="15"/>
      <c r="H4430" s="15"/>
      <c r="I4430" s="15"/>
      <c r="J4430" s="15"/>
      <c r="K4430" s="15"/>
      <c r="L4430" s="15"/>
      <c r="M4430" s="15"/>
      <c r="N4430" s="15"/>
      <c r="O4430" s="15"/>
      <c r="P4430" s="17"/>
      <c r="Q4430" s="36" t="s">
        <v>46</v>
      </c>
      <c r="R4430" s="13">
        <v>0</v>
      </c>
      <c r="S4430" s="13">
        <v>1620</v>
      </c>
      <c r="T4430" s="13">
        <v>897</v>
      </c>
      <c r="U4430" s="13">
        <v>0</v>
      </c>
      <c r="V4430" s="13">
        <v>0</v>
      </c>
      <c r="W4430" s="37">
        <v>1870</v>
      </c>
      <c r="X4430" s="20"/>
      <c r="Y4430" s="15"/>
      <c r="Z4430" s="15"/>
      <c r="AA4430" s="15"/>
      <c r="AB4430" s="15"/>
      <c r="AC4430" s="15"/>
      <c r="AD4430" s="15"/>
      <c r="AE4430" s="15"/>
      <c r="AF4430" s="15"/>
      <c r="AG4430" s="17"/>
    </row>
    <row r="4432" spans="2:33" ht="15" thickBot="1">
      <c r="B4432" s="25" t="s">
        <v>2049</v>
      </c>
      <c r="C4432" s="26" t="s">
        <v>1809</v>
      </c>
      <c r="D4432" s="26" t="s">
        <v>2156</v>
      </c>
      <c r="E4432" s="26" t="s">
        <v>2157</v>
      </c>
      <c r="F4432" s="26" t="s">
        <v>941</v>
      </c>
      <c r="G4432" s="26" t="s">
        <v>835</v>
      </c>
      <c r="H4432" s="27" t="s">
        <v>693</v>
      </c>
      <c r="I4432" s="26" t="s">
        <v>2158</v>
      </c>
      <c r="J4432" s="27" t="s">
        <v>87</v>
      </c>
      <c r="K4432" s="29">
        <v>40</v>
      </c>
      <c r="L4432" s="29">
        <v>40</v>
      </c>
      <c r="M4432" s="29">
        <v>40</v>
      </c>
      <c r="N4432" s="29">
        <v>40</v>
      </c>
      <c r="O4432" s="29">
        <v>40</v>
      </c>
      <c r="P4432" s="40">
        <v>90</v>
      </c>
      <c r="Q4432" s="1" t="s">
        <v>35</v>
      </c>
      <c r="R4432" s="2">
        <v>0</v>
      </c>
      <c r="S4432" s="2">
        <v>3626</v>
      </c>
      <c r="T4432" s="2">
        <v>0</v>
      </c>
      <c r="U4432" s="2">
        <v>2332</v>
      </c>
      <c r="V4432" s="2">
        <v>0</v>
      </c>
      <c r="W4432" s="2">
        <v>4235</v>
      </c>
      <c r="X4432" s="43">
        <f>SUM(R4432:W4445)</f>
        <v>138557</v>
      </c>
      <c r="Y4432" s="10">
        <v>46204</v>
      </c>
      <c r="Z4432" s="13">
        <v>0.21822774234314721</v>
      </c>
      <c r="AA4432" s="13">
        <v>0.19176892037163287</v>
      </c>
      <c r="AB4432" s="13">
        <v>0.16994687607165501</v>
      </c>
      <c r="AC4432" s="13">
        <v>0.13533276805163061</v>
      </c>
      <c r="AD4432" s="13">
        <v>0.11849120346270935</v>
      </c>
      <c r="AE4432" s="13">
        <v>0.13112980089791482</v>
      </c>
      <c r="AF4432" s="11">
        <v>0.2</v>
      </c>
      <c r="AG4432" s="11">
        <v>1.2709999999999999</v>
      </c>
    </row>
    <row r="4433" spans="2:33">
      <c r="B4433" s="18"/>
      <c r="C4433" s="14"/>
      <c r="D4433" s="14"/>
      <c r="E4433" s="14"/>
      <c r="F4433" s="14"/>
      <c r="G4433" s="14"/>
      <c r="H4433" s="14"/>
      <c r="I4433" s="14"/>
      <c r="J4433" s="14"/>
      <c r="K4433" s="14"/>
      <c r="L4433" s="14"/>
      <c r="M4433" s="14"/>
      <c r="N4433" s="14"/>
      <c r="O4433" s="14"/>
      <c r="P4433" s="35"/>
      <c r="Q4433" s="36" t="s">
        <v>2159</v>
      </c>
      <c r="R4433" s="13">
        <v>0</v>
      </c>
      <c r="S4433" s="13">
        <v>320</v>
      </c>
      <c r="T4433" s="13">
        <v>0</v>
      </c>
      <c r="U4433" s="13">
        <v>196</v>
      </c>
      <c r="V4433" s="13">
        <v>0</v>
      </c>
      <c r="W4433" s="37">
        <v>665</v>
      </c>
      <c r="X4433" s="18"/>
      <c r="Y4433" s="14"/>
      <c r="Z4433" s="83"/>
      <c r="AA4433" s="83"/>
      <c r="AB4433" s="83"/>
      <c r="AC4433" s="83"/>
      <c r="AD4433" s="83"/>
      <c r="AE4433" s="83"/>
      <c r="AF4433" s="14"/>
      <c r="AG4433" s="35"/>
    </row>
    <row r="4434" spans="2:33">
      <c r="B4434" s="19"/>
      <c r="P4434" s="16"/>
      <c r="Q4434" s="36" t="s">
        <v>1022</v>
      </c>
      <c r="R4434" s="13">
        <v>0</v>
      </c>
      <c r="S4434" s="13">
        <v>3276</v>
      </c>
      <c r="T4434" s="13">
        <v>0</v>
      </c>
      <c r="U4434" s="13">
        <v>2015</v>
      </c>
      <c r="V4434" s="13">
        <v>0</v>
      </c>
      <c r="W4434" s="37">
        <v>2408</v>
      </c>
      <c r="X4434" s="19"/>
      <c r="AG4434" s="16"/>
    </row>
    <row r="4435" spans="2:33">
      <c r="B4435" s="19"/>
      <c r="P4435" s="16"/>
      <c r="Q4435" s="36" t="s">
        <v>37</v>
      </c>
      <c r="R4435" s="13">
        <v>0</v>
      </c>
      <c r="S4435" s="13">
        <v>3819</v>
      </c>
      <c r="T4435" s="13">
        <v>0</v>
      </c>
      <c r="U4435" s="13">
        <v>2449</v>
      </c>
      <c r="V4435" s="13">
        <v>0</v>
      </c>
      <c r="W4435" s="37">
        <v>4026</v>
      </c>
      <c r="X4435" s="19"/>
      <c r="AG4435" s="16"/>
    </row>
    <row r="4436" spans="2:33">
      <c r="B4436" s="19"/>
      <c r="P4436" s="16"/>
      <c r="Q4436" s="36" t="s">
        <v>38</v>
      </c>
      <c r="R4436" s="13">
        <v>0</v>
      </c>
      <c r="S4436" s="13">
        <v>0</v>
      </c>
      <c r="T4436" s="13">
        <v>0</v>
      </c>
      <c r="U4436" s="13">
        <v>4236</v>
      </c>
      <c r="V4436" s="13">
        <v>2894</v>
      </c>
      <c r="W4436" s="37">
        <v>4727</v>
      </c>
      <c r="X4436" s="19"/>
      <c r="AG4436" s="16"/>
    </row>
    <row r="4437" spans="2:33">
      <c r="B4437" s="19"/>
      <c r="P4437" s="16"/>
      <c r="Q4437" s="36" t="s">
        <v>39</v>
      </c>
      <c r="R4437" s="13">
        <v>0</v>
      </c>
      <c r="S4437" s="13">
        <v>0</v>
      </c>
      <c r="T4437" s="13">
        <v>0</v>
      </c>
      <c r="U4437" s="13">
        <v>4380</v>
      </c>
      <c r="V4437" s="13">
        <v>2924</v>
      </c>
      <c r="W4437" s="37">
        <v>5389</v>
      </c>
      <c r="X4437" s="19"/>
      <c r="AG4437" s="16"/>
    </row>
    <row r="4438" spans="2:33">
      <c r="B4438" s="19"/>
      <c r="P4438" s="16"/>
      <c r="Q4438" s="36" t="s">
        <v>2160</v>
      </c>
      <c r="R4438" s="13">
        <v>0</v>
      </c>
      <c r="S4438" s="13">
        <v>0</v>
      </c>
      <c r="T4438" s="13">
        <v>0</v>
      </c>
      <c r="U4438" s="13">
        <v>1192</v>
      </c>
      <c r="V4438" s="13">
        <v>781</v>
      </c>
      <c r="W4438" s="37">
        <v>1550</v>
      </c>
      <c r="X4438" s="19"/>
      <c r="AG4438" s="16"/>
    </row>
    <row r="4439" spans="2:33">
      <c r="B4439" s="19"/>
      <c r="P4439" s="16"/>
      <c r="Q4439" s="36" t="s">
        <v>2161</v>
      </c>
      <c r="R4439" s="13">
        <v>0</v>
      </c>
      <c r="S4439" s="13">
        <v>0</v>
      </c>
      <c r="T4439" s="13">
        <v>0</v>
      </c>
      <c r="U4439" s="13">
        <v>3664</v>
      </c>
      <c r="V4439" s="13">
        <v>2299</v>
      </c>
      <c r="W4439" s="37">
        <v>3305</v>
      </c>
      <c r="X4439" s="19"/>
      <c r="AG4439" s="16"/>
    </row>
    <row r="4440" spans="2:33">
      <c r="B4440" s="19"/>
      <c r="P4440" s="16"/>
      <c r="Q4440" s="36" t="s">
        <v>41</v>
      </c>
      <c r="R4440" s="13">
        <v>5640</v>
      </c>
      <c r="S4440" s="13">
        <v>0</v>
      </c>
      <c r="T4440" s="13">
        <v>3544</v>
      </c>
      <c r="U4440" s="13">
        <v>0</v>
      </c>
      <c r="V4440" s="13">
        <v>0</v>
      </c>
      <c r="W4440" s="37">
        <v>3702</v>
      </c>
      <c r="X4440" s="19"/>
      <c r="AG4440" s="16"/>
    </row>
    <row r="4441" spans="2:33">
      <c r="B4441" s="19"/>
      <c r="P4441" s="16"/>
      <c r="Q4441" s="36" t="s">
        <v>42</v>
      </c>
      <c r="R4441" s="13">
        <v>5165</v>
      </c>
      <c r="S4441" s="13">
        <v>0</v>
      </c>
      <c r="T4441" s="13">
        <v>3391</v>
      </c>
      <c r="U4441" s="13">
        <v>0</v>
      </c>
      <c r="V4441" s="13">
        <v>0</v>
      </c>
      <c r="W4441" s="37">
        <v>4650</v>
      </c>
      <c r="X4441" s="19"/>
      <c r="AG4441" s="16"/>
    </row>
    <row r="4442" spans="2:33">
      <c r="B4442" s="19"/>
      <c r="P4442" s="16"/>
      <c r="Q4442" s="36" t="s">
        <v>43</v>
      </c>
      <c r="R4442" s="13">
        <v>5112</v>
      </c>
      <c r="S4442" s="13">
        <v>0</v>
      </c>
      <c r="T4442" s="13">
        <v>3329</v>
      </c>
      <c r="U4442" s="13">
        <v>0</v>
      </c>
      <c r="V4442" s="13">
        <v>0</v>
      </c>
      <c r="W4442" s="37">
        <v>4750</v>
      </c>
      <c r="X4442" s="19"/>
      <c r="AG4442" s="16"/>
    </row>
    <row r="4443" spans="2:33">
      <c r="B4443" s="19"/>
      <c r="P4443" s="16"/>
      <c r="Q4443" s="36" t="s">
        <v>44</v>
      </c>
      <c r="R4443" s="13">
        <v>5062</v>
      </c>
      <c r="S4443" s="13">
        <v>0</v>
      </c>
      <c r="T4443" s="13">
        <v>3150</v>
      </c>
      <c r="U4443" s="13">
        <v>0</v>
      </c>
      <c r="V4443" s="13">
        <v>0</v>
      </c>
      <c r="W4443" s="37">
        <v>4120</v>
      </c>
      <c r="X4443" s="19"/>
      <c r="AG4443" s="16"/>
    </row>
    <row r="4444" spans="2:33">
      <c r="B4444" s="19"/>
      <c r="P4444" s="16"/>
      <c r="Q4444" s="36" t="s">
        <v>45</v>
      </c>
      <c r="R4444" s="13">
        <v>0</v>
      </c>
      <c r="S4444" s="13">
        <v>3809</v>
      </c>
      <c r="T4444" s="13">
        <v>2393</v>
      </c>
      <c r="U4444" s="13">
        <v>0</v>
      </c>
      <c r="V4444" s="13">
        <v>0</v>
      </c>
      <c r="W4444" s="37">
        <v>4145</v>
      </c>
      <c r="X4444" s="19"/>
      <c r="AG4444" s="16"/>
    </row>
    <row r="4445" spans="2:33" ht="15" thickBot="1">
      <c r="B4445" s="20"/>
      <c r="C4445" s="15"/>
      <c r="D4445" s="15"/>
      <c r="E4445" s="15"/>
      <c r="F4445" s="15"/>
      <c r="G4445" s="15"/>
      <c r="H4445" s="15"/>
      <c r="I4445" s="15"/>
      <c r="J4445" s="15"/>
      <c r="K4445" s="15"/>
      <c r="L4445" s="15"/>
      <c r="M4445" s="15"/>
      <c r="N4445" s="15"/>
      <c r="O4445" s="15"/>
      <c r="P4445" s="17"/>
      <c r="Q4445" s="36" t="s">
        <v>46</v>
      </c>
      <c r="R4445" s="13">
        <v>0</v>
      </c>
      <c r="S4445" s="13">
        <v>3580</v>
      </c>
      <c r="T4445" s="13">
        <v>2293</v>
      </c>
      <c r="U4445" s="13">
        <v>0</v>
      </c>
      <c r="V4445" s="13">
        <v>0</v>
      </c>
      <c r="W4445" s="37">
        <v>4014</v>
      </c>
      <c r="X4445" s="20"/>
      <c r="Y4445" s="15"/>
      <c r="Z4445" s="15"/>
      <c r="AA4445" s="15"/>
      <c r="AB4445" s="15"/>
      <c r="AC4445" s="15"/>
      <c r="AD4445" s="15"/>
      <c r="AE4445" s="15"/>
      <c r="AF4445" s="15"/>
      <c r="AG4445" s="17"/>
    </row>
    <row r="4447" spans="2:33" ht="15" thickBot="1">
      <c r="B4447" s="25" t="s">
        <v>2049</v>
      </c>
      <c r="C4447" s="26" t="s">
        <v>1809</v>
      </c>
      <c r="D4447" s="26" t="s">
        <v>2162</v>
      </c>
      <c r="E4447" s="26" t="s">
        <v>2163</v>
      </c>
      <c r="F4447" s="26" t="s">
        <v>2164</v>
      </c>
      <c r="G4447" s="26" t="s">
        <v>2165</v>
      </c>
      <c r="H4447" s="27" t="s">
        <v>693</v>
      </c>
      <c r="I4447" s="26" t="s">
        <v>2166</v>
      </c>
      <c r="J4447" s="27" t="s">
        <v>87</v>
      </c>
      <c r="K4447" s="29">
        <v>42.299999237060497</v>
      </c>
      <c r="L4447" s="29">
        <v>42.299999237060497</v>
      </c>
      <c r="M4447" s="29">
        <v>42.299999237060497</v>
      </c>
      <c r="N4447" s="29">
        <v>42.299999237060497</v>
      </c>
      <c r="O4447" s="29">
        <v>42.299999237060497</v>
      </c>
      <c r="P4447" s="40">
        <v>42.299999237060497</v>
      </c>
      <c r="Q4447" s="1" t="s">
        <v>2167</v>
      </c>
      <c r="R4447" s="2">
        <v>2261</v>
      </c>
      <c r="S4447" s="2">
        <v>0</v>
      </c>
      <c r="T4447" s="2">
        <v>1759</v>
      </c>
      <c r="U4447" s="2">
        <v>503</v>
      </c>
      <c r="V4447" s="2">
        <v>391</v>
      </c>
      <c r="W4447" s="2">
        <v>5137</v>
      </c>
      <c r="X4447" s="43">
        <f>SUM(R4447:W4451)</f>
        <v>50839</v>
      </c>
      <c r="Y4447" s="10">
        <v>46204</v>
      </c>
      <c r="Z4447" s="13">
        <v>0.21822774234314721</v>
      </c>
      <c r="AA4447" s="13">
        <v>0.19176892037163287</v>
      </c>
      <c r="AB4447" s="13">
        <v>0.16994687607165501</v>
      </c>
      <c r="AC4447" s="13">
        <v>0.13533276805163061</v>
      </c>
      <c r="AD4447" s="13">
        <v>0.11849120346270935</v>
      </c>
      <c r="AE4447" s="13">
        <v>0.13112980089791482</v>
      </c>
      <c r="AF4447" s="11">
        <v>0.2</v>
      </c>
      <c r="AG4447" s="11">
        <v>1.2709999999999999</v>
      </c>
    </row>
    <row r="4448" spans="2:33">
      <c r="B4448" s="18"/>
      <c r="C4448" s="14"/>
      <c r="D4448" s="14"/>
      <c r="E4448" s="14"/>
      <c r="F4448" s="14"/>
      <c r="G4448" s="14"/>
      <c r="H4448" s="14"/>
      <c r="I4448" s="14"/>
      <c r="J4448" s="14"/>
      <c r="K4448" s="14"/>
      <c r="L4448" s="14"/>
      <c r="M4448" s="14"/>
      <c r="N4448" s="14"/>
      <c r="O4448" s="14"/>
      <c r="P4448" s="35"/>
      <c r="Q4448" s="36" t="s">
        <v>2168</v>
      </c>
      <c r="R4448" s="13">
        <v>3141</v>
      </c>
      <c r="S4448" s="13">
        <v>0</v>
      </c>
      <c r="T4448" s="13">
        <v>2443</v>
      </c>
      <c r="U4448" s="13">
        <v>0</v>
      </c>
      <c r="V4448" s="13">
        <v>0</v>
      </c>
      <c r="W4448" s="37">
        <v>7147</v>
      </c>
      <c r="X4448" s="18"/>
      <c r="Y4448" s="14"/>
      <c r="Z4448" s="83"/>
      <c r="AA4448" s="83"/>
      <c r="AB4448" s="83"/>
      <c r="AC4448" s="83"/>
      <c r="AD4448" s="83"/>
      <c r="AE4448" s="83"/>
      <c r="AF4448" s="14"/>
      <c r="AG4448" s="35"/>
    </row>
    <row r="4449" spans="2:33">
      <c r="B4449" s="19"/>
      <c r="P4449" s="16"/>
      <c r="Q4449" s="36" t="s">
        <v>43</v>
      </c>
      <c r="R4449" s="13">
        <v>2764</v>
      </c>
      <c r="S4449" s="13">
        <v>0</v>
      </c>
      <c r="T4449" s="13">
        <v>2150</v>
      </c>
      <c r="U4449" s="13">
        <v>0</v>
      </c>
      <c r="V4449" s="13">
        <v>0</v>
      </c>
      <c r="W4449" s="37">
        <v>5137</v>
      </c>
      <c r="X4449" s="19"/>
      <c r="AG4449" s="16"/>
    </row>
    <row r="4450" spans="2:33">
      <c r="B4450" s="19"/>
      <c r="P4450" s="16"/>
      <c r="Q4450" s="36" t="s">
        <v>2169</v>
      </c>
      <c r="R4450" s="13">
        <v>7463</v>
      </c>
      <c r="S4450" s="13">
        <v>3000</v>
      </c>
      <c r="T4450" s="13">
        <v>4672</v>
      </c>
      <c r="U4450" s="13">
        <v>-49</v>
      </c>
      <c r="V4450" s="13">
        <v>-73</v>
      </c>
      <c r="W4450" s="37">
        <v>-6606</v>
      </c>
      <c r="X4450" s="19"/>
      <c r="AG4450" s="16"/>
    </row>
    <row r="4451" spans="2:33" ht="15" thickBot="1">
      <c r="B4451" s="20"/>
      <c r="C4451" s="15"/>
      <c r="D4451" s="15"/>
      <c r="E4451" s="15"/>
      <c r="F4451" s="15"/>
      <c r="G4451" s="15"/>
      <c r="H4451" s="15"/>
      <c r="I4451" s="15"/>
      <c r="J4451" s="15"/>
      <c r="K4451" s="15"/>
      <c r="L4451" s="15"/>
      <c r="M4451" s="15"/>
      <c r="N4451" s="15"/>
      <c r="O4451" s="15"/>
      <c r="P4451" s="17"/>
      <c r="Q4451" s="36" t="s">
        <v>753</v>
      </c>
      <c r="R4451" s="13">
        <v>0</v>
      </c>
      <c r="S4451" s="13">
        <v>3853</v>
      </c>
      <c r="T4451" s="13">
        <v>2066</v>
      </c>
      <c r="U4451" s="13">
        <v>0</v>
      </c>
      <c r="V4451" s="13">
        <v>0</v>
      </c>
      <c r="W4451" s="37">
        <v>3680</v>
      </c>
      <c r="X4451" s="20"/>
      <c r="Y4451" s="15"/>
      <c r="Z4451" s="15"/>
      <c r="AA4451" s="15"/>
      <c r="AB4451" s="15"/>
      <c r="AC4451" s="15"/>
      <c r="AD4451" s="15"/>
      <c r="AE4451" s="15"/>
      <c r="AF4451" s="15"/>
      <c r="AG4451" s="17"/>
    </row>
    <row r="4453" spans="2:33" ht="15" thickBot="1">
      <c r="B4453" s="25" t="s">
        <v>2049</v>
      </c>
      <c r="C4453" s="26" t="s">
        <v>1809</v>
      </c>
      <c r="D4453" s="26" t="s">
        <v>2170</v>
      </c>
      <c r="E4453" s="26" t="s">
        <v>2171</v>
      </c>
      <c r="F4453" s="26" t="s">
        <v>2172</v>
      </c>
      <c r="G4453" s="26" t="s">
        <v>2173</v>
      </c>
      <c r="H4453" s="27" t="s">
        <v>821</v>
      </c>
      <c r="I4453" s="26" t="s">
        <v>2174</v>
      </c>
      <c r="J4453" s="27" t="s">
        <v>87</v>
      </c>
      <c r="K4453" s="29">
        <v>70</v>
      </c>
      <c r="L4453" s="29">
        <v>70</v>
      </c>
      <c r="M4453" s="29">
        <v>70</v>
      </c>
      <c r="N4453" s="29">
        <v>70</v>
      </c>
      <c r="O4453" s="29">
        <v>70</v>
      </c>
      <c r="P4453" s="40">
        <v>70</v>
      </c>
      <c r="Q4453" s="1" t="s">
        <v>2175</v>
      </c>
      <c r="R4453" s="2">
        <v>0</v>
      </c>
      <c r="S4453" s="2">
        <v>0</v>
      </c>
      <c r="T4453" s="2">
        <v>0</v>
      </c>
      <c r="U4453" s="2">
        <v>5573</v>
      </c>
      <c r="V4453" s="2">
        <v>3375</v>
      </c>
      <c r="W4453" s="2">
        <v>2977</v>
      </c>
      <c r="X4453" s="43">
        <f>SUM(R4453:W4461)</f>
        <v>98460</v>
      </c>
      <c r="Y4453" s="10">
        <v>46204</v>
      </c>
      <c r="Z4453" s="13">
        <v>0.21822774234314721</v>
      </c>
      <c r="AA4453" s="13">
        <v>0.19176892037163287</v>
      </c>
      <c r="AB4453" s="13">
        <v>0.16994687607165501</v>
      </c>
      <c r="AC4453" s="13">
        <v>0.13533276805163061</v>
      </c>
      <c r="AD4453" s="13">
        <v>0.11849120346270935</v>
      </c>
      <c r="AE4453" s="13">
        <v>0.13112980089791482</v>
      </c>
      <c r="AF4453" s="11">
        <v>0.2</v>
      </c>
      <c r="AG4453" s="11">
        <v>1.2709999999999999</v>
      </c>
    </row>
    <row r="4454" spans="2:33">
      <c r="B4454" s="18"/>
      <c r="C4454" s="14"/>
      <c r="D4454" s="14"/>
      <c r="E4454" s="14"/>
      <c r="F4454" s="14"/>
      <c r="G4454" s="14"/>
      <c r="H4454" s="14"/>
      <c r="I4454" s="14"/>
      <c r="J4454" s="14"/>
      <c r="K4454" s="14"/>
      <c r="L4454" s="14"/>
      <c r="M4454" s="14"/>
      <c r="N4454" s="14"/>
      <c r="O4454" s="14"/>
      <c r="P4454" s="35"/>
      <c r="Q4454" s="36" t="s">
        <v>2176</v>
      </c>
      <c r="R4454" s="13">
        <v>3542</v>
      </c>
      <c r="S4454" s="13">
        <v>0</v>
      </c>
      <c r="T4454" s="13">
        <v>2169</v>
      </c>
      <c r="U4454" s="13">
        <v>0</v>
      </c>
      <c r="V4454" s="13">
        <v>0</v>
      </c>
      <c r="W4454" s="37">
        <v>1670</v>
      </c>
      <c r="X4454" s="18"/>
      <c r="Y4454" s="14"/>
      <c r="Z4454" s="83"/>
      <c r="AA4454" s="83"/>
      <c r="AB4454" s="83"/>
      <c r="AC4454" s="83"/>
      <c r="AD4454" s="83"/>
      <c r="AE4454" s="83"/>
      <c r="AF4454" s="14"/>
      <c r="AG4454" s="35"/>
    </row>
    <row r="4455" spans="2:33">
      <c r="B4455" s="19"/>
      <c r="P4455" s="16"/>
      <c r="Q4455" s="36" t="s">
        <v>2177</v>
      </c>
      <c r="R4455" s="13">
        <v>3977</v>
      </c>
      <c r="S4455" s="13">
        <v>0</v>
      </c>
      <c r="T4455" s="13">
        <v>2517</v>
      </c>
      <c r="U4455" s="13">
        <v>0</v>
      </c>
      <c r="V4455" s="13">
        <v>0</v>
      </c>
      <c r="W4455" s="37">
        <v>1991</v>
      </c>
      <c r="X4455" s="19"/>
      <c r="AG4455" s="16"/>
    </row>
    <row r="4456" spans="2:33">
      <c r="B4456" s="19"/>
      <c r="P4456" s="16"/>
      <c r="Q4456" s="36" t="s">
        <v>42</v>
      </c>
      <c r="R4456" s="13">
        <v>6776</v>
      </c>
      <c r="S4456" s="13">
        <v>0</v>
      </c>
      <c r="T4456" s="13">
        <v>4166</v>
      </c>
      <c r="U4456" s="13">
        <v>0</v>
      </c>
      <c r="V4456" s="13">
        <v>0</v>
      </c>
      <c r="W4456" s="37">
        <v>4411</v>
      </c>
      <c r="X4456" s="19"/>
      <c r="AG4456" s="16"/>
    </row>
    <row r="4457" spans="2:33">
      <c r="B4457" s="19"/>
      <c r="P4457" s="16"/>
      <c r="Q4457" s="36" t="s">
        <v>43</v>
      </c>
      <c r="R4457" s="13">
        <v>7203</v>
      </c>
      <c r="S4457" s="13">
        <v>0</v>
      </c>
      <c r="T4457" s="13">
        <v>4428</v>
      </c>
      <c r="U4457" s="13">
        <v>0</v>
      </c>
      <c r="V4457" s="13">
        <v>0</v>
      </c>
      <c r="W4457" s="37">
        <v>3275</v>
      </c>
      <c r="X4457" s="19"/>
      <c r="AG4457" s="16"/>
    </row>
    <row r="4458" spans="2:33">
      <c r="B4458" s="19"/>
      <c r="P4458" s="16"/>
      <c r="Q4458" s="36" t="s">
        <v>2178</v>
      </c>
      <c r="R4458" s="13">
        <v>4400</v>
      </c>
      <c r="S4458" s="13">
        <v>0</v>
      </c>
      <c r="T4458" s="13">
        <v>2496</v>
      </c>
      <c r="U4458" s="13">
        <v>0</v>
      </c>
      <c r="V4458" s="13">
        <v>0</v>
      </c>
      <c r="W4458" s="37">
        <v>2288</v>
      </c>
      <c r="X4458" s="19"/>
      <c r="AG4458" s="16"/>
    </row>
    <row r="4459" spans="2:33">
      <c r="B4459" s="19"/>
      <c r="P4459" s="16"/>
      <c r="Q4459" s="36" t="s">
        <v>2179</v>
      </c>
      <c r="R4459" s="13">
        <v>3272</v>
      </c>
      <c r="S4459" s="13">
        <v>0</v>
      </c>
      <c r="T4459" s="13">
        <v>2019</v>
      </c>
      <c r="U4459" s="13">
        <v>0</v>
      </c>
      <c r="V4459" s="13">
        <v>0</v>
      </c>
      <c r="W4459" s="37">
        <v>1044</v>
      </c>
      <c r="X4459" s="19"/>
      <c r="AG4459" s="16"/>
    </row>
    <row r="4460" spans="2:33">
      <c r="B4460" s="19"/>
      <c r="P4460" s="16"/>
      <c r="Q4460" s="36" t="s">
        <v>45</v>
      </c>
      <c r="R4460" s="13">
        <v>0</v>
      </c>
      <c r="S4460" s="13">
        <v>6123</v>
      </c>
      <c r="T4460" s="13">
        <v>3710</v>
      </c>
      <c r="U4460" s="13">
        <v>0</v>
      </c>
      <c r="V4460" s="13">
        <v>0</v>
      </c>
      <c r="W4460" s="37">
        <v>3823</v>
      </c>
      <c r="X4460" s="19"/>
      <c r="AG4460" s="16"/>
    </row>
    <row r="4461" spans="2:33" ht="15" thickBot="1">
      <c r="B4461" s="20"/>
      <c r="C4461" s="15"/>
      <c r="D4461" s="15"/>
      <c r="E4461" s="15"/>
      <c r="F4461" s="15"/>
      <c r="G4461" s="15"/>
      <c r="H4461" s="15"/>
      <c r="I4461" s="15"/>
      <c r="J4461" s="15"/>
      <c r="K4461" s="15"/>
      <c r="L4461" s="15"/>
      <c r="M4461" s="15"/>
      <c r="N4461" s="15"/>
      <c r="O4461" s="15"/>
      <c r="P4461" s="17"/>
      <c r="Q4461" s="36" t="s">
        <v>46</v>
      </c>
      <c r="R4461" s="13">
        <v>0</v>
      </c>
      <c r="S4461" s="13">
        <v>4752</v>
      </c>
      <c r="T4461" s="13">
        <v>2985</v>
      </c>
      <c r="U4461" s="13">
        <v>0</v>
      </c>
      <c r="V4461" s="13">
        <v>0</v>
      </c>
      <c r="W4461" s="37">
        <v>3498</v>
      </c>
      <c r="X4461" s="20"/>
      <c r="Y4461" s="15"/>
      <c r="Z4461" s="15"/>
      <c r="AA4461" s="15"/>
      <c r="AB4461" s="15"/>
      <c r="AC4461" s="15"/>
      <c r="AD4461" s="15"/>
      <c r="AE4461" s="15"/>
      <c r="AF4461" s="15"/>
      <c r="AG4461" s="17"/>
    </row>
    <row r="4462" spans="2:33" ht="15" thickBot="1">
      <c r="Q4462" s="36"/>
      <c r="W4462" s="37"/>
    </row>
    <row r="4463" spans="2:33" ht="15" thickBot="1">
      <c r="B4463" s="53" t="s">
        <v>2195</v>
      </c>
      <c r="C4463" s="26" t="s">
        <v>1770</v>
      </c>
      <c r="D4463" s="26" t="s">
        <v>1771</v>
      </c>
      <c r="E4463" s="26" t="s">
        <v>1772</v>
      </c>
      <c r="F4463" s="26" t="s">
        <v>1773</v>
      </c>
      <c r="G4463" s="26" t="s">
        <v>1774</v>
      </c>
      <c r="H4463" s="27" t="s">
        <v>693</v>
      </c>
      <c r="I4463" s="26" t="s">
        <v>1775</v>
      </c>
      <c r="J4463" s="27" t="s">
        <v>56</v>
      </c>
      <c r="K4463" s="29">
        <v>5.75</v>
      </c>
      <c r="L4463" s="29">
        <v>5.75</v>
      </c>
      <c r="M4463" s="29">
        <v>5.75</v>
      </c>
      <c r="N4463" s="29" t="s">
        <v>96</v>
      </c>
      <c r="O4463" s="29" t="s">
        <v>96</v>
      </c>
      <c r="P4463" s="40" t="s">
        <v>96</v>
      </c>
      <c r="Q4463" s="1" t="s">
        <v>1776</v>
      </c>
      <c r="R4463" s="2">
        <v>282</v>
      </c>
      <c r="S4463" s="2">
        <v>200</v>
      </c>
      <c r="T4463" s="2">
        <v>341</v>
      </c>
      <c r="U4463" s="2">
        <v>0</v>
      </c>
      <c r="V4463" s="2">
        <v>0</v>
      </c>
      <c r="W4463" s="2">
        <v>0</v>
      </c>
      <c r="X4463" s="43">
        <f>SUM(R4463:W4475)</f>
        <v>14034.289993286133</v>
      </c>
      <c r="Y4463" s="10">
        <v>46204</v>
      </c>
      <c r="Z4463" s="84">
        <v>0.24283387277221363</v>
      </c>
      <c r="AA4463" s="84">
        <v>0.17030142298052031</v>
      </c>
      <c r="AB4463" s="84">
        <v>0.12984680089791481</v>
      </c>
      <c r="AC4463" s="13"/>
      <c r="AD4463" s="13"/>
      <c r="AE4463" s="13"/>
      <c r="AF4463" s="11">
        <v>0.2</v>
      </c>
      <c r="AG4463" s="11">
        <v>1.2709999999999999</v>
      </c>
    </row>
    <row r="4464" spans="2:33"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4"/>
      <c r="P4464" s="35"/>
      <c r="Q4464" s="36" t="s">
        <v>1777</v>
      </c>
      <c r="R4464" s="13">
        <v>303</v>
      </c>
      <c r="S4464" s="13">
        <v>222</v>
      </c>
      <c r="T4464" s="13">
        <v>268</v>
      </c>
      <c r="U4464" s="13">
        <v>0</v>
      </c>
      <c r="V4464" s="13">
        <v>0</v>
      </c>
      <c r="W4464" s="37">
        <v>0</v>
      </c>
      <c r="X4464" s="18"/>
      <c r="Y4464" s="14"/>
      <c r="Z4464" s="83"/>
      <c r="AA4464" s="83"/>
      <c r="AB4464" s="83"/>
      <c r="AC4464" s="83"/>
      <c r="AD4464" s="83"/>
      <c r="AE4464" s="83"/>
      <c r="AF4464" s="14"/>
      <c r="AG4464" s="35"/>
    </row>
    <row r="4465" spans="2:33">
      <c r="B4465" s="19"/>
      <c r="P4465" s="16"/>
      <c r="Q4465" s="36" t="s">
        <v>1778</v>
      </c>
      <c r="R4465" s="13">
        <v>262.67999267578125</v>
      </c>
      <c r="S4465" s="13">
        <v>197.96000671386719</v>
      </c>
      <c r="T4465" s="13">
        <v>262.64999389648438</v>
      </c>
      <c r="U4465" s="13">
        <v>0</v>
      </c>
      <c r="V4465" s="13">
        <v>0</v>
      </c>
      <c r="W4465" s="37">
        <v>0</v>
      </c>
      <c r="X4465" s="19"/>
      <c r="AG4465" s="16"/>
    </row>
    <row r="4466" spans="2:33">
      <c r="B4466" s="19"/>
      <c r="P4466" s="16"/>
      <c r="Q4466" s="36" t="s">
        <v>1779</v>
      </c>
      <c r="R4466" s="13">
        <v>367</v>
      </c>
      <c r="S4466" s="13">
        <v>287</v>
      </c>
      <c r="T4466" s="13">
        <v>324</v>
      </c>
      <c r="U4466" s="13">
        <v>0</v>
      </c>
      <c r="V4466" s="13">
        <v>0</v>
      </c>
      <c r="W4466" s="37">
        <v>0</v>
      </c>
      <c r="X4466" s="19"/>
      <c r="AG4466" s="16"/>
    </row>
    <row r="4467" spans="2:33">
      <c r="B4467" s="19"/>
      <c r="P4467" s="16"/>
      <c r="Q4467" s="36" t="s">
        <v>1780</v>
      </c>
      <c r="R4467" s="13">
        <v>323</v>
      </c>
      <c r="S4467" s="13">
        <v>249</v>
      </c>
      <c r="T4467" s="13">
        <v>333</v>
      </c>
      <c r="U4467" s="13">
        <v>0</v>
      </c>
      <c r="V4467" s="13">
        <v>0</v>
      </c>
      <c r="W4467" s="37">
        <v>0</v>
      </c>
      <c r="X4467" s="19"/>
      <c r="AG4467" s="16"/>
    </row>
    <row r="4468" spans="2:33">
      <c r="B4468" s="19"/>
      <c r="P4468" s="16"/>
      <c r="Q4468" s="36" t="s">
        <v>289</v>
      </c>
      <c r="R4468" s="13">
        <v>387</v>
      </c>
      <c r="S4468" s="13">
        <v>302</v>
      </c>
      <c r="T4468" s="13">
        <v>344</v>
      </c>
      <c r="U4468" s="13">
        <v>0</v>
      </c>
      <c r="V4468" s="13">
        <v>0</v>
      </c>
      <c r="W4468" s="37">
        <v>0</v>
      </c>
      <c r="X4468" s="19"/>
      <c r="AG4468" s="16"/>
    </row>
    <row r="4469" spans="2:33">
      <c r="B4469" s="19"/>
      <c r="P4469" s="16"/>
      <c r="Q4469" s="36" t="s">
        <v>290</v>
      </c>
      <c r="R4469" s="13">
        <v>443</v>
      </c>
      <c r="S4469" s="13">
        <v>319</v>
      </c>
      <c r="T4469" s="13">
        <v>331</v>
      </c>
      <c r="U4469" s="13">
        <v>0</v>
      </c>
      <c r="V4469" s="13">
        <v>0</v>
      </c>
      <c r="W4469" s="37">
        <v>0</v>
      </c>
      <c r="X4469" s="19"/>
      <c r="AG4469" s="16"/>
    </row>
    <row r="4470" spans="2:33">
      <c r="B4470" s="19"/>
      <c r="P4470" s="16"/>
      <c r="Q4470" s="36" t="s">
        <v>1781</v>
      </c>
      <c r="R4470" s="13">
        <v>777</v>
      </c>
      <c r="S4470" s="13">
        <v>516</v>
      </c>
      <c r="T4470" s="13">
        <v>464</v>
      </c>
      <c r="U4470" s="13">
        <v>0</v>
      </c>
      <c r="V4470" s="13">
        <v>0</v>
      </c>
      <c r="W4470" s="37">
        <v>0</v>
      </c>
      <c r="X4470" s="19"/>
      <c r="AG4470" s="16"/>
    </row>
    <row r="4471" spans="2:33">
      <c r="B4471" s="19"/>
      <c r="P4471" s="16"/>
      <c r="Q4471" s="36" t="s">
        <v>1782</v>
      </c>
      <c r="R4471" s="13">
        <v>592</v>
      </c>
      <c r="S4471" s="13">
        <v>413</v>
      </c>
      <c r="T4471" s="13">
        <v>365</v>
      </c>
      <c r="U4471" s="13">
        <v>0</v>
      </c>
      <c r="V4471" s="13">
        <v>0</v>
      </c>
      <c r="W4471" s="37">
        <v>0</v>
      </c>
      <c r="X4471" s="19"/>
      <c r="AG4471" s="16"/>
    </row>
    <row r="4472" spans="2:33">
      <c r="B4472" s="19"/>
      <c r="P4472" s="16"/>
      <c r="Q4472" s="36" t="s">
        <v>1783</v>
      </c>
      <c r="R4472" s="13">
        <v>585</v>
      </c>
      <c r="S4472" s="13">
        <v>443</v>
      </c>
      <c r="T4472" s="13">
        <v>450</v>
      </c>
      <c r="U4472" s="13">
        <v>0</v>
      </c>
      <c r="V4472" s="13">
        <v>0</v>
      </c>
      <c r="W4472" s="37">
        <v>0</v>
      </c>
      <c r="X4472" s="19"/>
      <c r="AG4472" s="16"/>
    </row>
    <row r="4473" spans="2:33">
      <c r="B4473" s="19"/>
      <c r="P4473" s="16"/>
      <c r="Q4473" s="36" t="s">
        <v>1784</v>
      </c>
      <c r="R4473" s="13">
        <v>509</v>
      </c>
      <c r="S4473" s="13">
        <v>372</v>
      </c>
      <c r="T4473" s="13">
        <v>465</v>
      </c>
      <c r="U4473" s="13">
        <v>0</v>
      </c>
      <c r="V4473" s="13">
        <v>0</v>
      </c>
      <c r="W4473" s="37">
        <v>0</v>
      </c>
      <c r="X4473" s="19"/>
      <c r="AG4473" s="16"/>
    </row>
    <row r="4474" spans="2:33">
      <c r="B4474" s="19"/>
      <c r="P4474" s="16"/>
      <c r="Q4474" s="36" t="s">
        <v>1785</v>
      </c>
      <c r="R4474" s="13">
        <v>426</v>
      </c>
      <c r="S4474" s="13">
        <v>315</v>
      </c>
      <c r="T4474" s="13">
        <v>475</v>
      </c>
      <c r="U4474" s="13">
        <v>0</v>
      </c>
      <c r="V4474" s="13">
        <v>0</v>
      </c>
      <c r="W4474" s="37">
        <v>0</v>
      </c>
      <c r="X4474" s="19"/>
      <c r="AG4474" s="16"/>
    </row>
    <row r="4475" spans="2:33" ht="15" thickBot="1">
      <c r="B4475" s="20"/>
      <c r="C4475" s="15"/>
      <c r="D4475" s="15"/>
      <c r="E4475" s="15"/>
      <c r="F4475" s="15"/>
      <c r="G4475" s="15"/>
      <c r="H4475" s="15"/>
      <c r="I4475" s="15"/>
      <c r="J4475" s="15"/>
      <c r="K4475" s="15"/>
      <c r="L4475" s="15"/>
      <c r="M4475" s="15"/>
      <c r="N4475" s="15"/>
      <c r="O4475" s="15"/>
      <c r="P4475" s="17"/>
      <c r="Q4475" s="36" t="s">
        <v>1786</v>
      </c>
      <c r="R4475" s="13">
        <v>169</v>
      </c>
      <c r="S4475" s="13">
        <v>123</v>
      </c>
      <c r="T4475" s="13">
        <v>227</v>
      </c>
      <c r="U4475" s="13">
        <v>0</v>
      </c>
      <c r="V4475" s="13">
        <v>0</v>
      </c>
      <c r="W4475" s="37">
        <v>0</v>
      </c>
      <c r="X4475" s="20"/>
      <c r="Y4475" s="15"/>
      <c r="Z4475" s="15"/>
      <c r="AA4475" s="15"/>
      <c r="AB4475" s="15"/>
      <c r="AC4475" s="15"/>
      <c r="AD4475" s="15"/>
      <c r="AE4475" s="15"/>
      <c r="AF4475" s="15"/>
      <c r="AG4475" s="17"/>
    </row>
    <row r="4476" spans="2:33" ht="15" thickBot="1"/>
    <row r="4477" spans="2:33" ht="15" thickBot="1">
      <c r="B4477" s="53" t="s">
        <v>2195</v>
      </c>
      <c r="C4477" s="26" t="s">
        <v>1787</v>
      </c>
      <c r="D4477" s="26" t="s">
        <v>1788</v>
      </c>
      <c r="E4477" s="26" t="s">
        <v>1789</v>
      </c>
      <c r="F4477" s="26" t="s">
        <v>834</v>
      </c>
      <c r="G4477" s="26" t="s">
        <v>693</v>
      </c>
      <c r="H4477" s="27" t="s">
        <v>693</v>
      </c>
      <c r="I4477" s="26" t="s">
        <v>1790</v>
      </c>
      <c r="J4477" s="27" t="s">
        <v>87</v>
      </c>
      <c r="K4477" s="29">
        <v>6.9000000953674299</v>
      </c>
      <c r="L4477" s="29">
        <v>6.9000000953674299</v>
      </c>
      <c r="M4477" s="29">
        <v>6.9000000953674299</v>
      </c>
      <c r="N4477" s="29">
        <v>6.9000000953674299</v>
      </c>
      <c r="O4477" s="29">
        <v>6.9000000953674299</v>
      </c>
      <c r="P4477" s="40">
        <v>15.0100002288818</v>
      </c>
      <c r="Q4477" s="1" t="s">
        <v>1791</v>
      </c>
      <c r="R4477" s="2">
        <v>0</v>
      </c>
      <c r="S4477" s="2">
        <v>636</v>
      </c>
      <c r="T4477" s="2">
        <v>0</v>
      </c>
      <c r="U4477" s="2">
        <v>290</v>
      </c>
      <c r="V4477" s="2">
        <v>0</v>
      </c>
      <c r="W4477" s="2">
        <v>240</v>
      </c>
      <c r="X4477" s="43">
        <f>SUM(R4477:W4488)</f>
        <v>15286.499984741211</v>
      </c>
      <c r="Y4477" s="10">
        <v>46204</v>
      </c>
      <c r="Z4477" s="13">
        <v>0.21822774234314721</v>
      </c>
      <c r="AA4477" s="13">
        <v>0.19176892037163287</v>
      </c>
      <c r="AB4477" s="13">
        <v>0.16994687607165501</v>
      </c>
      <c r="AC4477" s="13">
        <v>0.13533276805163061</v>
      </c>
      <c r="AD4477" s="13">
        <v>0.11849120346270935</v>
      </c>
      <c r="AE4477" s="13">
        <v>0.13112980089791482</v>
      </c>
      <c r="AF4477" s="11">
        <v>0.2</v>
      </c>
      <c r="AG4477" s="11">
        <v>1.2709999999999999</v>
      </c>
    </row>
    <row r="4478" spans="2:33">
      <c r="C4478" s="14"/>
      <c r="D4478" s="14"/>
      <c r="E4478" s="14"/>
      <c r="F4478" s="14"/>
      <c r="G4478" s="14"/>
      <c r="H4478" s="14"/>
      <c r="I4478" s="14"/>
      <c r="J4478" s="14"/>
      <c r="K4478" s="14"/>
      <c r="L4478" s="14"/>
      <c r="M4478" s="14"/>
      <c r="N4478" s="14"/>
      <c r="O4478" s="14"/>
      <c r="P4478" s="35"/>
      <c r="Q4478" s="36" t="s">
        <v>1792</v>
      </c>
      <c r="R4478" s="13">
        <v>0</v>
      </c>
      <c r="S4478" s="13">
        <v>645</v>
      </c>
      <c r="T4478" s="13">
        <v>0</v>
      </c>
      <c r="U4478" s="13">
        <v>283</v>
      </c>
      <c r="V4478" s="13">
        <v>0</v>
      </c>
      <c r="W4478" s="37">
        <v>246</v>
      </c>
      <c r="X4478" s="18"/>
      <c r="Y4478" s="14"/>
      <c r="Z4478" s="83"/>
      <c r="AA4478" s="83"/>
      <c r="AB4478" s="83"/>
      <c r="AC4478" s="83"/>
      <c r="AD4478" s="83"/>
      <c r="AE4478" s="83"/>
      <c r="AF4478" s="14"/>
      <c r="AG4478" s="35"/>
    </row>
    <row r="4479" spans="2:33">
      <c r="B4479" s="19"/>
      <c r="P4479" s="16"/>
      <c r="Q4479" s="36" t="s">
        <v>1793</v>
      </c>
      <c r="R4479" s="13">
        <v>0</v>
      </c>
      <c r="S4479" s="13">
        <v>537</v>
      </c>
      <c r="T4479" s="13">
        <v>0</v>
      </c>
      <c r="U4479" s="13">
        <v>289</v>
      </c>
      <c r="V4479" s="13">
        <v>28</v>
      </c>
      <c r="W4479" s="37">
        <v>237</v>
      </c>
      <c r="X4479" s="19"/>
      <c r="AG4479" s="16"/>
    </row>
    <row r="4480" spans="2:33">
      <c r="B4480" s="19"/>
      <c r="P4480" s="16"/>
      <c r="Q4480" s="36" t="s">
        <v>1794</v>
      </c>
      <c r="R4480" s="13">
        <v>0</v>
      </c>
      <c r="S4480" s="13">
        <v>0</v>
      </c>
      <c r="T4480" s="13">
        <v>0</v>
      </c>
      <c r="U4480" s="13">
        <v>632.44000244140625</v>
      </c>
      <c r="V4480" s="13">
        <v>256.07998657226563</v>
      </c>
      <c r="W4480" s="37">
        <v>255.97999572753906</v>
      </c>
      <c r="X4480" s="19"/>
      <c r="AG4480" s="16"/>
    </row>
    <row r="4481" spans="2:33">
      <c r="B4481" s="19"/>
      <c r="P4481" s="16"/>
      <c r="Q4481" s="36" t="s">
        <v>1795</v>
      </c>
      <c r="R4481" s="13">
        <v>0</v>
      </c>
      <c r="S4481" s="13">
        <v>0</v>
      </c>
      <c r="T4481" s="13">
        <v>0</v>
      </c>
      <c r="U4481" s="13">
        <v>629</v>
      </c>
      <c r="V4481" s="13">
        <v>264</v>
      </c>
      <c r="W4481" s="37">
        <v>269</v>
      </c>
      <c r="X4481" s="19"/>
      <c r="AG4481" s="16"/>
    </row>
    <row r="4482" spans="2:33">
      <c r="B4482" s="19"/>
      <c r="P4482" s="16"/>
      <c r="Q4482" s="36" t="s">
        <v>1152</v>
      </c>
      <c r="R4482" s="13">
        <v>70</v>
      </c>
      <c r="S4482" s="13">
        <v>0</v>
      </c>
      <c r="T4482" s="13">
        <v>29</v>
      </c>
      <c r="U4482" s="13">
        <v>537</v>
      </c>
      <c r="V4482" s="13">
        <v>218</v>
      </c>
      <c r="W4482" s="37">
        <v>204</v>
      </c>
      <c r="X4482" s="19"/>
      <c r="AG4482" s="16"/>
    </row>
    <row r="4483" spans="2:33">
      <c r="B4483" s="19"/>
      <c r="P4483" s="16"/>
      <c r="Q4483" s="36" t="s">
        <v>60</v>
      </c>
      <c r="R4483" s="13">
        <v>817</v>
      </c>
      <c r="S4483" s="13">
        <v>0</v>
      </c>
      <c r="T4483" s="13">
        <v>374</v>
      </c>
      <c r="U4483" s="13">
        <v>0</v>
      </c>
      <c r="V4483" s="13">
        <v>0</v>
      </c>
      <c r="W4483" s="37">
        <v>431</v>
      </c>
      <c r="X4483" s="19"/>
      <c r="AG4483" s="16"/>
    </row>
    <row r="4484" spans="2:33">
      <c r="B4484" s="19"/>
      <c r="P4484" s="16"/>
      <c r="Q4484" s="36" t="s">
        <v>1796</v>
      </c>
      <c r="R4484" s="13">
        <v>790</v>
      </c>
      <c r="S4484" s="13">
        <v>0</v>
      </c>
      <c r="T4484" s="13">
        <v>341</v>
      </c>
      <c r="U4484" s="13">
        <v>0</v>
      </c>
      <c r="V4484" s="13">
        <v>0</v>
      </c>
      <c r="W4484" s="37">
        <v>262</v>
      </c>
      <c r="X4484" s="19"/>
      <c r="AG4484" s="16"/>
    </row>
    <row r="4485" spans="2:33">
      <c r="B4485" s="19"/>
      <c r="P4485" s="16"/>
      <c r="Q4485" s="36" t="s">
        <v>105</v>
      </c>
      <c r="R4485" s="13">
        <v>712</v>
      </c>
      <c r="S4485" s="13">
        <v>0</v>
      </c>
      <c r="T4485" s="13">
        <v>319</v>
      </c>
      <c r="U4485" s="13">
        <v>0</v>
      </c>
      <c r="V4485" s="13">
        <v>0</v>
      </c>
      <c r="W4485" s="37">
        <v>267</v>
      </c>
      <c r="X4485" s="19"/>
      <c r="AG4485" s="16"/>
    </row>
    <row r="4486" spans="2:33">
      <c r="B4486" s="19"/>
      <c r="P4486" s="16"/>
      <c r="Q4486" s="36" t="s">
        <v>1797</v>
      </c>
      <c r="R4486" s="13">
        <v>732</v>
      </c>
      <c r="S4486" s="13">
        <v>153</v>
      </c>
      <c r="T4486" s="13">
        <v>362</v>
      </c>
      <c r="U4486" s="13">
        <v>0</v>
      </c>
      <c r="V4486" s="13">
        <v>0</v>
      </c>
      <c r="W4486" s="37">
        <v>328</v>
      </c>
      <c r="X4486" s="19"/>
      <c r="AG4486" s="16"/>
    </row>
    <row r="4487" spans="2:33">
      <c r="B4487" s="19"/>
      <c r="P4487" s="16"/>
      <c r="Q4487" s="36" t="s">
        <v>1798</v>
      </c>
      <c r="R4487" s="13">
        <v>683</v>
      </c>
      <c r="S4487" s="13">
        <v>280</v>
      </c>
      <c r="T4487" s="13">
        <v>295</v>
      </c>
      <c r="U4487" s="13">
        <v>0</v>
      </c>
      <c r="V4487" s="13">
        <v>0</v>
      </c>
      <c r="W4487" s="37">
        <v>0</v>
      </c>
      <c r="X4487" s="19"/>
      <c r="AG4487" s="16"/>
    </row>
    <row r="4488" spans="2:33" ht="15" thickBot="1">
      <c r="B4488" s="20"/>
      <c r="C4488" s="15"/>
      <c r="D4488" s="15"/>
      <c r="E4488" s="15"/>
      <c r="F4488" s="15"/>
      <c r="G4488" s="15"/>
      <c r="H4488" s="15"/>
      <c r="I4488" s="15"/>
      <c r="J4488" s="15"/>
      <c r="K4488" s="15"/>
      <c r="L4488" s="15"/>
      <c r="M4488" s="15"/>
      <c r="N4488" s="15"/>
      <c r="O4488" s="15"/>
      <c r="P4488" s="17"/>
      <c r="Q4488" s="36" t="s">
        <v>1799</v>
      </c>
      <c r="R4488" s="13">
        <v>0</v>
      </c>
      <c r="S4488" s="13">
        <v>590</v>
      </c>
      <c r="T4488" s="13">
        <v>224</v>
      </c>
      <c r="U4488" s="13">
        <v>30</v>
      </c>
      <c r="V4488" s="13">
        <v>0</v>
      </c>
      <c r="W4488" s="37">
        <v>501</v>
      </c>
      <c r="X4488" s="20"/>
      <c r="Y4488" s="15"/>
      <c r="Z4488" s="15"/>
      <c r="AA4488" s="15"/>
      <c r="AB4488" s="15"/>
      <c r="AC4488" s="15"/>
      <c r="AD4488" s="15"/>
      <c r="AE4488" s="15"/>
      <c r="AF4488" s="15"/>
      <c r="AG4488" s="17"/>
    </row>
    <row r="4489" spans="2:33" ht="15" thickBot="1"/>
    <row r="4490" spans="2:33" ht="15" thickBot="1">
      <c r="B4490" s="53" t="s">
        <v>2195</v>
      </c>
      <c r="C4490" s="26" t="s">
        <v>1800</v>
      </c>
      <c r="D4490" s="26" t="s">
        <v>1801</v>
      </c>
      <c r="E4490" s="26" t="s">
        <v>1802</v>
      </c>
      <c r="F4490" s="26" t="s">
        <v>1803</v>
      </c>
      <c r="G4490" s="26" t="s">
        <v>1804</v>
      </c>
      <c r="H4490" s="27" t="s">
        <v>821</v>
      </c>
      <c r="I4490" s="26" t="s">
        <v>1805</v>
      </c>
      <c r="J4490" s="27" t="s">
        <v>56</v>
      </c>
      <c r="K4490" s="29">
        <v>10.3900003433228</v>
      </c>
      <c r="L4490" s="29">
        <v>10.3900003433228</v>
      </c>
      <c r="M4490" s="29">
        <v>10.3900003433228</v>
      </c>
      <c r="N4490" s="29">
        <v>0</v>
      </c>
      <c r="O4490" s="29">
        <v>0</v>
      </c>
      <c r="P4490" s="40">
        <v>0</v>
      </c>
      <c r="Q4490" s="1" t="s">
        <v>1806</v>
      </c>
      <c r="R4490" s="2">
        <v>422.04998779296875</v>
      </c>
      <c r="S4490" s="2">
        <v>247.6820068359375</v>
      </c>
      <c r="T4490" s="2">
        <v>280.19198608398438</v>
      </c>
      <c r="U4490" s="2">
        <v>0</v>
      </c>
      <c r="V4490" s="2">
        <v>0</v>
      </c>
      <c r="W4490" s="2">
        <v>0</v>
      </c>
      <c r="X4490" s="43">
        <f>SUM(R4490:W4496)</f>
        <v>5794.0609588623047</v>
      </c>
      <c r="Y4490" s="10">
        <v>46204</v>
      </c>
      <c r="Z4490" s="84">
        <v>0.24283387277221363</v>
      </c>
      <c r="AA4490" s="84">
        <v>0.17030142298052031</v>
      </c>
      <c r="AB4490" s="84">
        <v>0.12984680089791481</v>
      </c>
      <c r="AC4490" s="13"/>
      <c r="AD4490" s="13"/>
      <c r="AE4490" s="13"/>
      <c r="AF4490" s="11">
        <v>0.2</v>
      </c>
      <c r="AG4490" s="11">
        <v>1.2709999999999999</v>
      </c>
    </row>
    <row r="4491" spans="2:33">
      <c r="C4491" s="14"/>
      <c r="D4491" s="14"/>
      <c r="E4491" s="14"/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35"/>
      <c r="Q4491" s="36" t="s">
        <v>1027</v>
      </c>
      <c r="R4491" s="13">
        <v>414.98599243164063</v>
      </c>
      <c r="S4491" s="13">
        <v>234.16400146484375</v>
      </c>
      <c r="T4491" s="13">
        <v>281.91299438476563</v>
      </c>
      <c r="U4491" s="13">
        <v>0</v>
      </c>
      <c r="V4491" s="13">
        <v>0</v>
      </c>
      <c r="W4491" s="37">
        <v>0</v>
      </c>
      <c r="X4491" s="18"/>
      <c r="Y4491" s="14"/>
      <c r="Z4491" s="83"/>
      <c r="AA4491" s="83"/>
      <c r="AB4491" s="83"/>
      <c r="AC4491" s="83"/>
      <c r="AD4491" s="83"/>
      <c r="AE4491" s="83"/>
      <c r="AF4491" s="14"/>
      <c r="AG4491" s="35"/>
    </row>
    <row r="4492" spans="2:33">
      <c r="B4492" s="19"/>
      <c r="P4492" s="16"/>
      <c r="Q4492" s="36" t="s">
        <v>1369</v>
      </c>
      <c r="R4492" s="13">
        <v>404.54998779296875</v>
      </c>
      <c r="S4492" s="13">
        <v>235.08700561523438</v>
      </c>
      <c r="T4492" s="13">
        <v>273.27398681640625</v>
      </c>
      <c r="U4492" s="13">
        <v>0</v>
      </c>
      <c r="V4492" s="13">
        <v>0</v>
      </c>
      <c r="W4492" s="37">
        <v>0</v>
      </c>
      <c r="X4492" s="19"/>
      <c r="AG4492" s="16"/>
    </row>
    <row r="4493" spans="2:33">
      <c r="B4493" s="19"/>
      <c r="P4493" s="16"/>
      <c r="Q4493" s="36" t="s">
        <v>1807</v>
      </c>
      <c r="R4493" s="13">
        <v>413.760009765625</v>
      </c>
      <c r="S4493" s="13">
        <v>242.58500671386719</v>
      </c>
      <c r="T4493" s="13">
        <v>300.8179931640625</v>
      </c>
      <c r="U4493" s="13">
        <v>0</v>
      </c>
      <c r="V4493" s="13">
        <v>0</v>
      </c>
      <c r="W4493" s="37">
        <v>0</v>
      </c>
      <c r="X4493" s="19"/>
      <c r="AG4493" s="16"/>
    </row>
    <row r="4494" spans="2:33">
      <c r="B4494" s="19"/>
      <c r="P4494" s="16"/>
      <c r="Q4494" s="36" t="s">
        <v>97</v>
      </c>
      <c r="R4494" s="13">
        <v>129</v>
      </c>
      <c r="S4494" s="13">
        <v>100</v>
      </c>
      <c r="T4494" s="13">
        <v>151</v>
      </c>
      <c r="U4494" s="13">
        <v>0</v>
      </c>
      <c r="V4494" s="13">
        <v>0</v>
      </c>
      <c r="W4494" s="37">
        <v>0</v>
      </c>
      <c r="X4494" s="19"/>
      <c r="AG4494" s="16"/>
    </row>
    <row r="4495" spans="2:33">
      <c r="B4495" s="19"/>
      <c r="P4495" s="16"/>
      <c r="Q4495" s="36" t="s">
        <v>1745</v>
      </c>
      <c r="R4495" s="13">
        <v>339</v>
      </c>
      <c r="S4495" s="13">
        <v>199</v>
      </c>
      <c r="T4495" s="13">
        <v>273</v>
      </c>
      <c r="U4495" s="13">
        <v>0</v>
      </c>
      <c r="V4495" s="13">
        <v>0</v>
      </c>
      <c r="W4495" s="37">
        <v>0</v>
      </c>
      <c r="X4495" s="19"/>
      <c r="AG4495" s="16"/>
    </row>
    <row r="4496" spans="2:33" ht="15" thickBot="1">
      <c r="B4496" s="20"/>
      <c r="C4496" s="15"/>
      <c r="D4496" s="15"/>
      <c r="E4496" s="15"/>
      <c r="F4496" s="15"/>
      <c r="G4496" s="15"/>
      <c r="H4496" s="15"/>
      <c r="I4496" s="15"/>
      <c r="J4496" s="15"/>
      <c r="K4496" s="15"/>
      <c r="L4496" s="15"/>
      <c r="M4496" s="15"/>
      <c r="N4496" s="15"/>
      <c r="O4496" s="15"/>
      <c r="P4496" s="17"/>
      <c r="Q4496" s="36" t="s">
        <v>1808</v>
      </c>
      <c r="R4496" s="13">
        <v>336</v>
      </c>
      <c r="S4496" s="13">
        <v>203</v>
      </c>
      <c r="T4496" s="13">
        <v>313</v>
      </c>
      <c r="U4496" s="13">
        <v>0</v>
      </c>
      <c r="V4496" s="13">
        <v>0</v>
      </c>
      <c r="W4496" s="37">
        <v>0</v>
      </c>
      <c r="X4496" s="20"/>
      <c r="Y4496" s="15"/>
      <c r="Z4496" s="15"/>
      <c r="AA4496" s="15"/>
      <c r="AB4496" s="15"/>
      <c r="AC4496" s="15"/>
      <c r="AD4496" s="15"/>
      <c r="AE4496" s="15"/>
      <c r="AF4496" s="15"/>
      <c r="AG4496" s="17"/>
    </row>
    <row r="4497" spans="2:33" ht="15" thickBot="1"/>
    <row r="4498" spans="2:33" ht="15" thickBot="1">
      <c r="B4498" s="53" t="s">
        <v>2195</v>
      </c>
      <c r="C4498" s="26" t="s">
        <v>1809</v>
      </c>
      <c r="D4498" s="26" t="s">
        <v>1810</v>
      </c>
      <c r="E4498" s="26" t="s">
        <v>1811</v>
      </c>
      <c r="F4498" s="26" t="s">
        <v>1812</v>
      </c>
      <c r="G4498" s="26" t="s">
        <v>821</v>
      </c>
      <c r="H4498" s="27" t="s">
        <v>821</v>
      </c>
      <c r="I4498" s="26" t="s">
        <v>1813</v>
      </c>
      <c r="J4498" s="27" t="s">
        <v>56</v>
      </c>
      <c r="K4498" s="29">
        <v>8</v>
      </c>
      <c r="L4498" s="29">
        <v>8</v>
      </c>
      <c r="M4498" s="29">
        <v>8</v>
      </c>
      <c r="N4498" s="29">
        <v>0</v>
      </c>
      <c r="O4498" s="29">
        <v>0</v>
      </c>
      <c r="P4498" s="40">
        <v>0</v>
      </c>
      <c r="Q4498" s="1" t="s">
        <v>1147</v>
      </c>
      <c r="R4498" s="2">
        <v>798</v>
      </c>
      <c r="S4498" s="2">
        <v>494</v>
      </c>
      <c r="T4498" s="2">
        <v>368</v>
      </c>
      <c r="U4498" s="2">
        <v>0</v>
      </c>
      <c r="V4498" s="2">
        <v>0</v>
      </c>
      <c r="W4498" s="2">
        <v>0</v>
      </c>
      <c r="X4498" s="43">
        <f>SUM(R4498:W4507)</f>
        <v>15503.799987792969</v>
      </c>
      <c r="Y4498" s="10">
        <v>46204</v>
      </c>
      <c r="Z4498" s="84">
        <v>0.24283387277221363</v>
      </c>
      <c r="AA4498" s="84">
        <v>0.17030142298052031</v>
      </c>
      <c r="AB4498" s="84">
        <v>0.12984680089791481</v>
      </c>
      <c r="AC4498" s="13"/>
      <c r="AD4498" s="13"/>
      <c r="AE4498" s="13"/>
      <c r="AF4498" s="11">
        <v>0.2</v>
      </c>
      <c r="AG4498" s="11">
        <v>1.2709999999999999</v>
      </c>
    </row>
    <row r="4499" spans="2:33">
      <c r="C4499" s="14"/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35"/>
      <c r="Q4499" s="36" t="s">
        <v>1148</v>
      </c>
      <c r="R4499" s="13">
        <v>432.57998657226563</v>
      </c>
      <c r="S4499" s="13">
        <v>288.6199951171875</v>
      </c>
      <c r="T4499" s="13">
        <v>279.60000610351563</v>
      </c>
      <c r="U4499" s="13">
        <v>0</v>
      </c>
      <c r="V4499" s="13">
        <v>0</v>
      </c>
      <c r="W4499" s="37">
        <v>0</v>
      </c>
      <c r="X4499" s="18"/>
      <c r="Y4499" s="14"/>
      <c r="Z4499" s="83"/>
      <c r="AA4499" s="83"/>
      <c r="AB4499" s="83"/>
      <c r="AC4499" s="83"/>
      <c r="AD4499" s="83"/>
      <c r="AE4499" s="83"/>
      <c r="AF4499" s="14"/>
      <c r="AG4499" s="35"/>
    </row>
    <row r="4500" spans="2:33">
      <c r="B4500" s="19"/>
      <c r="P4500" s="16"/>
      <c r="Q4500" s="36" t="s">
        <v>1814</v>
      </c>
      <c r="R4500" s="13">
        <v>458</v>
      </c>
      <c r="S4500" s="13">
        <v>290</v>
      </c>
      <c r="T4500" s="13">
        <v>258</v>
      </c>
      <c r="U4500" s="13">
        <v>0</v>
      </c>
      <c r="V4500" s="13">
        <v>0</v>
      </c>
      <c r="W4500" s="37">
        <v>0</v>
      </c>
      <c r="X4500" s="19"/>
      <c r="AG4500" s="16"/>
    </row>
    <row r="4501" spans="2:33">
      <c r="B4501" s="19"/>
      <c r="P4501" s="16"/>
      <c r="Q4501" s="36" t="s">
        <v>1815</v>
      </c>
      <c r="R4501" s="13">
        <v>544</v>
      </c>
      <c r="S4501" s="13">
        <v>362</v>
      </c>
      <c r="T4501" s="13">
        <v>313</v>
      </c>
      <c r="U4501" s="13">
        <v>0</v>
      </c>
      <c r="V4501" s="13">
        <v>0</v>
      </c>
      <c r="W4501" s="37">
        <v>0</v>
      </c>
      <c r="X4501" s="19"/>
      <c r="AG4501" s="16"/>
    </row>
    <row r="4502" spans="2:33">
      <c r="B4502" s="19"/>
      <c r="P4502" s="16"/>
      <c r="Q4502" s="36" t="s">
        <v>1816</v>
      </c>
      <c r="R4502" s="13">
        <v>398</v>
      </c>
      <c r="S4502" s="13">
        <v>263</v>
      </c>
      <c r="T4502" s="13">
        <v>267</v>
      </c>
      <c r="U4502" s="13">
        <v>0</v>
      </c>
      <c r="V4502" s="13">
        <v>0</v>
      </c>
      <c r="W4502" s="37">
        <v>0</v>
      </c>
      <c r="X4502" s="19"/>
      <c r="AG4502" s="16"/>
    </row>
    <row r="4503" spans="2:33">
      <c r="B4503" s="19"/>
      <c r="P4503" s="16"/>
      <c r="Q4503" s="36" t="s">
        <v>1283</v>
      </c>
      <c r="R4503" s="13">
        <v>681</v>
      </c>
      <c r="S4503" s="13">
        <v>441</v>
      </c>
      <c r="T4503" s="13">
        <v>339</v>
      </c>
      <c r="U4503" s="13">
        <v>0</v>
      </c>
      <c r="V4503" s="13">
        <v>0</v>
      </c>
      <c r="W4503" s="37">
        <v>0</v>
      </c>
      <c r="X4503" s="19"/>
      <c r="AG4503" s="16"/>
    </row>
    <row r="4504" spans="2:33">
      <c r="B4504" s="19"/>
      <c r="P4504" s="16"/>
      <c r="Q4504" s="36" t="s">
        <v>1817</v>
      </c>
      <c r="R4504" s="13">
        <v>930</v>
      </c>
      <c r="S4504" s="13">
        <v>613</v>
      </c>
      <c r="T4504" s="13">
        <v>460</v>
      </c>
      <c r="U4504" s="13">
        <v>0</v>
      </c>
      <c r="V4504" s="13">
        <v>0</v>
      </c>
      <c r="W4504" s="37">
        <v>0</v>
      </c>
      <c r="X4504" s="19"/>
      <c r="AG4504" s="16"/>
    </row>
    <row r="4505" spans="2:33">
      <c r="B4505" s="19"/>
      <c r="P4505" s="16"/>
      <c r="Q4505" s="36" t="s">
        <v>552</v>
      </c>
      <c r="R4505" s="13">
        <v>924</v>
      </c>
      <c r="S4505" s="13">
        <v>541</v>
      </c>
      <c r="T4505" s="13">
        <v>400</v>
      </c>
      <c r="U4505" s="13">
        <v>0</v>
      </c>
      <c r="V4505" s="13">
        <v>0</v>
      </c>
      <c r="W4505" s="37">
        <v>0</v>
      </c>
      <c r="X4505" s="19"/>
      <c r="AG4505" s="16"/>
    </row>
    <row r="4506" spans="2:33">
      <c r="B4506" s="19"/>
      <c r="P4506" s="16"/>
      <c r="Q4506" s="36" t="s">
        <v>1818</v>
      </c>
      <c r="R4506" s="13">
        <v>1612</v>
      </c>
      <c r="S4506" s="13">
        <v>977</v>
      </c>
      <c r="T4506" s="13">
        <v>667</v>
      </c>
      <c r="U4506" s="13">
        <v>0</v>
      </c>
      <c r="V4506" s="13">
        <v>0</v>
      </c>
      <c r="W4506" s="37">
        <v>0</v>
      </c>
      <c r="X4506" s="19"/>
      <c r="AG4506" s="16"/>
    </row>
    <row r="4507" spans="2:33" ht="15" thickBot="1">
      <c r="B4507" s="20"/>
      <c r="C4507" s="15"/>
      <c r="D4507" s="15"/>
      <c r="E4507" s="15"/>
      <c r="F4507" s="15"/>
      <c r="G4507" s="15"/>
      <c r="H4507" s="15"/>
      <c r="I4507" s="15"/>
      <c r="J4507" s="15"/>
      <c r="K4507" s="15"/>
      <c r="L4507" s="15"/>
      <c r="M4507" s="15"/>
      <c r="N4507" s="15"/>
      <c r="O4507" s="15"/>
      <c r="P4507" s="17"/>
      <c r="Q4507" s="36" t="s">
        <v>1819</v>
      </c>
      <c r="R4507" s="13">
        <v>431</v>
      </c>
      <c r="S4507" s="13">
        <v>293</v>
      </c>
      <c r="T4507" s="13">
        <v>381</v>
      </c>
      <c r="U4507" s="13">
        <v>0</v>
      </c>
      <c r="V4507" s="13">
        <v>0</v>
      </c>
      <c r="W4507" s="37">
        <v>0</v>
      </c>
      <c r="X4507" s="20"/>
      <c r="Y4507" s="15"/>
      <c r="Z4507" s="15"/>
      <c r="AA4507" s="15"/>
      <c r="AB4507" s="15"/>
      <c r="AC4507" s="15"/>
      <c r="AD4507" s="15"/>
      <c r="AE4507" s="15"/>
      <c r="AF4507" s="15"/>
      <c r="AG4507" s="17"/>
    </row>
    <row r="4508" spans="2:33" ht="15" thickBot="1"/>
    <row r="4509" spans="2:33" ht="15" thickBot="1">
      <c r="B4509" s="53" t="s">
        <v>2195</v>
      </c>
      <c r="C4509" s="26" t="s">
        <v>1809</v>
      </c>
      <c r="D4509" s="26" t="s">
        <v>1820</v>
      </c>
      <c r="E4509" s="26" t="s">
        <v>1821</v>
      </c>
      <c r="F4509" s="26" t="s">
        <v>1822</v>
      </c>
      <c r="G4509" s="26" t="s">
        <v>821</v>
      </c>
      <c r="H4509" s="27" t="s">
        <v>821</v>
      </c>
      <c r="I4509" s="26" t="s">
        <v>1823</v>
      </c>
      <c r="J4509" s="27" t="s">
        <v>56</v>
      </c>
      <c r="K4509" s="29">
        <v>10.2399997711182</v>
      </c>
      <c r="L4509" s="29">
        <v>10.2399997711182</v>
      </c>
      <c r="M4509" s="29">
        <v>10.2399997711182</v>
      </c>
      <c r="N4509" s="29">
        <v>0</v>
      </c>
      <c r="O4509" s="29">
        <v>0</v>
      </c>
      <c r="P4509" s="40">
        <v>0</v>
      </c>
      <c r="Q4509" s="1" t="s">
        <v>1824</v>
      </c>
      <c r="R4509" s="2">
        <v>320</v>
      </c>
      <c r="S4509" s="2">
        <v>215</v>
      </c>
      <c r="T4509" s="2">
        <v>295</v>
      </c>
      <c r="U4509" s="2">
        <v>0</v>
      </c>
      <c r="V4509" s="2">
        <v>0</v>
      </c>
      <c r="W4509" s="2">
        <v>0</v>
      </c>
      <c r="X4509" s="43">
        <f>SUM(R4509:W4520)</f>
        <v>10168.219985961914</v>
      </c>
      <c r="Y4509" s="10">
        <v>46204</v>
      </c>
      <c r="Z4509" s="82">
        <v>0.24283387277221363</v>
      </c>
      <c r="AA4509" s="82">
        <v>0.17030142298052031</v>
      </c>
      <c r="AB4509" s="82">
        <v>0.12984680089791481</v>
      </c>
      <c r="AC4509" s="11"/>
      <c r="AD4509" s="11"/>
      <c r="AE4509" s="11"/>
      <c r="AF4509" s="11">
        <v>0.2</v>
      </c>
      <c r="AG4509" s="11">
        <v>1.2709999999999999</v>
      </c>
    </row>
    <row r="4510" spans="2:33"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4"/>
      <c r="P4510" s="35"/>
      <c r="Q4510" s="36" t="s">
        <v>1825</v>
      </c>
      <c r="R4510" s="13">
        <v>312.239990234375</v>
      </c>
      <c r="S4510" s="13">
        <v>205.13999938964844</v>
      </c>
      <c r="T4510" s="13">
        <v>241.83999633789063</v>
      </c>
      <c r="U4510" s="13">
        <v>0</v>
      </c>
      <c r="V4510" s="13">
        <v>0</v>
      </c>
      <c r="W4510" s="37">
        <v>0</v>
      </c>
      <c r="X4510" s="18"/>
      <c r="Y4510" s="14"/>
      <c r="Z4510" s="14"/>
      <c r="AA4510" s="14"/>
      <c r="AB4510" s="14"/>
      <c r="AC4510" s="14"/>
      <c r="AD4510" s="14"/>
      <c r="AE4510" s="14"/>
      <c r="AF4510" s="14"/>
      <c r="AG4510" s="35"/>
    </row>
    <row r="4511" spans="2:33">
      <c r="B4511" s="19"/>
      <c r="P4511" s="16"/>
      <c r="Q4511" s="36" t="s">
        <v>1826</v>
      </c>
      <c r="R4511" s="13">
        <v>365</v>
      </c>
      <c r="S4511" s="13">
        <v>242</v>
      </c>
      <c r="T4511" s="13">
        <v>304</v>
      </c>
      <c r="U4511" s="13">
        <v>0</v>
      </c>
      <c r="V4511" s="13">
        <v>0</v>
      </c>
      <c r="W4511" s="37">
        <v>0</v>
      </c>
      <c r="X4511" s="19"/>
      <c r="AG4511" s="16"/>
    </row>
    <row r="4512" spans="2:33">
      <c r="B4512" s="19"/>
      <c r="P4512" s="16"/>
      <c r="Q4512" s="36" t="s">
        <v>1827</v>
      </c>
      <c r="R4512" s="13">
        <v>366</v>
      </c>
      <c r="S4512" s="13">
        <v>246</v>
      </c>
      <c r="T4512" s="13">
        <v>330</v>
      </c>
      <c r="U4512" s="13">
        <v>0</v>
      </c>
      <c r="V4512" s="13">
        <v>0</v>
      </c>
      <c r="W4512" s="37">
        <v>0</v>
      </c>
      <c r="X4512" s="19"/>
      <c r="AG4512" s="16"/>
    </row>
    <row r="4513" spans="2:33">
      <c r="B4513" s="19"/>
      <c r="P4513" s="16"/>
      <c r="Q4513" s="36" t="s">
        <v>1828</v>
      </c>
      <c r="R4513" s="13">
        <v>325</v>
      </c>
      <c r="S4513" s="13">
        <v>214</v>
      </c>
      <c r="T4513" s="13">
        <v>195</v>
      </c>
      <c r="U4513" s="13">
        <v>0</v>
      </c>
      <c r="V4513" s="13">
        <v>0</v>
      </c>
      <c r="W4513" s="37">
        <v>0</v>
      </c>
      <c r="X4513" s="19"/>
      <c r="AG4513" s="16"/>
    </row>
    <row r="4514" spans="2:33">
      <c r="B4514" s="19"/>
      <c r="P4514" s="16"/>
      <c r="Q4514" s="36" t="s">
        <v>1829</v>
      </c>
      <c r="R4514" s="13">
        <v>340</v>
      </c>
      <c r="S4514" s="13">
        <v>235</v>
      </c>
      <c r="T4514" s="13">
        <v>201</v>
      </c>
      <c r="U4514" s="13">
        <v>0</v>
      </c>
      <c r="V4514" s="13">
        <v>0</v>
      </c>
      <c r="W4514" s="37">
        <v>0</v>
      </c>
      <c r="X4514" s="19"/>
      <c r="AG4514" s="16"/>
    </row>
    <row r="4515" spans="2:33">
      <c r="B4515" s="19"/>
      <c r="P4515" s="16"/>
      <c r="Q4515" s="36" t="s">
        <v>568</v>
      </c>
      <c r="R4515" s="13">
        <v>395</v>
      </c>
      <c r="S4515" s="13">
        <v>271</v>
      </c>
      <c r="T4515" s="13">
        <v>234</v>
      </c>
      <c r="U4515" s="13">
        <v>0</v>
      </c>
      <c r="V4515" s="13">
        <v>0</v>
      </c>
      <c r="W4515" s="37">
        <v>0</v>
      </c>
      <c r="X4515" s="19"/>
      <c r="AG4515" s="16"/>
    </row>
    <row r="4516" spans="2:33">
      <c r="B4516" s="19"/>
      <c r="P4516" s="16"/>
      <c r="Q4516" s="36" t="s">
        <v>1830</v>
      </c>
      <c r="R4516" s="13">
        <v>330</v>
      </c>
      <c r="S4516" s="13">
        <v>229</v>
      </c>
      <c r="T4516" s="13">
        <v>201</v>
      </c>
      <c r="U4516" s="13">
        <v>0</v>
      </c>
      <c r="V4516" s="13">
        <v>0</v>
      </c>
      <c r="W4516" s="37">
        <v>0</v>
      </c>
      <c r="X4516" s="19"/>
      <c r="AG4516" s="16"/>
    </row>
    <row r="4517" spans="2:33">
      <c r="B4517" s="19"/>
      <c r="P4517" s="16"/>
      <c r="Q4517" s="36" t="s">
        <v>136</v>
      </c>
      <c r="R4517" s="13">
        <v>345</v>
      </c>
      <c r="S4517" s="13">
        <v>245</v>
      </c>
      <c r="T4517" s="13">
        <v>187</v>
      </c>
      <c r="U4517" s="13">
        <v>0</v>
      </c>
      <c r="V4517" s="13">
        <v>0</v>
      </c>
      <c r="W4517" s="37">
        <v>0</v>
      </c>
      <c r="X4517" s="19"/>
      <c r="AG4517" s="16"/>
    </row>
    <row r="4518" spans="2:33">
      <c r="B4518" s="19"/>
      <c r="P4518" s="16"/>
      <c r="Q4518" s="36" t="s">
        <v>1831</v>
      </c>
      <c r="R4518" s="13">
        <v>387</v>
      </c>
      <c r="S4518" s="13">
        <v>263</v>
      </c>
      <c r="T4518" s="13">
        <v>329</v>
      </c>
      <c r="U4518" s="13">
        <v>0</v>
      </c>
      <c r="V4518" s="13">
        <v>0</v>
      </c>
      <c r="W4518" s="37">
        <v>0</v>
      </c>
      <c r="X4518" s="19"/>
      <c r="AG4518" s="16"/>
    </row>
    <row r="4519" spans="2:33">
      <c r="B4519" s="19"/>
      <c r="P4519" s="16"/>
      <c r="Q4519" s="36" t="s">
        <v>1832</v>
      </c>
      <c r="R4519" s="13">
        <v>317</v>
      </c>
      <c r="S4519" s="13">
        <v>219</v>
      </c>
      <c r="T4519" s="13">
        <v>278</v>
      </c>
      <c r="U4519" s="13">
        <v>0</v>
      </c>
      <c r="V4519" s="13">
        <v>0</v>
      </c>
      <c r="W4519" s="37">
        <v>0</v>
      </c>
      <c r="X4519" s="19"/>
      <c r="AG4519" s="16"/>
    </row>
    <row r="4520" spans="2:33" ht="15" thickBot="1">
      <c r="B4520" s="20"/>
      <c r="C4520" s="15"/>
      <c r="D4520" s="15"/>
      <c r="E4520" s="15"/>
      <c r="F4520" s="15"/>
      <c r="G4520" s="15"/>
      <c r="H4520" s="15"/>
      <c r="I4520" s="15"/>
      <c r="J4520" s="15"/>
      <c r="K4520" s="15"/>
      <c r="L4520" s="15"/>
      <c r="M4520" s="15"/>
      <c r="N4520" s="15"/>
      <c r="O4520" s="15"/>
      <c r="P4520" s="17"/>
      <c r="Q4520" s="36" t="s">
        <v>1833</v>
      </c>
      <c r="R4520" s="13">
        <v>357</v>
      </c>
      <c r="S4520" s="13">
        <v>261</v>
      </c>
      <c r="T4520" s="13">
        <v>368</v>
      </c>
      <c r="U4520" s="13">
        <v>0</v>
      </c>
      <c r="V4520" s="13">
        <v>0</v>
      </c>
      <c r="W4520" s="37">
        <v>0</v>
      </c>
      <c r="X4520" s="20"/>
      <c r="Y4520" s="15"/>
      <c r="Z4520" s="15"/>
      <c r="AA4520" s="15"/>
      <c r="AB4520" s="15"/>
      <c r="AC4520" s="15"/>
      <c r="AD4520" s="15"/>
      <c r="AE4520" s="15"/>
      <c r="AF4520" s="15"/>
      <c r="AG4520" s="17"/>
    </row>
    <row r="4521" spans="2:33" ht="15" thickBot="1"/>
    <row r="4522" spans="2:33" ht="15" thickBot="1">
      <c r="B4522" s="53" t="s">
        <v>2195</v>
      </c>
      <c r="C4522" s="26" t="s">
        <v>1809</v>
      </c>
      <c r="D4522" s="26" t="s">
        <v>1834</v>
      </c>
      <c r="E4522" s="26" t="s">
        <v>1835</v>
      </c>
      <c r="F4522" s="26" t="s">
        <v>1836</v>
      </c>
      <c r="G4522" s="26" t="s">
        <v>1837</v>
      </c>
      <c r="H4522" s="27" t="s">
        <v>821</v>
      </c>
      <c r="I4522" s="26" t="s">
        <v>1838</v>
      </c>
      <c r="J4522" s="27" t="s">
        <v>56</v>
      </c>
      <c r="K4522" s="29">
        <v>6.9000000953674299</v>
      </c>
      <c r="L4522" s="29">
        <v>6.9000000953674299</v>
      </c>
      <c r="M4522" s="29">
        <v>6.9000000953674299</v>
      </c>
      <c r="N4522" s="29">
        <v>0</v>
      </c>
      <c r="O4522" s="29">
        <v>0</v>
      </c>
      <c r="P4522" s="40">
        <v>0</v>
      </c>
      <c r="Q4522" s="1" t="s">
        <v>1839</v>
      </c>
      <c r="R4522" s="2">
        <v>327</v>
      </c>
      <c r="S4522" s="2">
        <v>210</v>
      </c>
      <c r="T4522" s="2">
        <v>360</v>
      </c>
      <c r="U4522" s="2">
        <v>0</v>
      </c>
      <c r="V4522" s="2">
        <v>0</v>
      </c>
      <c r="W4522" s="2">
        <v>0</v>
      </c>
      <c r="X4522" s="43">
        <f>SUM(R4522:W4533)</f>
        <v>16982.589965820313</v>
      </c>
      <c r="Y4522" s="10">
        <v>46204</v>
      </c>
      <c r="Z4522" s="82">
        <v>0.24283387277221363</v>
      </c>
      <c r="AA4522" s="82">
        <v>0.17030142298052031</v>
      </c>
      <c r="AB4522" s="82">
        <v>0.12984680089791481</v>
      </c>
      <c r="AC4522" s="11"/>
      <c r="AD4522" s="11"/>
      <c r="AE4522" s="11"/>
      <c r="AF4522" s="11">
        <v>0.2</v>
      </c>
      <c r="AG4522" s="11">
        <v>1.2709999999999999</v>
      </c>
    </row>
    <row r="4523" spans="2:33">
      <c r="C4523" s="14"/>
      <c r="D4523" s="14"/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35"/>
      <c r="Q4523" s="36" t="s">
        <v>1840</v>
      </c>
      <c r="R4523" s="13">
        <v>392</v>
      </c>
      <c r="S4523" s="13">
        <v>282</v>
      </c>
      <c r="T4523" s="13">
        <v>290</v>
      </c>
      <c r="U4523" s="13">
        <v>0</v>
      </c>
      <c r="V4523" s="13">
        <v>0</v>
      </c>
      <c r="W4523" s="37">
        <v>0</v>
      </c>
      <c r="X4523" s="18"/>
      <c r="Y4523" s="14"/>
      <c r="Z4523" s="14"/>
      <c r="AA4523" s="14"/>
      <c r="AB4523" s="14"/>
      <c r="AC4523" s="14"/>
      <c r="AD4523" s="14"/>
      <c r="AE4523" s="14"/>
      <c r="AF4523" s="14"/>
      <c r="AG4523" s="35"/>
    </row>
    <row r="4524" spans="2:33">
      <c r="B4524" s="19"/>
      <c r="P4524" s="16"/>
      <c r="Q4524" s="36" t="s">
        <v>275</v>
      </c>
      <c r="R4524" s="13">
        <v>408.489990234375</v>
      </c>
      <c r="S4524" s="13">
        <v>296.1099853515625</v>
      </c>
      <c r="T4524" s="13">
        <v>313.989990234375</v>
      </c>
      <c r="U4524" s="13">
        <v>0</v>
      </c>
      <c r="V4524" s="13">
        <v>0</v>
      </c>
      <c r="W4524" s="37">
        <v>0</v>
      </c>
      <c r="X4524" s="19"/>
      <c r="AG4524" s="16"/>
    </row>
    <row r="4525" spans="2:33">
      <c r="B4525" s="19"/>
      <c r="P4525" s="16"/>
      <c r="Q4525" s="36" t="s">
        <v>1841</v>
      </c>
      <c r="R4525" s="13">
        <v>585</v>
      </c>
      <c r="S4525" s="13">
        <v>369</v>
      </c>
      <c r="T4525" s="13">
        <v>347</v>
      </c>
      <c r="U4525" s="13">
        <v>0</v>
      </c>
      <c r="V4525" s="13">
        <v>0</v>
      </c>
      <c r="W4525" s="37">
        <v>0</v>
      </c>
      <c r="X4525" s="19"/>
      <c r="AG4525" s="16"/>
    </row>
    <row r="4526" spans="2:33">
      <c r="B4526" s="19"/>
      <c r="P4526" s="16"/>
      <c r="Q4526" s="36" t="s">
        <v>1842</v>
      </c>
      <c r="R4526" s="13">
        <v>495</v>
      </c>
      <c r="S4526" s="13">
        <v>293</v>
      </c>
      <c r="T4526" s="13">
        <v>498</v>
      </c>
      <c r="U4526" s="13">
        <v>0</v>
      </c>
      <c r="V4526" s="13">
        <v>0</v>
      </c>
      <c r="W4526" s="37">
        <v>0</v>
      </c>
      <c r="X4526" s="19"/>
      <c r="AG4526" s="16"/>
    </row>
    <row r="4527" spans="2:33">
      <c r="B4527" s="19"/>
      <c r="P4527" s="16"/>
      <c r="Q4527" s="36" t="s">
        <v>289</v>
      </c>
      <c r="R4527" s="13">
        <v>625</v>
      </c>
      <c r="S4527" s="13">
        <v>379</v>
      </c>
      <c r="T4527" s="13">
        <v>456</v>
      </c>
      <c r="U4527" s="13">
        <v>0</v>
      </c>
      <c r="V4527" s="13">
        <v>0</v>
      </c>
      <c r="W4527" s="37">
        <v>0</v>
      </c>
      <c r="X4527" s="19"/>
      <c r="AG4527" s="16"/>
    </row>
    <row r="4528" spans="2:33">
      <c r="B4528" s="19"/>
      <c r="P4528" s="16"/>
      <c r="Q4528" s="36" t="s">
        <v>290</v>
      </c>
      <c r="R4528" s="13">
        <v>681</v>
      </c>
      <c r="S4528" s="13">
        <v>416</v>
      </c>
      <c r="T4528" s="13">
        <v>489</v>
      </c>
      <c r="U4528" s="13">
        <v>0</v>
      </c>
      <c r="V4528" s="13">
        <v>0</v>
      </c>
      <c r="W4528" s="37">
        <v>0</v>
      </c>
      <c r="X4528" s="19"/>
      <c r="AG4528" s="16"/>
    </row>
    <row r="4529" spans="2:33">
      <c r="B4529" s="19"/>
      <c r="P4529" s="16"/>
      <c r="Q4529" s="36" t="s">
        <v>266</v>
      </c>
      <c r="R4529" s="13">
        <v>720</v>
      </c>
      <c r="S4529" s="13">
        <v>430</v>
      </c>
      <c r="T4529" s="13">
        <v>609</v>
      </c>
      <c r="U4529" s="13">
        <v>0</v>
      </c>
      <c r="V4529" s="13">
        <v>0</v>
      </c>
      <c r="W4529" s="37">
        <v>0</v>
      </c>
      <c r="X4529" s="19"/>
      <c r="AG4529" s="16"/>
    </row>
    <row r="4530" spans="2:33">
      <c r="B4530" s="19"/>
      <c r="P4530" s="16"/>
      <c r="Q4530" s="36" t="s">
        <v>267</v>
      </c>
      <c r="R4530" s="13">
        <v>630</v>
      </c>
      <c r="S4530" s="13">
        <v>376</v>
      </c>
      <c r="T4530" s="13">
        <v>511</v>
      </c>
      <c r="U4530" s="13">
        <v>0</v>
      </c>
      <c r="V4530" s="13">
        <v>0</v>
      </c>
      <c r="W4530" s="37">
        <v>0</v>
      </c>
      <c r="X4530" s="19"/>
      <c r="AG4530" s="16"/>
    </row>
    <row r="4531" spans="2:33">
      <c r="B4531" s="19"/>
      <c r="P4531" s="16"/>
      <c r="Q4531" s="36" t="s">
        <v>1578</v>
      </c>
      <c r="R4531" s="13">
        <v>652</v>
      </c>
      <c r="S4531" s="13">
        <v>378</v>
      </c>
      <c r="T4531" s="13">
        <v>565</v>
      </c>
      <c r="U4531" s="13">
        <v>0</v>
      </c>
      <c r="V4531" s="13">
        <v>0</v>
      </c>
      <c r="W4531" s="37">
        <v>0</v>
      </c>
      <c r="X4531" s="19"/>
      <c r="AG4531" s="16"/>
    </row>
    <row r="4532" spans="2:33">
      <c r="B4532" s="19"/>
      <c r="P4532" s="16"/>
      <c r="Q4532" s="36" t="s">
        <v>1843</v>
      </c>
      <c r="R4532" s="13">
        <v>869</v>
      </c>
      <c r="S4532" s="13">
        <v>545</v>
      </c>
      <c r="T4532" s="13">
        <v>737</v>
      </c>
      <c r="U4532" s="13">
        <v>0</v>
      </c>
      <c r="V4532" s="13">
        <v>0</v>
      </c>
      <c r="W4532" s="37">
        <v>0</v>
      </c>
      <c r="X4532" s="19"/>
      <c r="AG4532" s="16"/>
    </row>
    <row r="4533" spans="2:33" ht="15" thickBot="1">
      <c r="B4533" s="20"/>
      <c r="C4533" s="15"/>
      <c r="D4533" s="15"/>
      <c r="E4533" s="15"/>
      <c r="F4533" s="15"/>
      <c r="G4533" s="15"/>
      <c r="H4533" s="15"/>
      <c r="I4533" s="15"/>
      <c r="J4533" s="15"/>
      <c r="K4533" s="15"/>
      <c r="L4533" s="15"/>
      <c r="M4533" s="15"/>
      <c r="N4533" s="15"/>
      <c r="O4533" s="15"/>
      <c r="P4533" s="17"/>
      <c r="Q4533" s="36" t="s">
        <v>1844</v>
      </c>
      <c r="R4533" s="13">
        <v>566</v>
      </c>
      <c r="S4533" s="13">
        <v>370</v>
      </c>
      <c r="T4533" s="13">
        <v>512</v>
      </c>
      <c r="U4533" s="13">
        <v>0</v>
      </c>
      <c r="V4533" s="13">
        <v>0</v>
      </c>
      <c r="W4533" s="37">
        <v>0</v>
      </c>
      <c r="X4533" s="20"/>
      <c r="Y4533" s="15"/>
      <c r="Z4533" s="15"/>
      <c r="AA4533" s="15"/>
      <c r="AB4533" s="15"/>
      <c r="AC4533" s="15"/>
      <c r="AD4533" s="15"/>
      <c r="AE4533" s="15"/>
      <c r="AF4533" s="15"/>
      <c r="AG4533" s="17"/>
    </row>
    <row r="4534" spans="2:33" ht="15" thickBot="1"/>
    <row r="4535" spans="2:33" ht="15" thickBot="1">
      <c r="B4535" s="53" t="s">
        <v>2195</v>
      </c>
      <c r="C4535" s="26" t="s">
        <v>1809</v>
      </c>
      <c r="D4535" s="26" t="s">
        <v>1845</v>
      </c>
      <c r="E4535" s="26" t="s">
        <v>1846</v>
      </c>
      <c r="F4535" s="26" t="s">
        <v>819</v>
      </c>
      <c r="G4535" s="26" t="s">
        <v>820</v>
      </c>
      <c r="H4535" s="27" t="s">
        <v>821</v>
      </c>
      <c r="I4535" s="26" t="s">
        <v>1847</v>
      </c>
      <c r="J4535" s="27" t="s">
        <v>87</v>
      </c>
      <c r="K4535" s="29">
        <v>15</v>
      </c>
      <c r="L4535" s="29">
        <v>15</v>
      </c>
      <c r="M4535" s="29">
        <v>15</v>
      </c>
      <c r="N4535" s="29">
        <v>15</v>
      </c>
      <c r="O4535" s="29">
        <v>15</v>
      </c>
      <c r="P4535" s="40">
        <v>30.243000030517599</v>
      </c>
      <c r="Q4535" s="1" t="s">
        <v>1848</v>
      </c>
      <c r="R4535" s="2">
        <v>0</v>
      </c>
      <c r="S4535" s="2">
        <v>71</v>
      </c>
      <c r="T4535" s="2">
        <v>0</v>
      </c>
      <c r="U4535" s="2">
        <v>42</v>
      </c>
      <c r="V4535" s="2">
        <v>0</v>
      </c>
      <c r="W4535" s="2">
        <v>96</v>
      </c>
      <c r="X4535" s="43">
        <f>SUM(R4535:W4548)</f>
        <v>18584</v>
      </c>
      <c r="Y4535" s="10">
        <v>46204</v>
      </c>
      <c r="Z4535" s="11">
        <v>0.21822774234314721</v>
      </c>
      <c r="AA4535" s="11">
        <v>0.19176892037163287</v>
      </c>
      <c r="AB4535" s="11">
        <v>0.16994687607165501</v>
      </c>
      <c r="AC4535" s="11">
        <v>0.13533276805163061</v>
      </c>
      <c r="AD4535" s="11">
        <v>0.11849120346270935</v>
      </c>
      <c r="AE4535" s="11">
        <v>0.13112980089791482</v>
      </c>
      <c r="AF4535" s="11">
        <v>0.2</v>
      </c>
      <c r="AG4535" s="11">
        <v>1.2709999999999999</v>
      </c>
    </row>
    <row r="4536" spans="2:33">
      <c r="C4536" s="14"/>
      <c r="D4536" s="14"/>
      <c r="E4536" s="14"/>
      <c r="F4536" s="14"/>
      <c r="G4536" s="14"/>
      <c r="H4536" s="14"/>
      <c r="I4536" s="14"/>
      <c r="J4536" s="14"/>
      <c r="K4536" s="14"/>
      <c r="L4536" s="14"/>
      <c r="M4536" s="14"/>
      <c r="N4536" s="14"/>
      <c r="O4536" s="14"/>
      <c r="P4536" s="35"/>
      <c r="Q4536" s="36" t="s">
        <v>1849</v>
      </c>
      <c r="R4536" s="13">
        <v>0</v>
      </c>
      <c r="S4536" s="13">
        <v>75</v>
      </c>
      <c r="T4536" s="13">
        <v>0</v>
      </c>
      <c r="U4536" s="13">
        <v>35</v>
      </c>
      <c r="V4536" s="13">
        <v>0</v>
      </c>
      <c r="W4536" s="37">
        <v>96</v>
      </c>
      <c r="X4536" s="18"/>
      <c r="Y4536" s="14"/>
      <c r="Z4536" s="14"/>
      <c r="AA4536" s="14"/>
      <c r="AB4536" s="14"/>
      <c r="AC4536" s="14"/>
      <c r="AD4536" s="14"/>
      <c r="AE4536" s="14"/>
      <c r="AF4536" s="14"/>
      <c r="AG4536" s="35"/>
    </row>
    <row r="4537" spans="2:33">
      <c r="B4537" s="19"/>
      <c r="P4537" s="16"/>
      <c r="Q4537" s="36" t="s">
        <v>36</v>
      </c>
      <c r="R4537" s="13">
        <v>0</v>
      </c>
      <c r="S4537" s="13">
        <v>383</v>
      </c>
      <c r="T4537" s="13">
        <v>0</v>
      </c>
      <c r="U4537" s="13">
        <v>212</v>
      </c>
      <c r="V4537" s="13">
        <v>0</v>
      </c>
      <c r="W4537" s="37">
        <v>266</v>
      </c>
      <c r="X4537" s="19"/>
      <c r="AG4537" s="16"/>
    </row>
    <row r="4538" spans="2:33">
      <c r="B4538" s="19"/>
      <c r="P4538" s="16"/>
      <c r="Q4538" s="36" t="s">
        <v>37</v>
      </c>
      <c r="R4538" s="13">
        <v>0</v>
      </c>
      <c r="S4538" s="13">
        <v>394</v>
      </c>
      <c r="T4538" s="13">
        <v>0</v>
      </c>
      <c r="U4538" s="13">
        <v>221</v>
      </c>
      <c r="V4538" s="13">
        <v>0</v>
      </c>
      <c r="W4538" s="37">
        <v>297</v>
      </c>
      <c r="X4538" s="19"/>
      <c r="AG4538" s="16"/>
    </row>
    <row r="4539" spans="2:33">
      <c r="B4539" s="19"/>
      <c r="P4539" s="16"/>
      <c r="Q4539" s="36" t="s">
        <v>38</v>
      </c>
      <c r="R4539" s="13">
        <v>0</v>
      </c>
      <c r="S4539" s="13">
        <v>0</v>
      </c>
      <c r="T4539" s="13">
        <v>0</v>
      </c>
      <c r="U4539" s="13">
        <v>481</v>
      </c>
      <c r="V4539" s="13">
        <v>252</v>
      </c>
      <c r="W4539" s="37">
        <v>266</v>
      </c>
      <c r="X4539" s="19"/>
      <c r="AG4539" s="16"/>
    </row>
    <row r="4540" spans="2:33">
      <c r="B4540" s="19"/>
      <c r="P4540" s="16"/>
      <c r="Q4540" s="36" t="s">
        <v>39</v>
      </c>
      <c r="R4540" s="13">
        <v>0</v>
      </c>
      <c r="S4540" s="13">
        <v>0</v>
      </c>
      <c r="T4540" s="13">
        <v>0</v>
      </c>
      <c r="U4540" s="13">
        <v>537</v>
      </c>
      <c r="V4540" s="13">
        <v>258</v>
      </c>
      <c r="W4540" s="37">
        <v>330</v>
      </c>
      <c r="X4540" s="19"/>
      <c r="AG4540" s="16"/>
    </row>
    <row r="4541" spans="2:33">
      <c r="B4541" s="19"/>
      <c r="P4541" s="16"/>
      <c r="Q4541" s="36" t="s">
        <v>1850</v>
      </c>
      <c r="R4541" s="13">
        <v>0</v>
      </c>
      <c r="S4541" s="13">
        <v>0</v>
      </c>
      <c r="T4541" s="13">
        <v>0</v>
      </c>
      <c r="U4541" s="13">
        <v>95</v>
      </c>
      <c r="V4541" s="13">
        <v>50</v>
      </c>
      <c r="W4541" s="37">
        <v>42</v>
      </c>
      <c r="X4541" s="19"/>
      <c r="AG4541" s="16"/>
    </row>
    <row r="4542" spans="2:33">
      <c r="B4542" s="19"/>
      <c r="P4542" s="16"/>
      <c r="Q4542" s="36" t="s">
        <v>1851</v>
      </c>
      <c r="R4542" s="13">
        <v>0</v>
      </c>
      <c r="S4542" s="13">
        <v>0</v>
      </c>
      <c r="T4542" s="13">
        <v>0</v>
      </c>
      <c r="U4542" s="13">
        <v>757</v>
      </c>
      <c r="V4542" s="13">
        <v>589</v>
      </c>
      <c r="W4542" s="37">
        <v>3274</v>
      </c>
      <c r="X4542" s="19"/>
      <c r="AG4542" s="16"/>
    </row>
    <row r="4543" spans="2:33">
      <c r="B4543" s="19"/>
      <c r="P4543" s="16"/>
      <c r="Q4543" s="36" t="s">
        <v>41</v>
      </c>
      <c r="R4543" s="13">
        <v>702</v>
      </c>
      <c r="S4543" s="13">
        <v>0</v>
      </c>
      <c r="T4543" s="13">
        <v>375</v>
      </c>
      <c r="U4543" s="13">
        <v>0</v>
      </c>
      <c r="V4543" s="13">
        <v>0</v>
      </c>
      <c r="W4543" s="37">
        <v>355</v>
      </c>
      <c r="X4543" s="19"/>
      <c r="AG4543" s="16"/>
    </row>
    <row r="4544" spans="2:33">
      <c r="B4544" s="19"/>
      <c r="P4544" s="16"/>
      <c r="Q4544" s="36" t="s">
        <v>42</v>
      </c>
      <c r="R4544" s="13">
        <v>890</v>
      </c>
      <c r="S4544" s="13">
        <v>0</v>
      </c>
      <c r="T4544" s="13">
        <v>473</v>
      </c>
      <c r="U4544" s="13">
        <v>0</v>
      </c>
      <c r="V4544" s="13">
        <v>0</v>
      </c>
      <c r="W4544" s="37">
        <v>599</v>
      </c>
      <c r="X4544" s="19"/>
      <c r="AG4544" s="16"/>
    </row>
    <row r="4545" spans="2:33">
      <c r="B4545" s="19"/>
      <c r="P4545" s="16"/>
      <c r="Q4545" s="36" t="s">
        <v>43</v>
      </c>
      <c r="R4545" s="13">
        <v>794</v>
      </c>
      <c r="S4545" s="13">
        <v>0</v>
      </c>
      <c r="T4545" s="13">
        <v>454</v>
      </c>
      <c r="U4545" s="13">
        <v>0</v>
      </c>
      <c r="V4545" s="13">
        <v>0</v>
      </c>
      <c r="W4545" s="37">
        <v>360</v>
      </c>
      <c r="X4545" s="19"/>
      <c r="AG4545" s="16"/>
    </row>
    <row r="4546" spans="2:33">
      <c r="B4546" s="19"/>
      <c r="P4546" s="16"/>
      <c r="Q4546" s="36" t="s">
        <v>44</v>
      </c>
      <c r="R4546" s="13">
        <v>794</v>
      </c>
      <c r="S4546" s="13">
        <v>0</v>
      </c>
      <c r="T4546" s="13">
        <v>485</v>
      </c>
      <c r="U4546" s="13">
        <v>0</v>
      </c>
      <c r="V4546" s="13">
        <v>0</v>
      </c>
      <c r="W4546" s="37">
        <v>428</v>
      </c>
      <c r="X4546" s="19"/>
      <c r="AG4546" s="16"/>
    </row>
    <row r="4547" spans="2:33">
      <c r="B4547" s="19"/>
      <c r="P4547" s="16"/>
      <c r="Q4547" s="36" t="s">
        <v>45</v>
      </c>
      <c r="R4547" s="13">
        <v>0</v>
      </c>
      <c r="S4547" s="13">
        <v>520</v>
      </c>
      <c r="T4547" s="13">
        <v>311</v>
      </c>
      <c r="U4547" s="13">
        <v>0</v>
      </c>
      <c r="V4547" s="13">
        <v>0</v>
      </c>
      <c r="W4547" s="37">
        <v>472</v>
      </c>
      <c r="X4547" s="19"/>
      <c r="AG4547" s="16"/>
    </row>
    <row r="4548" spans="2:33" ht="15" thickBot="1">
      <c r="B4548" s="20"/>
      <c r="C4548" s="15"/>
      <c r="D4548" s="15"/>
      <c r="E4548" s="15"/>
      <c r="F4548" s="15"/>
      <c r="G4548" s="15"/>
      <c r="H4548" s="15"/>
      <c r="I4548" s="15"/>
      <c r="J4548" s="15"/>
      <c r="K4548" s="15"/>
      <c r="L4548" s="15"/>
      <c r="M4548" s="15"/>
      <c r="N4548" s="15"/>
      <c r="O4548" s="15"/>
      <c r="P4548" s="17"/>
      <c r="Q4548" s="36" t="s">
        <v>46</v>
      </c>
      <c r="R4548" s="13">
        <v>0</v>
      </c>
      <c r="S4548" s="13">
        <v>540</v>
      </c>
      <c r="T4548" s="13">
        <v>326</v>
      </c>
      <c r="U4548" s="13">
        <v>0</v>
      </c>
      <c r="V4548" s="13">
        <v>0</v>
      </c>
      <c r="W4548" s="37">
        <v>587</v>
      </c>
      <c r="X4548" s="20"/>
      <c r="Y4548" s="15"/>
      <c r="Z4548" s="15"/>
      <c r="AA4548" s="15"/>
      <c r="AB4548" s="15"/>
      <c r="AC4548" s="15"/>
      <c r="AD4548" s="15"/>
      <c r="AE4548" s="15"/>
      <c r="AF4548" s="15"/>
      <c r="AG4548" s="17"/>
    </row>
    <row r="4550" spans="2:33" ht="15" thickBot="1">
      <c r="B4550" s="25" t="s">
        <v>2180</v>
      </c>
      <c r="C4550" s="26" t="s">
        <v>2181</v>
      </c>
      <c r="D4550" s="26" t="s">
        <v>2182</v>
      </c>
      <c r="E4550" s="26" t="s">
        <v>2183</v>
      </c>
      <c r="F4550" s="26" t="s">
        <v>2184</v>
      </c>
      <c r="G4550" s="26" t="s">
        <v>33</v>
      </c>
      <c r="H4550" s="27" t="s">
        <v>33</v>
      </c>
      <c r="I4550" s="26" t="s">
        <v>2185</v>
      </c>
      <c r="J4550" s="27" t="s">
        <v>34</v>
      </c>
      <c r="K4550" s="29">
        <v>950</v>
      </c>
      <c r="L4550" s="29">
        <v>950</v>
      </c>
      <c r="M4550" s="29">
        <v>950</v>
      </c>
      <c r="N4550" s="29">
        <v>950</v>
      </c>
      <c r="O4550" s="29">
        <v>950</v>
      </c>
      <c r="P4550" s="40">
        <v>1500</v>
      </c>
      <c r="Q4550" s="1" t="s">
        <v>38</v>
      </c>
      <c r="R4550" s="2">
        <v>0</v>
      </c>
      <c r="S4550" s="2">
        <v>0</v>
      </c>
      <c r="T4550" s="2">
        <v>0</v>
      </c>
      <c r="U4550" s="2">
        <v>124199</v>
      </c>
      <c r="V4550" s="2">
        <v>90042</v>
      </c>
      <c r="W4550" s="2">
        <v>175400</v>
      </c>
      <c r="X4550" s="43">
        <f>SUM(R4550:W4558)</f>
        <v>3928886</v>
      </c>
      <c r="Y4550" s="10">
        <v>46204</v>
      </c>
      <c r="Z4550" s="11">
        <v>0.18962454052312397</v>
      </c>
      <c r="AA4550" s="11">
        <v>0.15853632235818399</v>
      </c>
      <c r="AB4550" s="11">
        <v>0.13130366614667105</v>
      </c>
      <c r="AC4550" s="11">
        <v>0.11730241147211601</v>
      </c>
      <c r="AD4550" s="11">
        <v>0.10638825231856879</v>
      </c>
      <c r="AE4550" s="11">
        <v>0.12205898654316046</v>
      </c>
      <c r="AF4550" s="11">
        <v>0.2</v>
      </c>
      <c r="AG4550" s="11">
        <v>0.23899999999999999</v>
      </c>
    </row>
    <row r="4551" spans="2:33">
      <c r="B4551" s="4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13" t="s">
        <v>39</v>
      </c>
      <c r="R4551" s="13">
        <v>0</v>
      </c>
      <c r="S4551" s="13">
        <v>0</v>
      </c>
      <c r="T4551" s="13">
        <v>0</v>
      </c>
      <c r="U4551" s="13">
        <v>121229</v>
      </c>
      <c r="V4551" s="13">
        <v>89473</v>
      </c>
      <c r="W4551" s="37">
        <v>194514</v>
      </c>
      <c r="X4551" s="18"/>
      <c r="Y4551" s="14"/>
      <c r="Z4551" s="14"/>
      <c r="AA4551" s="14"/>
      <c r="AB4551" s="14"/>
      <c r="AC4551" s="14"/>
      <c r="AD4551" s="14"/>
      <c r="AE4551" s="14"/>
      <c r="AF4551" s="14"/>
      <c r="AG4551" s="35"/>
    </row>
    <row r="4552" spans="2:33">
      <c r="B4552" s="6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13" t="s">
        <v>40</v>
      </c>
      <c r="R4552" s="13">
        <v>0</v>
      </c>
      <c r="S4552" s="13">
        <v>0</v>
      </c>
      <c r="T4552" s="13">
        <v>140883</v>
      </c>
      <c r="U4552" s="13">
        <v>106985</v>
      </c>
      <c r="V4552" s="13">
        <v>0</v>
      </c>
      <c r="W4552" s="37">
        <v>200403</v>
      </c>
      <c r="X4552" s="19"/>
      <c r="AG4552" s="16"/>
    </row>
    <row r="4553" spans="2:33">
      <c r="B4553" s="6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13" t="s">
        <v>41</v>
      </c>
      <c r="R4553" s="13">
        <v>156343</v>
      </c>
      <c r="S4553" s="13">
        <v>120632</v>
      </c>
      <c r="T4553" s="13">
        <v>0</v>
      </c>
      <c r="U4553" s="13">
        <v>0</v>
      </c>
      <c r="V4553" s="13">
        <v>0</v>
      </c>
      <c r="W4553" s="37">
        <v>193903</v>
      </c>
      <c r="X4553" s="19"/>
      <c r="AG4553" s="16"/>
    </row>
    <row r="4554" spans="2:33">
      <c r="B4554" s="6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13" t="s">
        <v>42</v>
      </c>
      <c r="R4554" s="13">
        <v>0</v>
      </c>
      <c r="S4554" s="13">
        <v>0</v>
      </c>
      <c r="T4554" s="13">
        <v>127110</v>
      </c>
      <c r="U4554" s="13">
        <v>98961</v>
      </c>
      <c r="V4554" s="13">
        <v>0</v>
      </c>
      <c r="W4554" s="37">
        <v>225376</v>
      </c>
      <c r="X4554" s="19"/>
      <c r="AG4554" s="16"/>
    </row>
    <row r="4555" spans="2:33">
      <c r="B4555" s="6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13" t="s">
        <v>43</v>
      </c>
      <c r="R4555" s="13">
        <v>0</v>
      </c>
      <c r="S4555" s="13">
        <v>0</v>
      </c>
      <c r="T4555" s="13">
        <v>137323</v>
      </c>
      <c r="U4555" s="13">
        <v>104770</v>
      </c>
      <c r="V4555" s="13">
        <v>0</v>
      </c>
      <c r="W4555" s="37">
        <v>184002</v>
      </c>
      <c r="X4555" s="19"/>
      <c r="AG4555" s="16"/>
    </row>
    <row r="4556" spans="2:33">
      <c r="B4556" s="6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13" t="s">
        <v>44</v>
      </c>
      <c r="R4556" s="13">
        <v>0</v>
      </c>
      <c r="S4556" s="13">
        <v>0</v>
      </c>
      <c r="T4556" s="13">
        <v>0</v>
      </c>
      <c r="U4556" s="13">
        <v>140081</v>
      </c>
      <c r="V4556" s="13">
        <v>103674</v>
      </c>
      <c r="W4556" s="37">
        <v>186149</v>
      </c>
      <c r="X4556" s="19"/>
      <c r="AG4556" s="16"/>
    </row>
    <row r="4557" spans="2:33">
      <c r="B4557" s="6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13" t="s">
        <v>45</v>
      </c>
      <c r="R4557" s="13">
        <v>0</v>
      </c>
      <c r="S4557" s="13">
        <v>129305</v>
      </c>
      <c r="T4557" s="13">
        <v>96571</v>
      </c>
      <c r="U4557" s="13">
        <v>0</v>
      </c>
      <c r="V4557" s="13">
        <v>0</v>
      </c>
      <c r="W4557" s="37">
        <v>209781</v>
      </c>
      <c r="X4557" s="19"/>
      <c r="AG4557" s="16"/>
    </row>
    <row r="4558" spans="2:33" ht="15" thickBot="1">
      <c r="B4558" s="7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  <c r="P4558" s="8"/>
      <c r="Q4558" s="13" t="s">
        <v>46</v>
      </c>
      <c r="R4558" s="13">
        <v>143061</v>
      </c>
      <c r="S4558" s="13">
        <v>106411</v>
      </c>
      <c r="T4558" s="13">
        <v>0</v>
      </c>
      <c r="U4558" s="13">
        <v>0</v>
      </c>
      <c r="V4558" s="13">
        <v>0</v>
      </c>
      <c r="W4558" s="37">
        <v>222305</v>
      </c>
      <c r="X4558" s="20"/>
      <c r="Y4558" s="15"/>
      <c r="Z4558" s="15"/>
      <c r="AA4558" s="15"/>
      <c r="AB4558" s="15"/>
      <c r="AC4558" s="15"/>
      <c r="AD4558" s="15"/>
      <c r="AE4558" s="15"/>
      <c r="AF4558" s="15"/>
      <c r="AG4558" s="17"/>
    </row>
    <row r="4559" spans="2:33"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46"/>
      <c r="R4559" s="46"/>
      <c r="S4559" s="46"/>
      <c r="T4559" s="46"/>
      <c r="U4559" s="46"/>
      <c r="V4559" s="46"/>
      <c r="W4559" s="46"/>
    </row>
    <row r="4560" spans="2:33">
      <c r="Q4560" s="70" t="s">
        <v>25</v>
      </c>
      <c r="R4560" s="70"/>
      <c r="S4560" s="70"/>
      <c r="T4560" s="70"/>
      <c r="U4560" s="70"/>
      <c r="V4560" s="70"/>
      <c r="W4560" s="66">
        <f>+SUM(X:X)</f>
        <v>49646251.368381187</v>
      </c>
    </row>
    <row r="4561" spans="17:33">
      <c r="Q4561" s="70"/>
      <c r="R4561" s="70"/>
      <c r="S4561" s="70"/>
      <c r="T4561" s="70"/>
      <c r="U4561" s="70"/>
      <c r="V4561" s="70"/>
      <c r="W4561" s="66"/>
    </row>
    <row r="4562" spans="17:33">
      <c r="Z4562" s="11"/>
      <c r="AA4562" s="11"/>
      <c r="AB4562" s="11"/>
      <c r="AC4562" s="11"/>
      <c r="AD4562" s="11"/>
      <c r="AE4562" s="11"/>
      <c r="AF4562" s="11"/>
      <c r="AG4562" s="11"/>
    </row>
  </sheetData>
  <mergeCells count="21">
    <mergeCell ref="G6:G7"/>
    <mergeCell ref="E6:E7"/>
    <mergeCell ref="AF6:AG6"/>
    <mergeCell ref="Y6:Y7"/>
    <mergeCell ref="Z6:AE6"/>
    <mergeCell ref="AF4:AG5"/>
    <mergeCell ref="X9:AG20"/>
    <mergeCell ref="Z5:AE5"/>
    <mergeCell ref="W4560:W4561"/>
    <mergeCell ref="B6:B7"/>
    <mergeCell ref="C6:C7"/>
    <mergeCell ref="H6:H7"/>
    <mergeCell ref="X6:X7"/>
    <mergeCell ref="R6:W6"/>
    <mergeCell ref="D6:D7"/>
    <mergeCell ref="I6:I7"/>
    <mergeCell ref="J6:J7"/>
    <mergeCell ref="K6:P6"/>
    <mergeCell ref="Q4560:V4561"/>
    <mergeCell ref="F6:F7"/>
    <mergeCell ref="Q6:Q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F90C-9E23-4061-8375-F4C454EA6DF5}">
  <dimension ref="A1:F39"/>
  <sheetViews>
    <sheetView workbookViewId="0">
      <selection activeCell="A15" sqref="A15"/>
    </sheetView>
  </sheetViews>
  <sheetFormatPr baseColWidth="10" defaultRowHeight="14.5"/>
  <cols>
    <col min="1" max="1" width="40.08984375" bestFit="1" customWidth="1"/>
    <col min="2" max="2" width="19.08984375" hidden="1" customWidth="1"/>
    <col min="3" max="3" width="9.08984375" hidden="1" customWidth="1"/>
    <col min="4" max="4" width="22.1796875" hidden="1" customWidth="1"/>
    <col min="5" max="5" width="17.1796875" bestFit="1" customWidth="1"/>
    <col min="6" max="6" width="23.26953125" hidden="1" customWidth="1"/>
  </cols>
  <sheetData>
    <row r="1" spans="1:6" ht="15" thickBot="1">
      <c r="A1" s="74" t="s">
        <v>2198</v>
      </c>
      <c r="B1" s="75" t="s">
        <v>2199</v>
      </c>
      <c r="C1" s="75" t="s">
        <v>2200</v>
      </c>
      <c r="D1" s="75" t="s">
        <v>2201</v>
      </c>
      <c r="E1" s="75" t="s">
        <v>2202</v>
      </c>
      <c r="F1" s="75" t="s">
        <v>2203</v>
      </c>
    </row>
    <row r="2" spans="1:6" ht="15" thickBot="1">
      <c r="A2" s="79" t="s">
        <v>109</v>
      </c>
      <c r="B2" s="77">
        <v>3</v>
      </c>
      <c r="C2" s="77">
        <v>464.67</v>
      </c>
      <c r="D2" s="77">
        <v>0.94</v>
      </c>
      <c r="E2" s="80">
        <v>1.17</v>
      </c>
      <c r="F2" s="77">
        <v>0.8</v>
      </c>
    </row>
    <row r="3" spans="1:6" ht="15" thickBot="1">
      <c r="A3" s="79" t="s">
        <v>122</v>
      </c>
      <c r="B3" s="77">
        <v>1</v>
      </c>
      <c r="C3" s="77">
        <v>22.06</v>
      </c>
      <c r="D3" s="77">
        <v>1.26</v>
      </c>
      <c r="E3" s="80">
        <v>1.58</v>
      </c>
      <c r="F3" s="77">
        <v>1.1100000000000001</v>
      </c>
    </row>
    <row r="4" spans="1:6" ht="15" thickBot="1">
      <c r="A4" s="79" t="s">
        <v>128</v>
      </c>
      <c r="B4" s="77">
        <v>4</v>
      </c>
      <c r="C4" s="77">
        <v>545.9</v>
      </c>
      <c r="D4" s="77">
        <v>0.86</v>
      </c>
      <c r="E4" s="80">
        <v>1.08</v>
      </c>
      <c r="F4" s="77">
        <v>0.7</v>
      </c>
    </row>
    <row r="5" spans="1:6" ht="15" thickBot="1">
      <c r="A5" s="79" t="s">
        <v>150</v>
      </c>
      <c r="B5" s="77">
        <v>4</v>
      </c>
      <c r="C5" s="77">
        <v>399.34</v>
      </c>
      <c r="D5" s="77">
        <v>0.94</v>
      </c>
      <c r="E5" s="80">
        <v>1.17</v>
      </c>
      <c r="F5" s="77">
        <v>0.8</v>
      </c>
    </row>
    <row r="6" spans="1:6" ht="15" thickBot="1">
      <c r="A6" s="79" t="s">
        <v>183</v>
      </c>
      <c r="B6" s="77">
        <v>1</v>
      </c>
      <c r="C6" s="77">
        <v>73.22</v>
      </c>
      <c r="D6" s="77">
        <v>1.26</v>
      </c>
      <c r="E6" s="80">
        <v>1.58</v>
      </c>
      <c r="F6" s="77">
        <v>1.1100000000000001</v>
      </c>
    </row>
    <row r="7" spans="1:6" ht="15" thickBot="1">
      <c r="A7" s="79" t="s">
        <v>240</v>
      </c>
      <c r="B7" s="77">
        <v>1</v>
      </c>
      <c r="C7" s="77">
        <v>113.7</v>
      </c>
      <c r="D7" s="77">
        <v>1.1200000000000001</v>
      </c>
      <c r="E7" s="80">
        <v>1.4</v>
      </c>
      <c r="F7" s="77">
        <v>1</v>
      </c>
    </row>
    <row r="8" spans="1:6" ht="15" thickBot="1">
      <c r="A8" s="79" t="s">
        <v>316</v>
      </c>
      <c r="B8" s="77">
        <v>1</v>
      </c>
      <c r="C8" s="77">
        <v>100.96</v>
      </c>
      <c r="D8" s="77">
        <v>1.1200000000000001</v>
      </c>
      <c r="E8" s="80">
        <v>1.4</v>
      </c>
      <c r="F8" s="77">
        <v>1</v>
      </c>
    </row>
    <row r="9" spans="1:6" ht="15" thickBot="1">
      <c r="A9" s="79" t="s">
        <v>323</v>
      </c>
      <c r="B9" s="77">
        <v>1</v>
      </c>
      <c r="C9" s="77">
        <v>44.14</v>
      </c>
      <c r="D9" s="77">
        <v>1.26</v>
      </c>
      <c r="E9" s="80">
        <v>1.58</v>
      </c>
      <c r="F9" s="77">
        <v>1.1100000000000001</v>
      </c>
    </row>
    <row r="10" spans="1:6" ht="15" thickBot="1">
      <c r="A10" s="79" t="s">
        <v>331</v>
      </c>
      <c r="B10" s="77">
        <v>1</v>
      </c>
      <c r="C10" s="77">
        <v>155.57</v>
      </c>
      <c r="D10" s="77">
        <v>1.1200000000000001</v>
      </c>
      <c r="E10" s="80">
        <v>1.4</v>
      </c>
      <c r="F10" s="77">
        <v>1</v>
      </c>
    </row>
    <row r="11" spans="1:6" ht="15" thickBot="1">
      <c r="A11" s="79" t="s">
        <v>93</v>
      </c>
      <c r="B11" s="77">
        <v>1</v>
      </c>
      <c r="C11" s="77">
        <v>812.05</v>
      </c>
      <c r="D11" s="77">
        <v>0.72</v>
      </c>
      <c r="E11" s="80">
        <v>0.9</v>
      </c>
      <c r="F11" s="77">
        <v>0.55000000000000004</v>
      </c>
    </row>
    <row r="12" spans="1:6" ht="15" thickBot="1">
      <c r="A12" s="79" t="s">
        <v>388</v>
      </c>
      <c r="B12" s="80">
        <v>9</v>
      </c>
      <c r="C12" s="81">
        <v>1284.98</v>
      </c>
      <c r="D12" s="80">
        <v>0.57999999999999996</v>
      </c>
      <c r="E12" s="80">
        <v>0.72</v>
      </c>
      <c r="F12" s="77">
        <v>0.3</v>
      </c>
    </row>
    <row r="13" spans="1:6" ht="15" thickBot="1">
      <c r="A13" s="79" t="s">
        <v>2194</v>
      </c>
      <c r="B13" s="77">
        <v>1</v>
      </c>
      <c r="C13" s="77">
        <v>10.25</v>
      </c>
      <c r="D13" s="77">
        <v>1.26</v>
      </c>
      <c r="E13" s="80">
        <v>1.58</v>
      </c>
      <c r="F13" s="77">
        <v>1.1100000000000001</v>
      </c>
    </row>
    <row r="14" spans="1:6" ht="15" thickBot="1">
      <c r="A14" s="79" t="s">
        <v>532</v>
      </c>
      <c r="B14" s="77">
        <v>74</v>
      </c>
      <c r="C14" s="78">
        <v>3725.55</v>
      </c>
      <c r="D14" s="77">
        <v>0.54</v>
      </c>
      <c r="E14" s="80">
        <v>0.68</v>
      </c>
      <c r="F14" s="77">
        <v>0.2</v>
      </c>
    </row>
    <row r="15" spans="1:6" ht="15" thickBot="1">
      <c r="A15" s="76" t="s">
        <v>2208</v>
      </c>
      <c r="B15" s="77">
        <v>1</v>
      </c>
      <c r="C15" s="78">
        <v>1574.46</v>
      </c>
      <c r="D15" s="77">
        <v>0.57999999999999996</v>
      </c>
      <c r="E15" s="77">
        <v>0.72</v>
      </c>
      <c r="F15" s="77">
        <v>0.3</v>
      </c>
    </row>
    <row r="16" spans="1:6" ht="15" thickBot="1">
      <c r="A16" s="79" t="s">
        <v>1177</v>
      </c>
      <c r="B16" s="77">
        <v>1</v>
      </c>
      <c r="C16" s="77">
        <v>58.28</v>
      </c>
      <c r="D16" s="77">
        <v>1.26</v>
      </c>
      <c r="E16" s="80">
        <v>1.58</v>
      </c>
      <c r="F16" s="77">
        <v>1.1100000000000001</v>
      </c>
    </row>
    <row r="17" spans="1:6" ht="15" thickBot="1">
      <c r="A17" s="79" t="s">
        <v>1184</v>
      </c>
      <c r="B17" s="77">
        <v>1</v>
      </c>
      <c r="C17" s="77">
        <v>266.95</v>
      </c>
      <c r="D17" s="77">
        <v>1.1200000000000001</v>
      </c>
      <c r="E17" s="80">
        <v>1.4</v>
      </c>
      <c r="F17" s="77">
        <v>1</v>
      </c>
    </row>
    <row r="18" spans="1:6" ht="15" thickBot="1">
      <c r="A18" s="79" t="s">
        <v>1190</v>
      </c>
      <c r="B18" s="77">
        <v>1</v>
      </c>
      <c r="C18" s="77">
        <v>82.86</v>
      </c>
      <c r="D18" s="77">
        <v>1.26</v>
      </c>
      <c r="E18" s="80">
        <v>1.58</v>
      </c>
      <c r="F18" s="77">
        <v>1.1100000000000001</v>
      </c>
    </row>
    <row r="19" spans="1:6" ht="15" thickBot="1">
      <c r="A19" s="79" t="s">
        <v>2207</v>
      </c>
      <c r="B19" s="80">
        <v>25</v>
      </c>
      <c r="C19" s="81">
        <v>2660.91</v>
      </c>
      <c r="D19" s="80">
        <v>0.54</v>
      </c>
      <c r="E19" s="80">
        <v>0.68</v>
      </c>
      <c r="F19" s="77">
        <v>0.3</v>
      </c>
    </row>
    <row r="20" spans="1:6" ht="15" thickBot="1">
      <c r="A20" s="79" t="s">
        <v>2204</v>
      </c>
      <c r="B20" s="77">
        <v>60</v>
      </c>
      <c r="C20" s="78">
        <v>14854.81</v>
      </c>
      <c r="D20" s="77">
        <v>0.4</v>
      </c>
      <c r="E20" s="80">
        <v>0.5</v>
      </c>
      <c r="F20" s="77">
        <v>0.15</v>
      </c>
    </row>
    <row r="21" spans="1:6" ht="15" thickBot="1">
      <c r="A21" s="79" t="s">
        <v>1394</v>
      </c>
      <c r="B21" s="77">
        <v>1</v>
      </c>
      <c r="C21" s="78">
        <v>2331.12</v>
      </c>
      <c r="D21" s="77">
        <v>0.57999999999999996</v>
      </c>
      <c r="E21" s="80">
        <v>0.72</v>
      </c>
      <c r="F21" s="77">
        <v>0.3</v>
      </c>
    </row>
    <row r="22" spans="1:6" ht="15" thickBot="1">
      <c r="A22" s="79" t="s">
        <v>2205</v>
      </c>
      <c r="B22" s="77">
        <v>33</v>
      </c>
      <c r="C22" s="78">
        <v>3880.72</v>
      </c>
      <c r="D22" s="77">
        <v>0.54</v>
      </c>
      <c r="E22" s="80">
        <v>0.68</v>
      </c>
      <c r="F22" s="77">
        <v>0.2</v>
      </c>
    </row>
    <row r="23" spans="1:6" ht="15" thickBot="1">
      <c r="A23" s="79" t="s">
        <v>2209</v>
      </c>
      <c r="B23" s="77">
        <v>22</v>
      </c>
      <c r="C23" s="77">
        <v>368.46</v>
      </c>
      <c r="D23" s="77">
        <v>0.94</v>
      </c>
      <c r="E23" s="80">
        <v>1.17</v>
      </c>
      <c r="F23" s="77">
        <v>0.8</v>
      </c>
    </row>
    <row r="24" spans="1:6" ht="15" thickBot="1">
      <c r="A24" s="79" t="s">
        <v>2206</v>
      </c>
      <c r="B24" s="77">
        <v>28</v>
      </c>
      <c r="C24" s="78">
        <v>2888.92</v>
      </c>
      <c r="D24" s="77">
        <v>0.54</v>
      </c>
      <c r="E24" s="80">
        <v>0.68</v>
      </c>
      <c r="F24" s="77">
        <v>0.2</v>
      </c>
    </row>
    <row r="25" spans="1:6" ht="15" thickBot="1">
      <c r="A25" s="79" t="s">
        <v>1436</v>
      </c>
      <c r="B25" s="77">
        <v>6</v>
      </c>
      <c r="C25" s="77">
        <v>541.27</v>
      </c>
      <c r="D25" s="77">
        <v>0.86</v>
      </c>
      <c r="E25" s="80">
        <v>1.08</v>
      </c>
      <c r="F25" s="77">
        <v>0.7</v>
      </c>
    </row>
    <row r="26" spans="1:6" ht="15" thickBot="1">
      <c r="A26" s="79" t="s">
        <v>1522</v>
      </c>
      <c r="B26" s="77">
        <v>1</v>
      </c>
      <c r="C26" s="77">
        <v>30.27</v>
      </c>
      <c r="D26" s="77">
        <v>1.26</v>
      </c>
      <c r="E26" s="80">
        <v>1.58</v>
      </c>
      <c r="F26" s="77">
        <v>1.1100000000000001</v>
      </c>
    </row>
    <row r="27" spans="1:6" ht="15" thickBot="1">
      <c r="A27" s="79" t="s">
        <v>1602</v>
      </c>
      <c r="B27" s="77">
        <v>23</v>
      </c>
      <c r="C27" s="78">
        <v>1067.3499999999999</v>
      </c>
      <c r="D27" s="77">
        <v>0.57999999999999996</v>
      </c>
      <c r="E27" s="80">
        <v>0.72</v>
      </c>
      <c r="F27" s="77">
        <v>0.3</v>
      </c>
    </row>
    <row r="28" spans="1:6" ht="15" thickBot="1">
      <c r="A28" s="79" t="s">
        <v>1716</v>
      </c>
      <c r="B28" s="77">
        <v>1</v>
      </c>
      <c r="C28" s="77">
        <v>2.4300000000000002</v>
      </c>
      <c r="D28" s="77">
        <v>1.26</v>
      </c>
      <c r="E28" s="80">
        <v>1.58</v>
      </c>
      <c r="F28" s="77">
        <v>1.1100000000000001</v>
      </c>
    </row>
    <row r="29" spans="1:6" ht="15" thickBot="1">
      <c r="A29" s="79" t="s">
        <v>1724</v>
      </c>
      <c r="B29" s="77">
        <v>1</v>
      </c>
      <c r="C29" s="77">
        <v>6.61</v>
      </c>
      <c r="D29" s="77">
        <v>1.26</v>
      </c>
      <c r="E29" s="80">
        <v>1.58</v>
      </c>
      <c r="F29" s="77">
        <v>1.1100000000000001</v>
      </c>
    </row>
    <row r="30" spans="1:6" ht="15" thickBot="1">
      <c r="A30" s="79" t="s">
        <v>1731</v>
      </c>
      <c r="B30" s="77">
        <v>3</v>
      </c>
      <c r="C30" s="77">
        <v>16.57</v>
      </c>
      <c r="D30" s="77">
        <v>1.26</v>
      </c>
      <c r="E30" s="80">
        <v>1.58</v>
      </c>
      <c r="F30" s="77">
        <v>1.1100000000000001</v>
      </c>
    </row>
    <row r="31" spans="1:6" ht="15" thickBot="1">
      <c r="A31" s="79" t="s">
        <v>1764</v>
      </c>
      <c r="B31" s="77">
        <v>1</v>
      </c>
      <c r="C31" s="77">
        <v>60.25</v>
      </c>
      <c r="D31" s="77">
        <v>1.26</v>
      </c>
      <c r="E31" s="80">
        <v>1.58</v>
      </c>
      <c r="F31" s="77">
        <v>1.1100000000000001</v>
      </c>
    </row>
    <row r="32" spans="1:6" ht="15" thickBot="1">
      <c r="A32" s="79" t="s">
        <v>1852</v>
      </c>
      <c r="B32" s="77">
        <v>1</v>
      </c>
      <c r="C32" s="78">
        <v>1288.1400000000001</v>
      </c>
      <c r="D32" s="77">
        <v>0.57999999999999996</v>
      </c>
      <c r="E32" s="80">
        <v>0.72</v>
      </c>
      <c r="F32" s="77">
        <v>0.3</v>
      </c>
    </row>
    <row r="33" spans="1:6" ht="15" thickBot="1">
      <c r="A33" s="79" t="s">
        <v>1869</v>
      </c>
      <c r="B33" s="77">
        <v>1</v>
      </c>
      <c r="C33" s="77">
        <v>151.01</v>
      </c>
      <c r="D33" s="77">
        <v>1.1200000000000001</v>
      </c>
      <c r="E33" s="80">
        <v>1.4</v>
      </c>
      <c r="F33" s="77">
        <v>1</v>
      </c>
    </row>
    <row r="34" spans="1:6" ht="15" thickBot="1">
      <c r="A34" s="79" t="s">
        <v>1878</v>
      </c>
      <c r="B34" s="77">
        <v>2</v>
      </c>
      <c r="C34" s="77">
        <v>638.44000000000005</v>
      </c>
      <c r="D34" s="77">
        <v>0.86</v>
      </c>
      <c r="E34" s="80">
        <v>1.08</v>
      </c>
      <c r="F34" s="77">
        <v>0.7</v>
      </c>
    </row>
    <row r="35" spans="1:6" ht="15" thickBot="1">
      <c r="A35" s="79" t="s">
        <v>1900</v>
      </c>
      <c r="B35" s="77">
        <v>2</v>
      </c>
      <c r="C35" s="77">
        <v>852.76</v>
      </c>
      <c r="D35" s="77">
        <v>0.72</v>
      </c>
      <c r="E35" s="80">
        <v>0.9</v>
      </c>
      <c r="F35" s="77">
        <v>0.55000000000000004</v>
      </c>
    </row>
    <row r="36" spans="1:6" ht="15" thickBot="1">
      <c r="A36" s="79" t="s">
        <v>1912</v>
      </c>
      <c r="B36" s="77">
        <v>13</v>
      </c>
      <c r="C36" s="78">
        <v>1328.43</v>
      </c>
      <c r="D36" s="77">
        <v>0.57999999999999996</v>
      </c>
      <c r="E36" s="80">
        <v>0.72</v>
      </c>
      <c r="F36" s="77">
        <v>0.3</v>
      </c>
    </row>
    <row r="37" spans="1:6" ht="15" thickBot="1">
      <c r="A37" s="79" t="s">
        <v>1983</v>
      </c>
      <c r="B37" s="77">
        <v>2</v>
      </c>
      <c r="C37" s="77">
        <v>70.540000000000006</v>
      </c>
      <c r="D37" s="77">
        <v>1.26</v>
      </c>
      <c r="E37" s="80">
        <v>1.58</v>
      </c>
      <c r="F37" s="77">
        <v>1.1100000000000001</v>
      </c>
    </row>
    <row r="38" spans="1:6" ht="15" thickBot="1">
      <c r="A38" s="79" t="s">
        <v>2043</v>
      </c>
      <c r="B38" s="77">
        <v>1</v>
      </c>
      <c r="C38" s="77">
        <v>193.86</v>
      </c>
      <c r="D38" s="77">
        <v>1.1200000000000001</v>
      </c>
      <c r="E38" s="80">
        <v>1.4</v>
      </c>
      <c r="F38" s="77">
        <v>1</v>
      </c>
    </row>
    <row r="39" spans="1:6" ht="15" thickBot="1">
      <c r="A39" s="79" t="s">
        <v>2180</v>
      </c>
      <c r="B39" s="77">
        <v>1</v>
      </c>
      <c r="C39" s="78">
        <v>3928.88</v>
      </c>
      <c r="D39" s="77">
        <v>0.54</v>
      </c>
      <c r="E39" s="80">
        <v>0.68</v>
      </c>
      <c r="F39" s="7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PETICION OFERTAS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PC25</dc:creator>
  <cp:lastModifiedBy>Daniel Lopez Mate</cp:lastModifiedBy>
  <dcterms:created xsi:type="dcterms:W3CDTF">2022-11-21T14:58:57Z</dcterms:created>
  <dcterms:modified xsi:type="dcterms:W3CDTF">2026-06-01T10:24:54Z</dcterms:modified>
</cp:coreProperties>
</file>